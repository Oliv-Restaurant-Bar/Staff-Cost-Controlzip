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D6196B7-996B-484B-9862-A1121C841AAD}" xr6:coauthVersionLast="47" xr6:coauthVersionMax="47" xr10:uidLastSave="{00000000-0000-0000-0000-000000000000}"/>
  <bookViews>
    <workbookView xWindow="-120" yWindow="-120" windowWidth="29040" windowHeight="17640" tabRatio="500" firstSheet="1" activeTab="3" xr2:uid="{00000000-000D-0000-FFFF-FFFF00000000}"/>
  </bookViews>
  <sheets>
    <sheet name="Personalstammdaten" sheetId="2" state="hidden" r:id="rId1"/>
    <sheet name="Dienstplan Version 1.0" sheetId="3" r:id="rId2"/>
    <sheet name="Monat" sheetId="8" r:id="rId3"/>
    <sheet name="Wochen" sheetId="7" r:id="rId4"/>
    <sheet name="Stundenkontrolle" sheetId="5" state="hidden" r:id="rId5"/>
    <sheet name="Uniformen" sheetId="6" state="hidden" r:id="rId6"/>
  </sheets>
  <definedNames>
    <definedName name="_xlnm.Print_Area" localSheetId="3">Wochen!$A$1:$AY$33</definedName>
    <definedName name="o0">Stundenkontrolle!$V$17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3" i="7" l="1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I30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W7" i="8"/>
  <c r="AV7" i="8"/>
  <c r="AU7" i="8"/>
  <c r="AT7" i="8"/>
  <c r="AS7" i="8"/>
  <c r="AR7" i="8"/>
  <c r="AR28" i="8" s="1"/>
  <c r="AQ7" i="8"/>
  <c r="AQ28" i="8" s="1"/>
  <c r="AP7" i="8"/>
  <c r="AO7" i="8"/>
  <c r="AN7" i="8"/>
  <c r="AM7" i="8"/>
  <c r="AL7" i="8"/>
  <c r="AK7" i="8"/>
  <c r="AJ7" i="8"/>
  <c r="AJ28" i="8" s="1"/>
  <c r="AM2" i="8"/>
  <c r="AI2" i="8"/>
  <c r="AS28" i="8" l="1"/>
  <c r="AN28" i="8"/>
  <c r="AO28" i="8"/>
  <c r="AW28" i="8"/>
  <c r="AK28" i="8"/>
  <c r="AJ29" i="8" s="1"/>
  <c r="AP28" i="8"/>
  <c r="AP29" i="8" s="1"/>
  <c r="AP30" i="8" s="1"/>
  <c r="AP31" i="8" s="1"/>
  <c r="AL28" i="8"/>
  <c r="AL29" i="8" s="1"/>
  <c r="AL30" i="8" s="1"/>
  <c r="AL31" i="8" s="1"/>
  <c r="AM28" i="8"/>
  <c r="AU28" i="8"/>
  <c r="AR29" i="8"/>
  <c r="AR30" i="8" s="1"/>
  <c r="AR31" i="8" s="1"/>
  <c r="AT28" i="8"/>
  <c r="AT29" i="8" s="1"/>
  <c r="AT30" i="8" s="1"/>
  <c r="AT31" i="8" s="1"/>
  <c r="AV28" i="8"/>
  <c r="AV29" i="8" s="1"/>
  <c r="AV30" i="8" s="1"/>
  <c r="AV31" i="8" s="1"/>
  <c r="AI30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M2" i="7"/>
  <c r="AI2" i="7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X29" i="8" l="1"/>
  <c r="AJ30" i="8"/>
  <c r="AJ31" i="8" s="1"/>
  <c r="AJ32" i="8" s="1"/>
  <c r="AK32" i="8" s="1"/>
  <c r="AN29" i="8"/>
  <c r="AN30" i="8" s="1"/>
  <c r="AN31" i="8" s="1"/>
  <c r="AQ28" i="7"/>
  <c r="AM28" i="7"/>
  <c r="AO28" i="7"/>
  <c r="AU28" i="7"/>
  <c r="AP28" i="7"/>
  <c r="AJ28" i="7"/>
  <c r="AK28" i="7"/>
  <c r="AS28" i="7"/>
  <c r="AR28" i="7"/>
  <c r="AN28" i="7"/>
  <c r="AV28" i="7"/>
  <c r="AL28" i="7"/>
  <c r="AT28" i="7"/>
  <c r="AW28" i="7"/>
  <c r="AE22" i="3"/>
  <c r="AP29" i="7" l="1"/>
  <c r="AP30" i="7" s="1"/>
  <c r="AP31" i="7" s="1"/>
  <c r="AL29" i="7"/>
  <c r="AL30" i="7" s="1"/>
  <c r="AL31" i="7" s="1"/>
  <c r="AR29" i="7"/>
  <c r="AR30" i="7" s="1"/>
  <c r="AR31" i="7" s="1"/>
  <c r="AV29" i="7"/>
  <c r="AV30" i="7" s="1"/>
  <c r="AV31" i="7" s="1"/>
  <c r="AT29" i="7"/>
  <c r="AT30" i="7" s="1"/>
  <c r="AT31" i="7" s="1"/>
  <c r="AJ29" i="7"/>
  <c r="AJ30" i="7" s="1"/>
  <c r="AJ31" i="7" s="1"/>
  <c r="AN29" i="7"/>
  <c r="AN30" i="7" s="1"/>
  <c r="AN31" i="7" s="1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X29" i="7" l="1"/>
  <c r="AJ32" i="7"/>
  <c r="AK32" i="7" s="1"/>
  <c r="AE18" i="3"/>
  <c r="AE27" i="3"/>
  <c r="AE24" i="3"/>
  <c r="AE25" i="3"/>
  <c r="AE21" i="3"/>
  <c r="AE26" i="3"/>
  <c r="AE11" i="3"/>
  <c r="AE12" i="3"/>
  <c r="AE16" i="3"/>
  <c r="AE20" i="3"/>
  <c r="AE23" i="3"/>
  <c r="AE15" i="3"/>
  <c r="AE14" i="3"/>
  <c r="AE19" i="3"/>
  <c r="AE13" i="3"/>
  <c r="AE17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U29" i="3" l="1"/>
  <c r="AU43" i="3" s="1"/>
  <c r="AT29" i="3"/>
  <c r="AT43" i="3" s="1"/>
  <c r="AS29" i="3"/>
  <c r="AS43" i="3" s="1"/>
  <c r="AR29" i="3"/>
  <c r="AR43" i="3" s="1"/>
  <c r="AQ29" i="3"/>
  <c r="AQ43" i="3" s="1"/>
  <c r="AP29" i="3"/>
  <c r="AP43" i="3" s="1"/>
  <c r="AO29" i="3"/>
  <c r="AO43" i="3" s="1"/>
  <c r="AN29" i="3"/>
  <c r="AN43" i="3" s="1"/>
  <c r="AM29" i="3"/>
  <c r="AM43" i="3" s="1"/>
  <c r="AL29" i="3"/>
  <c r="AL43" i="3" s="1"/>
  <c r="AK29" i="3"/>
  <c r="AK43" i="3" s="1"/>
  <c r="AJ29" i="3"/>
  <c r="AJ43" i="3" s="1"/>
  <c r="AI29" i="3"/>
  <c r="AI43" i="3" s="1"/>
  <c r="AH29" i="3"/>
  <c r="AH43" i="3" s="1"/>
  <c r="AH44" i="3" l="1"/>
  <c r="AG2" i="3"/>
  <c r="AJ4" i="3"/>
  <c r="AH4" i="3"/>
  <c r="O29" i="6"/>
  <c r="M29" i="6"/>
  <c r="K29" i="6"/>
  <c r="I29" i="6"/>
  <c r="P29" i="6" s="1"/>
  <c r="G29" i="6"/>
  <c r="E29" i="6"/>
  <c r="C29" i="6"/>
  <c r="O28" i="6"/>
  <c r="M28" i="6"/>
  <c r="K28" i="6"/>
  <c r="I28" i="6"/>
  <c r="G28" i="6"/>
  <c r="P28" i="6" s="1"/>
  <c r="E28" i="6"/>
  <c r="C28" i="6"/>
  <c r="O27" i="6"/>
  <c r="M27" i="6"/>
  <c r="K27" i="6"/>
  <c r="I27" i="6"/>
  <c r="G27" i="6"/>
  <c r="E27" i="6"/>
  <c r="C27" i="6"/>
  <c r="O26" i="6"/>
  <c r="M26" i="6"/>
  <c r="K26" i="6"/>
  <c r="I26" i="6"/>
  <c r="G26" i="6"/>
  <c r="E26" i="6"/>
  <c r="C26" i="6"/>
  <c r="O25" i="6"/>
  <c r="M25" i="6"/>
  <c r="K25" i="6"/>
  <c r="I25" i="6"/>
  <c r="G25" i="6"/>
  <c r="E25" i="6"/>
  <c r="C25" i="6"/>
  <c r="P25" i="6" s="1"/>
  <c r="O24" i="6"/>
  <c r="M24" i="6"/>
  <c r="K24" i="6"/>
  <c r="I24" i="6"/>
  <c r="G24" i="6"/>
  <c r="E24" i="6"/>
  <c r="C24" i="6"/>
  <c r="O23" i="6"/>
  <c r="M23" i="6"/>
  <c r="K23" i="6"/>
  <c r="I23" i="6"/>
  <c r="G23" i="6"/>
  <c r="E23" i="6"/>
  <c r="C23" i="6"/>
  <c r="O22" i="6"/>
  <c r="M22" i="6"/>
  <c r="K22" i="6"/>
  <c r="I22" i="6"/>
  <c r="G22" i="6"/>
  <c r="E22" i="6"/>
  <c r="C22" i="6"/>
  <c r="O21" i="6"/>
  <c r="M21" i="6"/>
  <c r="K21" i="6"/>
  <c r="I21" i="6"/>
  <c r="G21" i="6"/>
  <c r="E21" i="6"/>
  <c r="C21" i="6"/>
  <c r="O20" i="6"/>
  <c r="M20" i="6"/>
  <c r="K20" i="6"/>
  <c r="I20" i="6"/>
  <c r="G20" i="6"/>
  <c r="E20" i="6"/>
  <c r="C20" i="6"/>
  <c r="O19" i="6"/>
  <c r="M19" i="6"/>
  <c r="K19" i="6"/>
  <c r="I19" i="6"/>
  <c r="G19" i="6"/>
  <c r="E19" i="6"/>
  <c r="C19" i="6"/>
  <c r="O18" i="6"/>
  <c r="M18" i="6"/>
  <c r="K18" i="6"/>
  <c r="I18" i="6"/>
  <c r="G18" i="6"/>
  <c r="E18" i="6"/>
  <c r="C18" i="6"/>
  <c r="O17" i="6"/>
  <c r="M17" i="6"/>
  <c r="K17" i="6"/>
  <c r="I17" i="6"/>
  <c r="G17" i="6"/>
  <c r="E17" i="6"/>
  <c r="C17" i="6"/>
  <c r="O16" i="6"/>
  <c r="M16" i="6"/>
  <c r="K16" i="6"/>
  <c r="I16" i="6"/>
  <c r="G16" i="6"/>
  <c r="E16" i="6"/>
  <c r="C16" i="6"/>
  <c r="O15" i="6"/>
  <c r="M15" i="6"/>
  <c r="K15" i="6"/>
  <c r="I15" i="6"/>
  <c r="G15" i="6"/>
  <c r="E15" i="6"/>
  <c r="C15" i="6"/>
  <c r="O14" i="6"/>
  <c r="M14" i="6"/>
  <c r="K14" i="6"/>
  <c r="I14" i="6"/>
  <c r="G14" i="6"/>
  <c r="E14" i="6"/>
  <c r="C14" i="6"/>
  <c r="O13" i="6"/>
  <c r="M13" i="6"/>
  <c r="K13" i="6"/>
  <c r="I13" i="6"/>
  <c r="G13" i="6"/>
  <c r="E13" i="6"/>
  <c r="C13" i="6"/>
  <c r="O12" i="6"/>
  <c r="M12" i="6"/>
  <c r="K12" i="6"/>
  <c r="I12" i="6"/>
  <c r="G12" i="6"/>
  <c r="E12" i="6"/>
  <c r="C12" i="6"/>
  <c r="O11" i="6"/>
  <c r="M11" i="6"/>
  <c r="K11" i="6"/>
  <c r="I11" i="6"/>
  <c r="G11" i="6"/>
  <c r="E11" i="6"/>
  <c r="P11" i="6" s="1"/>
  <c r="C11" i="6"/>
  <c r="O10" i="6"/>
  <c r="M10" i="6"/>
  <c r="K10" i="6"/>
  <c r="I10" i="6"/>
  <c r="G10" i="6"/>
  <c r="E10" i="6"/>
  <c r="C10" i="6"/>
  <c r="P10" i="6" s="1"/>
  <c r="O9" i="6"/>
  <c r="M9" i="6"/>
  <c r="K9" i="6"/>
  <c r="I9" i="6"/>
  <c r="G9" i="6"/>
  <c r="E9" i="6"/>
  <c r="C9" i="6"/>
  <c r="P9" i="6" s="1"/>
  <c r="O8" i="6"/>
  <c r="M8" i="6"/>
  <c r="K8" i="6"/>
  <c r="I8" i="6"/>
  <c r="G8" i="6"/>
  <c r="E8" i="6"/>
  <c r="C8" i="6"/>
  <c r="O7" i="6"/>
  <c r="M7" i="6"/>
  <c r="K7" i="6"/>
  <c r="I7" i="6"/>
  <c r="G7" i="6"/>
  <c r="E7" i="6"/>
  <c r="C7" i="6"/>
  <c r="O6" i="6"/>
  <c r="M6" i="6"/>
  <c r="K6" i="6"/>
  <c r="I6" i="6"/>
  <c r="G6" i="6"/>
  <c r="E6" i="6"/>
  <c r="C6" i="6"/>
  <c r="O5" i="6"/>
  <c r="M5" i="6"/>
  <c r="K5" i="6"/>
  <c r="I5" i="6"/>
  <c r="G5" i="6"/>
  <c r="E5" i="6"/>
  <c r="C5" i="6"/>
  <c r="O4" i="6"/>
  <c r="M4" i="6"/>
  <c r="K4" i="6"/>
  <c r="I4" i="6"/>
  <c r="G4" i="6"/>
  <c r="P4" i="6" s="1"/>
  <c r="E4" i="6"/>
  <c r="C4" i="6"/>
  <c r="A2" i="6"/>
  <c r="DU48" i="5"/>
  <c r="DU5" i="5" s="1"/>
  <c r="DS48" i="5"/>
  <c r="DQ48" i="5"/>
  <c r="DP48" i="5"/>
  <c r="DP5" i="5" s="1"/>
  <c r="DO48" i="5"/>
  <c r="DO5" i="5" s="1"/>
  <c r="DL48" i="5"/>
  <c r="DL5" i="5" s="1"/>
  <c r="DJ48" i="5"/>
  <c r="DJ5" i="5" s="1"/>
  <c r="DH48" i="5"/>
  <c r="DH5" i="5"/>
  <c r="DG48" i="5"/>
  <c r="DF48" i="5"/>
  <c r="DC48" i="5"/>
  <c r="DC5" i="5" s="1"/>
  <c r="DA48" i="5"/>
  <c r="DA5" i="5" s="1"/>
  <c r="CY48" i="5"/>
  <c r="CX48" i="5"/>
  <c r="CX5" i="5" s="1"/>
  <c r="CW48" i="5"/>
  <c r="CW5" i="5" s="1"/>
  <c r="CT48" i="5"/>
  <c r="CT5" i="5" s="1"/>
  <c r="CR48" i="5"/>
  <c r="CP48" i="5"/>
  <c r="CO48" i="5"/>
  <c r="CN48" i="5"/>
  <c r="CN5" i="5" s="1"/>
  <c r="CK48" i="5"/>
  <c r="CI48" i="5"/>
  <c r="CG48" i="5"/>
  <c r="CG5" i="5" s="1"/>
  <c r="CF48" i="5"/>
  <c r="CF5" i="5" s="1"/>
  <c r="CE48" i="5"/>
  <c r="CB48" i="5"/>
  <c r="BZ48" i="5"/>
  <c r="BZ5" i="5" s="1"/>
  <c r="BX48" i="5"/>
  <c r="BX5" i="5" s="1"/>
  <c r="BW48" i="5"/>
  <c r="BV48" i="5"/>
  <c r="BS48" i="5"/>
  <c r="BS5" i="5" s="1"/>
  <c r="BQ48" i="5"/>
  <c r="BQ5" i="5" s="1"/>
  <c r="BO48" i="5"/>
  <c r="BN48" i="5"/>
  <c r="BM48" i="5"/>
  <c r="BM5" i="5" s="1"/>
  <c r="BJ48" i="5"/>
  <c r="BJ5" i="5" s="1"/>
  <c r="BH48" i="5"/>
  <c r="BH5" i="5" s="1"/>
  <c r="BF48" i="5"/>
  <c r="BE48" i="5"/>
  <c r="BD48" i="5"/>
  <c r="BA48" i="5"/>
  <c r="AY48" i="5"/>
  <c r="AY5" i="5" s="1"/>
  <c r="AW48" i="5"/>
  <c r="AW5" i="5" s="1"/>
  <c r="AV48" i="5"/>
  <c r="AV5" i="5" s="1"/>
  <c r="AU48" i="5"/>
  <c r="AU5" i="5" s="1"/>
  <c r="AR48" i="5"/>
  <c r="AR5" i="5" s="1"/>
  <c r="AP48" i="5"/>
  <c r="AN48" i="5"/>
  <c r="AN5" i="5" s="1"/>
  <c r="AM48" i="5"/>
  <c r="AM5" i="5" s="1"/>
  <c r="AL48" i="5"/>
  <c r="AL5" i="5" s="1"/>
  <c r="AI48" i="5"/>
  <c r="AI5" i="5" s="1"/>
  <c r="AG48" i="5"/>
  <c r="AG5" i="5" s="1"/>
  <c r="AE48" i="5"/>
  <c r="AE5" i="5" s="1"/>
  <c r="AD48" i="5"/>
  <c r="AC48" i="5"/>
  <c r="AC5" i="5" s="1"/>
  <c r="Z48" i="5"/>
  <c r="X48" i="5"/>
  <c r="X5" i="5" s="1"/>
  <c r="V48" i="5"/>
  <c r="U48" i="5"/>
  <c r="T48" i="5"/>
  <c r="T5" i="5" s="1"/>
  <c r="EA47" i="5"/>
  <c r="DZ47" i="5"/>
  <c r="DY47" i="5"/>
  <c r="AB47" i="5"/>
  <c r="AK47" i="5" s="1"/>
  <c r="AT47" i="5" s="1"/>
  <c r="BC47" i="5" s="1"/>
  <c r="BL47" i="5" s="1"/>
  <c r="BU47" i="5" s="1"/>
  <c r="CD47" i="5" s="1"/>
  <c r="CM47" i="5" s="1"/>
  <c r="CV47" i="5" s="1"/>
  <c r="DE47" i="5" s="1"/>
  <c r="DN47" i="5" s="1"/>
  <c r="DW47" i="5" s="1"/>
  <c r="EA46" i="5"/>
  <c r="DZ46" i="5"/>
  <c r="DY46" i="5"/>
  <c r="AB46" i="5"/>
  <c r="AK46" i="5" s="1"/>
  <c r="AT46" i="5" s="1"/>
  <c r="BC46" i="5" s="1"/>
  <c r="BL46" i="5" s="1"/>
  <c r="BU46" i="5" s="1"/>
  <c r="CD46" i="5" s="1"/>
  <c r="CM46" i="5" s="1"/>
  <c r="CV46" i="5" s="1"/>
  <c r="DE46" i="5" s="1"/>
  <c r="DN46" i="5" s="1"/>
  <c r="DW46" i="5" s="1"/>
  <c r="EA45" i="5"/>
  <c r="DZ45" i="5"/>
  <c r="DY45" i="5"/>
  <c r="AB45" i="5"/>
  <c r="AK45" i="5" s="1"/>
  <c r="AT45" i="5" s="1"/>
  <c r="BC45" i="5" s="1"/>
  <c r="BL45" i="5" s="1"/>
  <c r="BU45" i="5" s="1"/>
  <c r="CD45" i="5" s="1"/>
  <c r="CM45" i="5" s="1"/>
  <c r="CV45" i="5" s="1"/>
  <c r="DE45" i="5" s="1"/>
  <c r="DN45" i="5" s="1"/>
  <c r="DW45" i="5" s="1"/>
  <c r="EA44" i="5"/>
  <c r="DZ44" i="5"/>
  <c r="DY44" i="5"/>
  <c r="AB44" i="5"/>
  <c r="AK44" i="5" s="1"/>
  <c r="AT44" i="5" s="1"/>
  <c r="BC44" i="5" s="1"/>
  <c r="BL44" i="5" s="1"/>
  <c r="BU44" i="5" s="1"/>
  <c r="CD44" i="5" s="1"/>
  <c r="CM44" i="5" s="1"/>
  <c r="CV44" i="5" s="1"/>
  <c r="DE44" i="5" s="1"/>
  <c r="DN44" i="5" s="1"/>
  <c r="DW44" i="5" s="1"/>
  <c r="EA43" i="5"/>
  <c r="DZ43" i="5"/>
  <c r="DY43" i="5"/>
  <c r="AB43" i="5"/>
  <c r="AK43" i="5" s="1"/>
  <c r="AT43" i="5" s="1"/>
  <c r="BC43" i="5" s="1"/>
  <c r="BL43" i="5" s="1"/>
  <c r="BU43" i="5" s="1"/>
  <c r="CD43" i="5" s="1"/>
  <c r="CM43" i="5" s="1"/>
  <c r="CV43" i="5" s="1"/>
  <c r="DE43" i="5" s="1"/>
  <c r="DN43" i="5" s="1"/>
  <c r="DW43" i="5" s="1"/>
  <c r="EA42" i="5"/>
  <c r="DZ42" i="5"/>
  <c r="DY42" i="5"/>
  <c r="AB42" i="5"/>
  <c r="AK42" i="5" s="1"/>
  <c r="AT42" i="5" s="1"/>
  <c r="BC42" i="5" s="1"/>
  <c r="BL42" i="5" s="1"/>
  <c r="BU42" i="5" s="1"/>
  <c r="CD42" i="5" s="1"/>
  <c r="CM42" i="5" s="1"/>
  <c r="CV42" i="5" s="1"/>
  <c r="DE42" i="5" s="1"/>
  <c r="DN42" i="5" s="1"/>
  <c r="DW42" i="5" s="1"/>
  <c r="EA41" i="5"/>
  <c r="DZ41" i="5"/>
  <c r="DY41" i="5"/>
  <c r="AB41" i="5"/>
  <c r="AK41" i="5" s="1"/>
  <c r="AT41" i="5" s="1"/>
  <c r="BC41" i="5" s="1"/>
  <c r="BL41" i="5" s="1"/>
  <c r="BU41" i="5" s="1"/>
  <c r="CD41" i="5" s="1"/>
  <c r="CM41" i="5" s="1"/>
  <c r="CV41" i="5" s="1"/>
  <c r="DE41" i="5" s="1"/>
  <c r="DN41" i="5" s="1"/>
  <c r="DW41" i="5" s="1"/>
  <c r="EA40" i="5"/>
  <c r="DZ40" i="5"/>
  <c r="DY40" i="5"/>
  <c r="AB40" i="5"/>
  <c r="AK40" i="5" s="1"/>
  <c r="AT40" i="5" s="1"/>
  <c r="BC40" i="5" s="1"/>
  <c r="BL40" i="5" s="1"/>
  <c r="BU40" i="5" s="1"/>
  <c r="CD40" i="5" s="1"/>
  <c r="CM40" i="5" s="1"/>
  <c r="CV40" i="5" s="1"/>
  <c r="DE40" i="5" s="1"/>
  <c r="DN40" i="5" s="1"/>
  <c r="DW40" i="5" s="1"/>
  <c r="EA39" i="5"/>
  <c r="DZ39" i="5"/>
  <c r="DY39" i="5"/>
  <c r="AK39" i="5"/>
  <c r="AT39" i="5" s="1"/>
  <c r="BC39" i="5" s="1"/>
  <c r="BL39" i="5" s="1"/>
  <c r="BU39" i="5" s="1"/>
  <c r="CD39" i="5" s="1"/>
  <c r="CM39" i="5" s="1"/>
  <c r="CV39" i="5" s="1"/>
  <c r="DE39" i="5" s="1"/>
  <c r="DN39" i="5" s="1"/>
  <c r="DW39" i="5" s="1"/>
  <c r="AB39" i="5"/>
  <c r="EA38" i="5"/>
  <c r="DZ38" i="5"/>
  <c r="DY38" i="5"/>
  <c r="AB38" i="5"/>
  <c r="AK38" i="5" s="1"/>
  <c r="AT38" i="5" s="1"/>
  <c r="BC38" i="5" s="1"/>
  <c r="BL38" i="5" s="1"/>
  <c r="BU38" i="5" s="1"/>
  <c r="CD38" i="5" s="1"/>
  <c r="CM38" i="5" s="1"/>
  <c r="CV38" i="5" s="1"/>
  <c r="DE38" i="5" s="1"/>
  <c r="DN38" i="5" s="1"/>
  <c r="DW38" i="5" s="1"/>
  <c r="EA37" i="5"/>
  <c r="DZ37" i="5"/>
  <c r="DY37" i="5"/>
  <c r="AB37" i="5"/>
  <c r="AK37" i="5" s="1"/>
  <c r="AT37" i="5" s="1"/>
  <c r="BC37" i="5" s="1"/>
  <c r="BL37" i="5" s="1"/>
  <c r="BU37" i="5" s="1"/>
  <c r="CD37" i="5" s="1"/>
  <c r="CM37" i="5" s="1"/>
  <c r="CV37" i="5" s="1"/>
  <c r="DE37" i="5" s="1"/>
  <c r="DN37" i="5" s="1"/>
  <c r="DW37" i="5" s="1"/>
  <c r="EA36" i="5"/>
  <c r="DZ36" i="5"/>
  <c r="DY36" i="5"/>
  <c r="AB36" i="5"/>
  <c r="AK36" i="5" s="1"/>
  <c r="AT36" i="5" s="1"/>
  <c r="BC36" i="5" s="1"/>
  <c r="BL36" i="5" s="1"/>
  <c r="BU36" i="5" s="1"/>
  <c r="CD36" i="5" s="1"/>
  <c r="CM36" i="5" s="1"/>
  <c r="CV36" i="5" s="1"/>
  <c r="DE36" i="5" s="1"/>
  <c r="DN36" i="5" s="1"/>
  <c r="DW36" i="5" s="1"/>
  <c r="EA35" i="5"/>
  <c r="DZ35" i="5"/>
  <c r="DY35" i="5"/>
  <c r="AK35" i="5"/>
  <c r="AT35" i="5" s="1"/>
  <c r="BC35" i="5" s="1"/>
  <c r="BL35" i="5" s="1"/>
  <c r="BU35" i="5" s="1"/>
  <c r="CD35" i="5" s="1"/>
  <c r="CM35" i="5" s="1"/>
  <c r="CV35" i="5" s="1"/>
  <c r="DE35" i="5" s="1"/>
  <c r="DN35" i="5" s="1"/>
  <c r="DW35" i="5" s="1"/>
  <c r="AB35" i="5"/>
  <c r="EA34" i="5"/>
  <c r="DZ34" i="5"/>
  <c r="DY34" i="5"/>
  <c r="AB34" i="5"/>
  <c r="AK34" i="5" s="1"/>
  <c r="AT34" i="5" s="1"/>
  <c r="BC34" i="5" s="1"/>
  <c r="BL34" i="5" s="1"/>
  <c r="BU34" i="5" s="1"/>
  <c r="CD34" i="5" s="1"/>
  <c r="CM34" i="5" s="1"/>
  <c r="CV34" i="5" s="1"/>
  <c r="DE34" i="5" s="1"/>
  <c r="DN34" i="5" s="1"/>
  <c r="DW34" i="5" s="1"/>
  <c r="EA33" i="5"/>
  <c r="DZ33" i="5"/>
  <c r="DY33" i="5"/>
  <c r="AB33" i="5"/>
  <c r="AK33" i="5" s="1"/>
  <c r="AT33" i="5" s="1"/>
  <c r="BC33" i="5" s="1"/>
  <c r="BL33" i="5" s="1"/>
  <c r="BU33" i="5" s="1"/>
  <c r="CD33" i="5" s="1"/>
  <c r="CM33" i="5" s="1"/>
  <c r="CV33" i="5" s="1"/>
  <c r="DE33" i="5" s="1"/>
  <c r="DN33" i="5" s="1"/>
  <c r="DW33" i="5" s="1"/>
  <c r="EA32" i="5"/>
  <c r="DZ32" i="5"/>
  <c r="DY32" i="5"/>
  <c r="AB32" i="5"/>
  <c r="AK32" i="5" s="1"/>
  <c r="AT32" i="5" s="1"/>
  <c r="BC32" i="5" s="1"/>
  <c r="BL32" i="5" s="1"/>
  <c r="BU32" i="5" s="1"/>
  <c r="CD32" i="5" s="1"/>
  <c r="CM32" i="5" s="1"/>
  <c r="CV32" i="5" s="1"/>
  <c r="DE32" i="5" s="1"/>
  <c r="DN32" i="5" s="1"/>
  <c r="DW32" i="5" s="1"/>
  <c r="EA31" i="5"/>
  <c r="DZ31" i="5"/>
  <c r="DY31" i="5"/>
  <c r="AB31" i="5"/>
  <c r="AK31" i="5" s="1"/>
  <c r="AT31" i="5" s="1"/>
  <c r="BC31" i="5" s="1"/>
  <c r="BL31" i="5" s="1"/>
  <c r="BU31" i="5" s="1"/>
  <c r="CD31" i="5" s="1"/>
  <c r="CM31" i="5" s="1"/>
  <c r="CV31" i="5" s="1"/>
  <c r="DE31" i="5" s="1"/>
  <c r="DN31" i="5" s="1"/>
  <c r="DW31" i="5" s="1"/>
  <c r="EA30" i="5"/>
  <c r="DZ30" i="5"/>
  <c r="DY30" i="5"/>
  <c r="AB30" i="5"/>
  <c r="AK30" i="5" s="1"/>
  <c r="AT30" i="5" s="1"/>
  <c r="BC30" i="5" s="1"/>
  <c r="BL30" i="5" s="1"/>
  <c r="BU30" i="5" s="1"/>
  <c r="CD30" i="5" s="1"/>
  <c r="CM30" i="5" s="1"/>
  <c r="CV30" i="5" s="1"/>
  <c r="DE30" i="5" s="1"/>
  <c r="DN30" i="5" s="1"/>
  <c r="DW30" i="5" s="1"/>
  <c r="EA29" i="5"/>
  <c r="DZ29" i="5"/>
  <c r="DY29" i="5"/>
  <c r="AB29" i="5"/>
  <c r="AK29" i="5" s="1"/>
  <c r="AT29" i="5" s="1"/>
  <c r="BC29" i="5" s="1"/>
  <c r="BL29" i="5" s="1"/>
  <c r="BU29" i="5" s="1"/>
  <c r="CD29" i="5" s="1"/>
  <c r="CM29" i="5" s="1"/>
  <c r="CV29" i="5" s="1"/>
  <c r="DE29" i="5" s="1"/>
  <c r="DN29" i="5" s="1"/>
  <c r="DW29" i="5" s="1"/>
  <c r="EA28" i="5"/>
  <c r="DZ28" i="5"/>
  <c r="DY28" i="5"/>
  <c r="AB28" i="5"/>
  <c r="AK28" i="5" s="1"/>
  <c r="AT28" i="5" s="1"/>
  <c r="BC28" i="5" s="1"/>
  <c r="BL28" i="5" s="1"/>
  <c r="BU28" i="5" s="1"/>
  <c r="CD28" i="5" s="1"/>
  <c r="CM28" i="5" s="1"/>
  <c r="CV28" i="5" s="1"/>
  <c r="DE28" i="5" s="1"/>
  <c r="DN28" i="5" s="1"/>
  <c r="DW28" i="5" s="1"/>
  <c r="EA27" i="5"/>
  <c r="DZ27" i="5"/>
  <c r="DY27" i="5"/>
  <c r="AB27" i="5"/>
  <c r="AK27" i="5" s="1"/>
  <c r="AT27" i="5" s="1"/>
  <c r="BC27" i="5" s="1"/>
  <c r="BL27" i="5" s="1"/>
  <c r="BU27" i="5" s="1"/>
  <c r="CD27" i="5" s="1"/>
  <c r="CM27" i="5" s="1"/>
  <c r="CV27" i="5" s="1"/>
  <c r="DE27" i="5" s="1"/>
  <c r="DN27" i="5" s="1"/>
  <c r="DW27" i="5" s="1"/>
  <c r="EA26" i="5"/>
  <c r="DZ26" i="5"/>
  <c r="DY26" i="5"/>
  <c r="AB26" i="5"/>
  <c r="AK26" i="5" s="1"/>
  <c r="AT26" i="5" s="1"/>
  <c r="BC26" i="5" s="1"/>
  <c r="BL26" i="5" s="1"/>
  <c r="BU26" i="5" s="1"/>
  <c r="CD26" i="5" s="1"/>
  <c r="CM26" i="5" s="1"/>
  <c r="CV26" i="5" s="1"/>
  <c r="DE26" i="5" s="1"/>
  <c r="DN26" i="5" s="1"/>
  <c r="DW26" i="5" s="1"/>
  <c r="EA25" i="5"/>
  <c r="DZ25" i="5"/>
  <c r="DY25" i="5"/>
  <c r="AB25" i="5"/>
  <c r="AK25" i="5" s="1"/>
  <c r="AT25" i="5" s="1"/>
  <c r="BC25" i="5" s="1"/>
  <c r="BL25" i="5" s="1"/>
  <c r="BU25" i="5" s="1"/>
  <c r="CD25" i="5" s="1"/>
  <c r="CM25" i="5" s="1"/>
  <c r="CV25" i="5" s="1"/>
  <c r="DE25" i="5" s="1"/>
  <c r="DN25" i="5" s="1"/>
  <c r="DW25" i="5" s="1"/>
  <c r="EA24" i="5"/>
  <c r="DZ24" i="5"/>
  <c r="DY24" i="5"/>
  <c r="AB24" i="5"/>
  <c r="AK24" i="5"/>
  <c r="AT24" i="5" s="1"/>
  <c r="BC24" i="5" s="1"/>
  <c r="BL24" i="5" s="1"/>
  <c r="BU24" i="5" s="1"/>
  <c r="CD24" i="5" s="1"/>
  <c r="CM24" i="5" s="1"/>
  <c r="CV24" i="5" s="1"/>
  <c r="DE24" i="5" s="1"/>
  <c r="DN24" i="5" s="1"/>
  <c r="DW24" i="5" s="1"/>
  <c r="EA23" i="5"/>
  <c r="DZ23" i="5"/>
  <c r="DY23" i="5"/>
  <c r="AB23" i="5"/>
  <c r="AK23" i="5" s="1"/>
  <c r="AT23" i="5" s="1"/>
  <c r="BC23" i="5" s="1"/>
  <c r="BL23" i="5" s="1"/>
  <c r="BU23" i="5" s="1"/>
  <c r="CD23" i="5" s="1"/>
  <c r="CM23" i="5" s="1"/>
  <c r="CV23" i="5" s="1"/>
  <c r="DE23" i="5" s="1"/>
  <c r="DN23" i="5" s="1"/>
  <c r="DW23" i="5" s="1"/>
  <c r="EA22" i="5"/>
  <c r="DZ22" i="5"/>
  <c r="DY22" i="5"/>
  <c r="AB22" i="5"/>
  <c r="AK22" i="5" s="1"/>
  <c r="AT22" i="5" s="1"/>
  <c r="BC22" i="5" s="1"/>
  <c r="BL22" i="5" s="1"/>
  <c r="BU22" i="5" s="1"/>
  <c r="CD22" i="5" s="1"/>
  <c r="CM22" i="5" s="1"/>
  <c r="CV22" i="5" s="1"/>
  <c r="DE22" i="5" s="1"/>
  <c r="DN22" i="5" s="1"/>
  <c r="DW22" i="5" s="1"/>
  <c r="EA21" i="5"/>
  <c r="DZ21" i="5"/>
  <c r="DY21" i="5"/>
  <c r="AB21" i="5"/>
  <c r="AK21" i="5" s="1"/>
  <c r="AT21" i="5" s="1"/>
  <c r="BC21" i="5" s="1"/>
  <c r="BL21" i="5" s="1"/>
  <c r="BU21" i="5" s="1"/>
  <c r="CD21" i="5" s="1"/>
  <c r="CM21" i="5" s="1"/>
  <c r="CV21" i="5" s="1"/>
  <c r="DE21" i="5" s="1"/>
  <c r="DN21" i="5" s="1"/>
  <c r="DW21" i="5" s="1"/>
  <c r="EA20" i="5"/>
  <c r="DZ20" i="5"/>
  <c r="DY20" i="5"/>
  <c r="AB20" i="5"/>
  <c r="AK20" i="5" s="1"/>
  <c r="AT20" i="5" s="1"/>
  <c r="BC20" i="5" s="1"/>
  <c r="BL20" i="5" s="1"/>
  <c r="BU20" i="5" s="1"/>
  <c r="CD20" i="5" s="1"/>
  <c r="CM20" i="5" s="1"/>
  <c r="CV20" i="5" s="1"/>
  <c r="DE20" i="5" s="1"/>
  <c r="DN20" i="5" s="1"/>
  <c r="DW20" i="5" s="1"/>
  <c r="EA19" i="5"/>
  <c r="DZ19" i="5"/>
  <c r="DY19" i="5"/>
  <c r="AB19" i="5"/>
  <c r="AK19" i="5" s="1"/>
  <c r="AT19" i="5" s="1"/>
  <c r="BC19" i="5" s="1"/>
  <c r="BL19" i="5" s="1"/>
  <c r="BU19" i="5" s="1"/>
  <c r="CD19" i="5" s="1"/>
  <c r="CM19" i="5" s="1"/>
  <c r="CV19" i="5" s="1"/>
  <c r="DE19" i="5" s="1"/>
  <c r="DN19" i="5" s="1"/>
  <c r="DW19" i="5" s="1"/>
  <c r="EA18" i="5"/>
  <c r="DZ18" i="5"/>
  <c r="DY18" i="5"/>
  <c r="AB18" i="5"/>
  <c r="AK18" i="5" s="1"/>
  <c r="AT18" i="5" s="1"/>
  <c r="BC18" i="5" s="1"/>
  <c r="BL18" i="5" s="1"/>
  <c r="BU18" i="5" s="1"/>
  <c r="CD18" i="5" s="1"/>
  <c r="CM18" i="5" s="1"/>
  <c r="CV18" i="5" s="1"/>
  <c r="DE18" i="5" s="1"/>
  <c r="DN18" i="5" s="1"/>
  <c r="DW18" i="5" s="1"/>
  <c r="EA17" i="5"/>
  <c r="DZ17" i="5"/>
  <c r="DY17" i="5"/>
  <c r="AK17" i="5"/>
  <c r="AT17" i="5" s="1"/>
  <c r="BC17" i="5" s="1"/>
  <c r="BL17" i="5" s="1"/>
  <c r="BU17" i="5" s="1"/>
  <c r="CD17" i="5" s="1"/>
  <c r="CM17" i="5" s="1"/>
  <c r="CV17" i="5" s="1"/>
  <c r="DE17" i="5" s="1"/>
  <c r="DN17" i="5" s="1"/>
  <c r="DW17" i="5" s="1"/>
  <c r="AB17" i="5"/>
  <c r="EA16" i="5"/>
  <c r="DZ16" i="5"/>
  <c r="DY16" i="5"/>
  <c r="AB16" i="5"/>
  <c r="AK16" i="5" s="1"/>
  <c r="AT16" i="5" s="1"/>
  <c r="BC16" i="5" s="1"/>
  <c r="BL16" i="5" s="1"/>
  <c r="BU16" i="5" s="1"/>
  <c r="CD16" i="5" s="1"/>
  <c r="CM16" i="5" s="1"/>
  <c r="CV16" i="5" s="1"/>
  <c r="DE16" i="5" s="1"/>
  <c r="DN16" i="5" s="1"/>
  <c r="DW16" i="5" s="1"/>
  <c r="EA15" i="5"/>
  <c r="DZ15" i="5"/>
  <c r="DY15" i="5"/>
  <c r="AB15" i="5"/>
  <c r="AK15" i="5" s="1"/>
  <c r="AT15" i="5" s="1"/>
  <c r="BC15" i="5" s="1"/>
  <c r="BL15" i="5" s="1"/>
  <c r="BU15" i="5" s="1"/>
  <c r="CD15" i="5" s="1"/>
  <c r="CM15" i="5" s="1"/>
  <c r="CV15" i="5" s="1"/>
  <c r="DE15" i="5" s="1"/>
  <c r="DN15" i="5" s="1"/>
  <c r="DW15" i="5" s="1"/>
  <c r="EA14" i="5"/>
  <c r="DZ14" i="5"/>
  <c r="DY14" i="5"/>
  <c r="AB14" i="5"/>
  <c r="EA13" i="5"/>
  <c r="DZ13" i="5"/>
  <c r="DY13" i="5"/>
  <c r="AB13" i="5"/>
  <c r="AK13" i="5" s="1"/>
  <c r="DS5" i="5"/>
  <c r="DQ5" i="5"/>
  <c r="DG5" i="5"/>
  <c r="DF5" i="5"/>
  <c r="CY5" i="5"/>
  <c r="CR5" i="5"/>
  <c r="CP5" i="5"/>
  <c r="CO5" i="5"/>
  <c r="CK5" i="5"/>
  <c r="CI5" i="5"/>
  <c r="CE5" i="5"/>
  <c r="CB5" i="5"/>
  <c r="BW5" i="5"/>
  <c r="BV5" i="5"/>
  <c r="BO5" i="5"/>
  <c r="BN5" i="5"/>
  <c r="BF5" i="5"/>
  <c r="BE5" i="5"/>
  <c r="BD5" i="5"/>
  <c r="BA5" i="5"/>
  <c r="AP5" i="5"/>
  <c r="AD5" i="5"/>
  <c r="Z5" i="5"/>
  <c r="V5" i="5"/>
  <c r="U5" i="5"/>
  <c r="E4" i="5"/>
  <c r="D3" i="5"/>
  <c r="AG45" i="3"/>
  <c r="G4" i="3"/>
  <c r="K4" i="3" s="1"/>
  <c r="AT3" i="3"/>
  <c r="AR3" i="3"/>
  <c r="AP3" i="3"/>
  <c r="AN3" i="3"/>
  <c r="AL3" i="3"/>
  <c r="AJ3" i="3"/>
  <c r="AH3" i="3"/>
  <c r="AK2" i="3"/>
  <c r="J1" i="2"/>
  <c r="P12" i="6" l="1"/>
  <c r="P16" i="6"/>
  <c r="P19" i="6"/>
  <c r="P20" i="6"/>
  <c r="P21" i="6"/>
  <c r="P24" i="6"/>
  <c r="P15" i="6"/>
  <c r="P23" i="6"/>
  <c r="P27" i="6"/>
  <c r="P7" i="6"/>
  <c r="P8" i="6"/>
  <c r="P6" i="6"/>
  <c r="P17" i="6"/>
  <c r="P26" i="6"/>
  <c r="P5" i="6"/>
  <c r="P14" i="6"/>
  <c r="P22" i="6"/>
  <c r="P13" i="6"/>
  <c r="P18" i="6"/>
  <c r="AT13" i="5"/>
  <c r="AK14" i="5"/>
  <c r="AT14" i="5" s="1"/>
  <c r="BC14" i="5" s="1"/>
  <c r="BL14" i="5" s="1"/>
  <c r="BU14" i="5" s="1"/>
  <c r="CD14" i="5" s="1"/>
  <c r="CM14" i="5" s="1"/>
  <c r="CV14" i="5" s="1"/>
  <c r="DE14" i="5" s="1"/>
  <c r="DN14" i="5" s="1"/>
  <c r="DW14" i="5" s="1"/>
  <c r="AB48" i="5"/>
  <c r="AB5" i="5" s="1"/>
  <c r="AJ44" i="3"/>
  <c r="AL4" i="3"/>
  <c r="AN4" i="3"/>
  <c r="O4" i="3"/>
  <c r="S4" i="3" s="1"/>
  <c r="P30" i="6" l="1"/>
  <c r="AT48" i="5"/>
  <c r="AT5" i="5" s="1"/>
  <c r="BC13" i="5"/>
  <c r="AK48" i="5"/>
  <c r="AK5" i="5" s="1"/>
  <c r="AR44" i="3"/>
  <c r="AL44" i="3"/>
  <c r="AT44" i="3"/>
  <c r="AP44" i="3"/>
  <c r="AN44" i="3"/>
  <c r="AN45" i="3" s="1"/>
  <c r="W4" i="3"/>
  <c r="AP4" i="3"/>
  <c r="AV44" i="3" l="1"/>
  <c r="BC48" i="5"/>
  <c r="BC5" i="5" s="1"/>
  <c r="BL13" i="5"/>
  <c r="AP45" i="3"/>
  <c r="AP46" i="3" s="1"/>
  <c r="U5" i="3" s="1"/>
  <c r="AR45" i="3"/>
  <c r="AR46" i="3" s="1"/>
  <c r="Y5" i="3" s="1"/>
  <c r="AL45" i="3"/>
  <c r="AL46" i="3" s="1"/>
  <c r="M5" i="3" s="1"/>
  <c r="AN46" i="3"/>
  <c r="Q5" i="3" s="1"/>
  <c r="AJ45" i="3"/>
  <c r="AJ46" i="3" s="1"/>
  <c r="AT45" i="3"/>
  <c r="AR4" i="3"/>
  <c r="AA4" i="3"/>
  <c r="AT4" i="3" s="1"/>
  <c r="BL48" i="5" l="1"/>
  <c r="BL5" i="5" s="1"/>
  <c r="BU13" i="5"/>
  <c r="AT46" i="3"/>
  <c r="AC5" i="3" s="1"/>
  <c r="I5" i="3"/>
  <c r="BU48" i="5" l="1"/>
  <c r="BU5" i="5" s="1"/>
  <c r="CD13" i="5"/>
  <c r="AH45" i="3"/>
  <c r="AH46" i="3" s="1"/>
  <c r="AH47" i="3" s="1"/>
  <c r="AI47" i="3" s="1"/>
  <c r="AE5" i="3" s="1"/>
  <c r="CD48" i="5" l="1"/>
  <c r="CD5" i="5" s="1"/>
  <c r="CM13" i="5"/>
  <c r="E5" i="3"/>
  <c r="CM48" i="5" l="1"/>
  <c r="CM5" i="5" s="1"/>
  <c r="CV13" i="5"/>
  <c r="DE13" i="5" l="1"/>
  <c r="CV48" i="5"/>
  <c r="CV5" i="5" s="1"/>
  <c r="DE48" i="5" l="1"/>
  <c r="DE5" i="5" s="1"/>
  <c r="DN13" i="5"/>
  <c r="DN48" i="5" l="1"/>
  <c r="DN5" i="5" s="1"/>
  <c r="DW13" i="5"/>
  <c r="DW48" i="5" s="1"/>
  <c r="DW5" i="5" s="1"/>
</calcChain>
</file>

<file path=xl/sharedStrings.xml><?xml version="1.0" encoding="utf-8"?>
<sst xmlns="http://schemas.openxmlformats.org/spreadsheetml/2006/main" count="1188" uniqueCount="447">
  <si>
    <t>Restaurant</t>
  </si>
  <si>
    <t>Personalstammdaten</t>
  </si>
  <si>
    <t>Anzahl</t>
  </si>
  <si>
    <t>Name</t>
  </si>
  <si>
    <t>Vorname</t>
  </si>
  <si>
    <t>Telefon Nr1</t>
  </si>
  <si>
    <t>Telefon Nr2</t>
  </si>
  <si>
    <t>Strasse</t>
  </si>
  <si>
    <t>PLZ / Ort</t>
  </si>
  <si>
    <t>Nationalität</t>
  </si>
  <si>
    <t>Bewilligung</t>
  </si>
  <si>
    <t>Station</t>
  </si>
  <si>
    <t>Pensum</t>
  </si>
  <si>
    <t>Eintritt</t>
  </si>
  <si>
    <t>Altenburger</t>
  </si>
  <si>
    <t>Mirco</t>
  </si>
  <si>
    <t>076 320 87 35</t>
  </si>
  <si>
    <t>Überlandstrasse 231</t>
  </si>
  <si>
    <t>8600 Dübendorf</t>
  </si>
  <si>
    <t>CH</t>
  </si>
  <si>
    <t>Bar</t>
  </si>
  <si>
    <t>Akrap</t>
  </si>
  <si>
    <t>Stipe</t>
  </si>
  <si>
    <t>079 950 66 45</t>
  </si>
  <si>
    <t>Seestrasse 81</t>
  </si>
  <si>
    <t>8820 Wedenswil</t>
  </si>
  <si>
    <t>Kroatien</t>
  </si>
  <si>
    <t>C</t>
  </si>
  <si>
    <t>Pasta</t>
  </si>
  <si>
    <t>Assefa</t>
  </si>
  <si>
    <t>Mintesenot</t>
  </si>
  <si>
    <t>076 41 92 696</t>
  </si>
  <si>
    <t>Winterthurerstrasse156</t>
  </si>
  <si>
    <t>8057 Z ürich</t>
  </si>
  <si>
    <t>Äthiopien</t>
  </si>
  <si>
    <t>Mani</t>
  </si>
  <si>
    <t>Axmed Nur</t>
  </si>
  <si>
    <t>Nagib</t>
  </si>
  <si>
    <t xml:space="preserve">076 28 22 620 </t>
  </si>
  <si>
    <t>Herbartstrasse 1</t>
  </si>
  <si>
    <t>8004 Zürich</t>
  </si>
  <si>
    <t>Somalia</t>
  </si>
  <si>
    <t>F</t>
  </si>
  <si>
    <t>Spüle</t>
  </si>
  <si>
    <t>Axmed Maxamuud</t>
  </si>
  <si>
    <t>Dahir</t>
  </si>
  <si>
    <t>078 304 56 81</t>
  </si>
  <si>
    <t>076 531 63 89</t>
  </si>
  <si>
    <t>Zürcherstrasse 215 c/o OG 3</t>
  </si>
  <si>
    <t>8953 Dietikon</t>
  </si>
  <si>
    <t>Barua</t>
  </si>
  <si>
    <t>Sajib</t>
  </si>
  <si>
    <t>076 574 41 77</t>
  </si>
  <si>
    <t>Hohlstrasse 357</t>
  </si>
  <si>
    <t>Bangladesch</t>
  </si>
  <si>
    <t>B</t>
  </si>
  <si>
    <t>Bektes</t>
  </si>
  <si>
    <t>Dituri</t>
  </si>
  <si>
    <t>076 412 92 76</t>
  </si>
  <si>
    <t>Eisenbahnstrasse 8</t>
  </si>
  <si>
    <t>8640 Rapperswil</t>
  </si>
  <si>
    <t>Belgien</t>
  </si>
  <si>
    <t>Pizza</t>
  </si>
  <si>
    <t>Berekhet</t>
  </si>
  <si>
    <t>Abraha</t>
  </si>
  <si>
    <t>076 480 80 62</t>
  </si>
  <si>
    <t>Zürichstrasse 43</t>
  </si>
  <si>
    <t>8143 Adliswil</t>
  </si>
  <si>
    <t>Eritrea</t>
  </si>
  <si>
    <t>Ben Said</t>
  </si>
  <si>
    <t>Arbi</t>
  </si>
  <si>
    <t>078 929 14 04 / 078 61 2 14 06</t>
  </si>
  <si>
    <t>0049 173 15 87 232</t>
  </si>
  <si>
    <t>Speerstrasse 52</t>
  </si>
  <si>
    <t>8038 Zürich</t>
  </si>
  <si>
    <t>D</t>
  </si>
  <si>
    <t>Brazerol</t>
  </si>
  <si>
    <t>Andrea</t>
  </si>
  <si>
    <t>078 789 91 06</t>
  </si>
  <si>
    <t>Eduard Steiner Strasse 7</t>
  </si>
  <si>
    <t>8400 Winterthur</t>
  </si>
  <si>
    <t>S/K/S</t>
  </si>
  <si>
    <t>Blaser</t>
  </si>
  <si>
    <t>Nathalie</t>
  </si>
  <si>
    <t>079 651 57 76</t>
  </si>
  <si>
    <t>Winterthurerstrasse 320</t>
  </si>
  <si>
    <t>8057 Zürich</t>
  </si>
  <si>
    <t>Kasse</t>
  </si>
  <si>
    <t>Cisman Xalaso</t>
  </si>
  <si>
    <t>Hukun</t>
  </si>
  <si>
    <t>076 547 96 84</t>
  </si>
  <si>
    <t>Juchstrasse 25</t>
  </si>
  <si>
    <t>8048 Zürich</t>
  </si>
  <si>
    <t>Cunier</t>
  </si>
  <si>
    <t>Anne-Catherine</t>
  </si>
  <si>
    <t>079 723 96 82</t>
  </si>
  <si>
    <t>044 980 32 29</t>
  </si>
  <si>
    <t>Unterdorfstrasse 16</t>
  </si>
  <si>
    <t>8124 Maur</t>
  </si>
  <si>
    <t>Damianidou</t>
  </si>
  <si>
    <t>Pinelopi</t>
  </si>
  <si>
    <t>078 636 72 41</t>
  </si>
  <si>
    <t>043 931 74 11</t>
  </si>
  <si>
    <t>Albisriederstrasse 356</t>
  </si>
  <si>
    <t>8047 Zürich</t>
  </si>
  <si>
    <t>GR</t>
  </si>
  <si>
    <t>Service</t>
  </si>
  <si>
    <t>Dhrungyigpa</t>
  </si>
  <si>
    <t>Tenzing</t>
  </si>
  <si>
    <t>078 704 83 09</t>
  </si>
  <si>
    <t>Alte Tösstalstrasse 57</t>
  </si>
  <si>
    <t>8487 Zell</t>
  </si>
  <si>
    <t>Prep</t>
  </si>
  <si>
    <t>Fitah</t>
  </si>
  <si>
    <t>Abdulahi Warsame</t>
  </si>
  <si>
    <t>076 532 48 52</t>
  </si>
  <si>
    <t>c/o Faysal Rooble Adaan, Giebeleichstrasse 12</t>
  </si>
  <si>
    <t>8152 Glattbrugg</t>
  </si>
  <si>
    <t>Gabeyre Hashi</t>
  </si>
  <si>
    <t>Sharmarke</t>
  </si>
  <si>
    <t>078 880 95 13</t>
  </si>
  <si>
    <t>Zwinglistrasse 12</t>
  </si>
  <si>
    <t>Grünenfeler</t>
  </si>
  <si>
    <t>Tanja</t>
  </si>
  <si>
    <t>078 834 42 22</t>
  </si>
  <si>
    <t>Mühlestrasse 3</t>
  </si>
  <si>
    <t>8623 Wetzikon</t>
  </si>
  <si>
    <t>Salat</t>
  </si>
  <si>
    <t>Habte</t>
  </si>
  <si>
    <t>Hadish</t>
  </si>
  <si>
    <t>076 246 81 10</t>
  </si>
  <si>
    <t>Weiningenstrasse 44</t>
  </si>
  <si>
    <t>8103 Unterengstringen</t>
  </si>
  <si>
    <t>Süle</t>
  </si>
  <si>
    <t>Hasan Mohamed</t>
  </si>
  <si>
    <t>Ahmed</t>
  </si>
  <si>
    <t>076 576 62 95</t>
  </si>
  <si>
    <t>Albisstrasse 19</t>
  </si>
  <si>
    <t>Hermann</t>
  </si>
  <si>
    <t>Tamara</t>
  </si>
  <si>
    <t>076 282 40 38</t>
  </si>
  <si>
    <t>Poststrasse 95</t>
  </si>
  <si>
    <t>8957 Spreibenach</t>
  </si>
  <si>
    <t>Service/Kasse</t>
  </si>
  <si>
    <t>Huber</t>
  </si>
  <si>
    <t>Roberto</t>
  </si>
  <si>
    <t>076 44 855 82</t>
  </si>
  <si>
    <t>Herbstweg 94</t>
  </si>
  <si>
    <t>8050 Zürich</t>
  </si>
  <si>
    <t>Ivankovic</t>
  </si>
  <si>
    <t>Katja</t>
  </si>
  <si>
    <t>079 562 46 65</t>
  </si>
  <si>
    <t>044 382 59 25</t>
  </si>
  <si>
    <t>Forchstrasse 179</t>
  </si>
  <si>
    <t>8032 Zürich</t>
  </si>
  <si>
    <t>Dolci</t>
  </si>
  <si>
    <t>Khan</t>
  </si>
  <si>
    <t>Sayedur Rahman</t>
  </si>
  <si>
    <t>076 547 94 20</t>
  </si>
  <si>
    <t>Gujerstrasse 7</t>
  </si>
  <si>
    <t>Bangladesh</t>
  </si>
  <si>
    <t>Krauer</t>
  </si>
  <si>
    <t>079 576 26 13</t>
  </si>
  <si>
    <t>Mattackerstrasse 81</t>
  </si>
  <si>
    <t>8052 Zürich</t>
  </si>
  <si>
    <t>Milanovic</t>
  </si>
  <si>
    <t>Miroslava</t>
  </si>
  <si>
    <t>076 265 35 82</t>
  </si>
  <si>
    <t>Aufwiesenstrasse 22</t>
  </si>
  <si>
    <t>8305 Dietlikon</t>
  </si>
  <si>
    <t>Serbien</t>
  </si>
  <si>
    <t>Mock</t>
  </si>
  <si>
    <t>Hanna-Laura</t>
  </si>
  <si>
    <t>076 410 7422</t>
  </si>
  <si>
    <t>Hühnliackerweg 16</t>
  </si>
  <si>
    <t>8610 Uster</t>
  </si>
  <si>
    <t>O'Dwyer</t>
  </si>
  <si>
    <t>Tracey</t>
  </si>
  <si>
    <t>076 249 80 61</t>
  </si>
  <si>
    <t>Distelbergstrasse 8</t>
  </si>
  <si>
    <t>5000 Aarau</t>
  </si>
  <si>
    <t>Irland</t>
  </si>
  <si>
    <t>Pileggi</t>
  </si>
  <si>
    <t>Leonardo</t>
  </si>
  <si>
    <t>078 644 87 47</t>
  </si>
  <si>
    <t>Letzigraben 187</t>
  </si>
  <si>
    <t>Italien</t>
  </si>
  <si>
    <t>Qais</t>
  </si>
  <si>
    <t>Kamal</t>
  </si>
  <si>
    <t>076 541 98 84</t>
  </si>
  <si>
    <t>Rishan</t>
  </si>
  <si>
    <t>Arraya</t>
  </si>
  <si>
    <t>076 549 54 35</t>
  </si>
  <si>
    <t>Aargauer Strasse 32</t>
  </si>
  <si>
    <t>Sopaj</t>
  </si>
  <si>
    <t>Florim</t>
  </si>
  <si>
    <t>077 441 44 83</t>
  </si>
  <si>
    <t>Starengasse 10</t>
  </si>
  <si>
    <t>Kosovo</t>
  </si>
  <si>
    <t>Stojic</t>
  </si>
  <si>
    <t>Ana</t>
  </si>
  <si>
    <t>078 912 81 86</t>
  </si>
  <si>
    <t>Pflugstrasse 20</t>
  </si>
  <si>
    <t>8952 Schlieren</t>
  </si>
  <si>
    <t>Salat/Service</t>
  </si>
  <si>
    <t>Suranyi</t>
  </si>
  <si>
    <t>Meryem</t>
  </si>
  <si>
    <t>079 461 1888</t>
  </si>
  <si>
    <t>Zürcherstrasse 72a</t>
  </si>
  <si>
    <t>5432 Neuenhof</t>
  </si>
  <si>
    <t>Deutsch</t>
  </si>
  <si>
    <t>Suter</t>
  </si>
  <si>
    <t>Remy</t>
  </si>
  <si>
    <t>079 568 97 11</t>
  </si>
  <si>
    <t>Feldüetliweg 9</t>
  </si>
  <si>
    <t>8706 Meilen</t>
  </si>
  <si>
    <t>Kasse/Salat</t>
  </si>
  <si>
    <t>Sellathurai</t>
  </si>
  <si>
    <t>Suganthas</t>
  </si>
  <si>
    <t>078 709 73 19</t>
  </si>
  <si>
    <t>Sielfeldstrasse 32</t>
  </si>
  <si>
    <t>8003 Zürich</t>
  </si>
  <si>
    <t>Service/Prep</t>
  </si>
  <si>
    <t>Taveira Ribeiro Pires</t>
  </si>
  <si>
    <t>Joao Filipe</t>
  </si>
  <si>
    <t>079 716 26 52</t>
  </si>
  <si>
    <t>Manessestrasse 66</t>
  </si>
  <si>
    <t>Portugal</t>
  </si>
  <si>
    <t>Velikova</t>
  </si>
  <si>
    <t>Vesselina</t>
  </si>
  <si>
    <t>079 465 35 75</t>
  </si>
  <si>
    <t>Weidlistrasse 78</t>
  </si>
  <si>
    <t>8810 Horgen</t>
  </si>
  <si>
    <t>Yuusuf Maxamuud</t>
  </si>
  <si>
    <t>Maxamed</t>
  </si>
  <si>
    <t>076 533 69 84</t>
  </si>
  <si>
    <t>Gotthardstrasse 9</t>
  </si>
  <si>
    <t>6415 Arth</t>
  </si>
  <si>
    <t>Zdanovic</t>
  </si>
  <si>
    <t>Vitalij</t>
  </si>
  <si>
    <t>076 480 12 93</t>
  </si>
  <si>
    <t>Gumpisbüelstrasse 64</t>
  </si>
  <si>
    <t>Litauen</t>
  </si>
  <si>
    <t>Service/Bar</t>
  </si>
  <si>
    <t>K-Woche</t>
  </si>
  <si>
    <t>Stundenansatz</t>
  </si>
  <si>
    <t>Labor Vorgaben Monat</t>
  </si>
  <si>
    <t>NAME</t>
  </si>
  <si>
    <t>MONTAG</t>
  </si>
  <si>
    <t>DIENSTAG</t>
  </si>
  <si>
    <t>MITTWOCH</t>
  </si>
  <si>
    <t>DONNERSTAG</t>
  </si>
  <si>
    <t>FREITAG</t>
  </si>
  <si>
    <t>SAMSTAG</t>
  </si>
  <si>
    <t>SONNTAG</t>
  </si>
  <si>
    <t>Labor auf Woche</t>
  </si>
  <si>
    <t>Wenn Wert höher als Vorgabe, wird das Feld rot.</t>
  </si>
  <si>
    <t>Umsatz eingeben</t>
  </si>
  <si>
    <t>Labor</t>
  </si>
  <si>
    <t>Früh</t>
  </si>
  <si>
    <t>Spät</t>
  </si>
  <si>
    <t>Vorgaben Monat</t>
  </si>
  <si>
    <t>Pause</t>
  </si>
  <si>
    <t>F= Frei</t>
  </si>
  <si>
    <t>MS =  Mutterschaft</t>
  </si>
  <si>
    <t>Stunde</t>
  </si>
  <si>
    <t>FT= Feiertag</t>
  </si>
  <si>
    <t>KO= Kompensation</t>
  </si>
  <si>
    <t>Gesamt</t>
  </si>
  <si>
    <t>FE= Ferien</t>
  </si>
  <si>
    <t>MI= Militär</t>
  </si>
  <si>
    <t>K= Krank</t>
  </si>
  <si>
    <t>FW=Freiwunsch</t>
  </si>
  <si>
    <t>Woche</t>
  </si>
  <si>
    <t>Montag</t>
  </si>
  <si>
    <t>Dienstag</t>
  </si>
  <si>
    <t>Mittwoch</t>
  </si>
  <si>
    <t>Donnerstag</t>
  </si>
  <si>
    <t>Freitag</t>
  </si>
  <si>
    <t>Samstag</t>
  </si>
  <si>
    <t>Sonntag</t>
  </si>
  <si>
    <t>Umsatz Woche</t>
  </si>
  <si>
    <t>Stundenkontrolle Vapiano</t>
  </si>
  <si>
    <t>Total Fix</t>
  </si>
  <si>
    <t>Übersicht Monat</t>
  </si>
  <si>
    <t>Soll Std. Monat</t>
  </si>
  <si>
    <t>Ferien 2011 inkl. VJ</t>
  </si>
  <si>
    <t>Feiertage 2011 inkl. VJ</t>
  </si>
  <si>
    <t>Saldo Std. VJ</t>
  </si>
  <si>
    <t>Std. Januar 2011</t>
  </si>
  <si>
    <t>Kompensation ( Std. )</t>
  </si>
  <si>
    <t>Ferien bez. ( Tage )</t>
  </si>
  <si>
    <t>Feiertage bez. ( Tage )</t>
  </si>
  <si>
    <t>Unfall / Krank / Militär    ( Tage à 6h )</t>
  </si>
  <si>
    <t>Saldo Januar 2011</t>
  </si>
  <si>
    <t>Std. Februar 2011</t>
  </si>
  <si>
    <t>Saldo Februar 2011</t>
  </si>
  <si>
    <t>Std. März 2011</t>
  </si>
  <si>
    <t>Saldo März 2011</t>
  </si>
  <si>
    <t>Std. April 2011</t>
  </si>
  <si>
    <t>Saldo April 2011</t>
  </si>
  <si>
    <t>Std. Mai 2011</t>
  </si>
  <si>
    <t>Saldo Mai 2011</t>
  </si>
  <si>
    <t>Std. Juni 2011</t>
  </si>
  <si>
    <t>Saldo Juni 2011</t>
  </si>
  <si>
    <t>Std. Juli 2011</t>
  </si>
  <si>
    <t>Saldo Juli 2011</t>
  </si>
  <si>
    <t>Std. August 2011</t>
  </si>
  <si>
    <t>Saldo August 2011</t>
  </si>
  <si>
    <t>Std. September 2011</t>
  </si>
  <si>
    <t>Saldo Sep. 2011</t>
  </si>
  <si>
    <t>Std. Oktober 2011</t>
  </si>
  <si>
    <t>Saldo Okt. 2011</t>
  </si>
  <si>
    <t>Std. November 2011</t>
  </si>
  <si>
    <t>Saldo Nov. 2011</t>
  </si>
  <si>
    <t>Std. Dezember 2011</t>
  </si>
  <si>
    <t>Saldo Dez. 2011</t>
  </si>
  <si>
    <t>Ferien Saldo 2011</t>
  </si>
  <si>
    <t>Feiertag Saldo 2011</t>
  </si>
  <si>
    <t>Unfall / Krank / Militär</t>
  </si>
  <si>
    <t>P.E.</t>
  </si>
  <si>
    <t>Afrim</t>
  </si>
  <si>
    <t>Mustafa</t>
  </si>
  <si>
    <t>Dallmann</t>
  </si>
  <si>
    <t>Christoph</t>
  </si>
  <si>
    <t>De Abreu Subtil</t>
  </si>
  <si>
    <t>Luis Filipe</t>
  </si>
  <si>
    <t>Denic</t>
  </si>
  <si>
    <t>Danijela</t>
  </si>
  <si>
    <t>Hadji</t>
  </si>
  <si>
    <t>Sumo</t>
  </si>
  <si>
    <t>Manif</t>
  </si>
  <si>
    <t>Hirsi Hilowie</t>
  </si>
  <si>
    <t>Zakariye</t>
  </si>
  <si>
    <t>Landolt</t>
  </si>
  <si>
    <t>Verena</t>
  </si>
  <si>
    <t>Müller</t>
  </si>
  <si>
    <t>Dayadi</t>
  </si>
  <si>
    <t>Plotnick</t>
  </si>
  <si>
    <t>Yves</t>
  </si>
  <si>
    <t>Rutz</t>
  </si>
  <si>
    <t>Serena</t>
  </si>
  <si>
    <t>Sarfraz</t>
  </si>
  <si>
    <t>Rana</t>
  </si>
  <si>
    <t>Tewelde</t>
  </si>
  <si>
    <t>Daniel</t>
  </si>
  <si>
    <t>Taveira Ribeiro</t>
  </si>
  <si>
    <t>Total</t>
  </si>
  <si>
    <t>Uniformen Monat Januar 2011</t>
  </si>
  <si>
    <t>24.40</t>
  </si>
  <si>
    <t>Kochjacke</t>
  </si>
  <si>
    <t>1.65</t>
  </si>
  <si>
    <t>Knöpfe</t>
  </si>
  <si>
    <t>23.50</t>
  </si>
  <si>
    <t>Hemd</t>
  </si>
  <si>
    <t>20.10</t>
  </si>
  <si>
    <t>Schürze</t>
  </si>
  <si>
    <t>9.80</t>
  </si>
  <si>
    <t>Bandana</t>
  </si>
  <si>
    <t>17.75</t>
  </si>
  <si>
    <t>Krawatte</t>
  </si>
  <si>
    <t>32.90</t>
  </si>
  <si>
    <t>Pulli</t>
  </si>
  <si>
    <t>Küche</t>
  </si>
  <si>
    <t xml:space="preserve">Stefan </t>
  </si>
  <si>
    <t>Miro</t>
  </si>
  <si>
    <t>Dienstplan Olív</t>
  </si>
  <si>
    <t>Kochen</t>
  </si>
  <si>
    <t>Sushi</t>
  </si>
  <si>
    <t>Bar/Pass/Service Unten</t>
  </si>
  <si>
    <t>Artin</t>
  </si>
  <si>
    <t>Kalte Küche</t>
  </si>
  <si>
    <t>Pass</t>
  </si>
  <si>
    <t>Produktion</t>
  </si>
  <si>
    <t>Arber</t>
  </si>
  <si>
    <t>Marion</t>
  </si>
  <si>
    <t>Carlos</t>
  </si>
  <si>
    <t>Mendim</t>
  </si>
  <si>
    <t>Bar/Pass/Service Oben</t>
  </si>
  <si>
    <t>Event</t>
  </si>
  <si>
    <t>Edi</t>
  </si>
  <si>
    <t>Joana</t>
  </si>
  <si>
    <t>Nahuel</t>
  </si>
  <si>
    <t>PLUS 106</t>
  </si>
  <si>
    <t>3000CHF</t>
  </si>
  <si>
    <t>110:88:00</t>
  </si>
  <si>
    <t>24:70:00</t>
  </si>
  <si>
    <t>Mejdi</t>
  </si>
  <si>
    <t>Husein</t>
  </si>
  <si>
    <t>Viktor</t>
  </si>
  <si>
    <t>CORNER BAR</t>
  </si>
  <si>
    <t>Culi</t>
  </si>
  <si>
    <t>Franco</t>
  </si>
  <si>
    <t>Arsim</t>
  </si>
  <si>
    <t>Ali</t>
  </si>
  <si>
    <t>Sadete</t>
  </si>
  <si>
    <t>Radja</t>
  </si>
  <si>
    <t>Marcel</t>
  </si>
  <si>
    <t>Aushilfe</t>
  </si>
  <si>
    <t>Isabella</t>
  </si>
  <si>
    <t>SCHULUNG</t>
  </si>
  <si>
    <t xml:space="preserve">NOVEMBER </t>
  </si>
  <si>
    <t>SERVICE</t>
  </si>
  <si>
    <t>VERSION</t>
  </si>
  <si>
    <t xml:space="preserve">LETZE </t>
  </si>
  <si>
    <t xml:space="preserve">Änderung </t>
  </si>
  <si>
    <t>30,10,205</t>
  </si>
  <si>
    <t>FR</t>
  </si>
  <si>
    <t>SA</t>
  </si>
  <si>
    <t>SO</t>
  </si>
  <si>
    <t>MO</t>
  </si>
  <si>
    <t>DI</t>
  </si>
  <si>
    <t>MI</t>
  </si>
  <si>
    <t>DO</t>
  </si>
  <si>
    <t>1,0</t>
  </si>
  <si>
    <t>DIENSTE LEGENDE</t>
  </si>
  <si>
    <t xml:space="preserve">A </t>
  </si>
  <si>
    <t>10:00 bis 14:00 / 17:30 bis 23:00</t>
  </si>
  <si>
    <t xml:space="preserve">B </t>
  </si>
  <si>
    <t>11:00 bis 23:00</t>
  </si>
  <si>
    <t xml:space="preserve">C </t>
  </si>
  <si>
    <t>10:00 bis 14:00</t>
  </si>
  <si>
    <t xml:space="preserve">D </t>
  </si>
  <si>
    <t>17:00 bis 23:30</t>
  </si>
  <si>
    <t>E</t>
  </si>
  <si>
    <t>XXX / XXX</t>
  </si>
  <si>
    <t>A</t>
  </si>
  <si>
    <t>PAUSE 1H</t>
  </si>
  <si>
    <t>PAUSE 30MIN</t>
  </si>
  <si>
    <t>Karel</t>
  </si>
  <si>
    <t>ASIM</t>
  </si>
  <si>
    <t>ALI</t>
  </si>
  <si>
    <t>KÜCHE</t>
  </si>
  <si>
    <t>14    bis 23</t>
  </si>
  <si>
    <t>11:30 bis 21:30</t>
  </si>
  <si>
    <t>FREEI</t>
  </si>
  <si>
    <t>Micky</t>
  </si>
  <si>
    <t>Aushilfe A</t>
  </si>
  <si>
    <t>Aushilfe F</t>
  </si>
  <si>
    <t>O1</t>
  </si>
  <si>
    <t>11 :00 bis 14:00/ 18:23:30</t>
  </si>
  <si>
    <t>18:00 bis 23:30</t>
  </si>
  <si>
    <t xml:space="preserve"> </t>
  </si>
  <si>
    <t>A 1</t>
  </si>
  <si>
    <t>05.01.2026 BIS 01.02.2026</t>
  </si>
  <si>
    <t>JANUAR</t>
  </si>
  <si>
    <t>F-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</si>
</sst>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&quot; €&quot;_-;\-* #,##0.00&quot; €&quot;_-;_-* \-??&quot; €&quot;_-;_-@_-"/>
    <numFmt numFmtId="165" formatCode="0\ %"/>
    <numFmt numFmtId="166" formatCode="&quot;Fr. &quot;#,##0.00;[Red]&quot;Fr. -&quot;#,##0.00"/>
    <numFmt numFmtId="167" formatCode="_ * #,##0.00_ ;_ * \-#,##0.00_ ;_ * \-??_ ;_ @_ "/>
    <numFmt numFmtId="168" formatCode="[$-407]dd/mm/yyyy"/>
    <numFmt numFmtId="169" formatCode="&quot;Fr. &quot;#,##0.00"/>
    <numFmt numFmtId="170" formatCode="0.00\ %"/>
    <numFmt numFmtId="171" formatCode="[$-407]hh:mm"/>
    <numFmt numFmtId="172" formatCode="[hh]:mm"/>
    <numFmt numFmtId="173" formatCode="0.00&quot; P.E.&quot;"/>
    <numFmt numFmtId="174" formatCode="mmmm\ yyyy"/>
    <numFmt numFmtId="175" formatCode="[Green]0.00;[Red]\-0.00"/>
  </numFmts>
  <fonts count="8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sz val="20"/>
      <color rgb="FF000000"/>
      <name val="Calibri"/>
      <family val="2"/>
      <charset val="1"/>
    </font>
    <font>
      <i/>
      <sz val="22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i/>
      <sz val="16"/>
      <color rgb="FFFFFFFF"/>
      <name val="Calibri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Arial"/>
      <family val="2"/>
      <charset val="1"/>
    </font>
    <font>
      <sz val="10"/>
      <color rgb="FFFFFFFF"/>
      <name val="Arial"/>
      <family val="2"/>
      <charset val="1"/>
    </font>
    <font>
      <sz val="9"/>
      <color rgb="FFFFFFFF"/>
      <name val="Arial"/>
      <family val="2"/>
      <charset val="1"/>
    </font>
    <font>
      <sz val="9"/>
      <color rgb="FFFFFFFF"/>
      <name val="Calibri"/>
      <family val="2"/>
      <charset val="1"/>
    </font>
    <font>
      <sz val="9"/>
      <name val="Calibri"/>
      <family val="2"/>
      <charset val="1"/>
    </font>
    <font>
      <b/>
      <sz val="8"/>
      <color rgb="FF000000"/>
      <name val="Arial"/>
      <family val="2"/>
      <charset val="1"/>
    </font>
    <font>
      <b/>
      <sz val="8"/>
      <name val="Arial"/>
      <family val="2"/>
      <charset val="1"/>
    </font>
    <font>
      <i/>
      <sz val="8"/>
      <color rgb="FFFFFFFF"/>
      <name val="Arial"/>
      <family val="2"/>
      <charset val="1"/>
    </font>
    <font>
      <i/>
      <sz val="8"/>
      <color rgb="FF7F7F7F"/>
      <name val="Arial"/>
      <family val="2"/>
      <charset val="1"/>
    </font>
    <font>
      <i/>
      <sz val="8"/>
      <color rgb="FF7F7F7F"/>
      <name val="Calibri"/>
      <family val="2"/>
      <charset val="1"/>
    </font>
    <font>
      <i/>
      <sz val="8"/>
      <name val="Arial"/>
      <family val="2"/>
      <charset val="1"/>
    </font>
    <font>
      <i/>
      <sz val="8"/>
      <color rgb="FF00CCFF"/>
      <name val="Arial"/>
      <family val="2"/>
      <charset val="1"/>
    </font>
    <font>
      <b/>
      <sz val="11"/>
      <name val="Arial"/>
      <family val="2"/>
      <charset val="1"/>
    </font>
    <font>
      <sz val="5"/>
      <name val="Arial"/>
      <family val="2"/>
      <charset val="1"/>
    </font>
    <font>
      <b/>
      <sz val="5"/>
      <name val="Arial"/>
      <family val="2"/>
      <charset val="1"/>
    </font>
    <font>
      <i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5"/>
      <color rgb="FF404040"/>
      <name val="Arial"/>
      <family val="2"/>
      <charset val="1"/>
    </font>
    <font>
      <i/>
      <sz val="7"/>
      <color rgb="FF000000"/>
      <name val="Calibri"/>
      <family val="2"/>
      <charset val="1"/>
    </font>
    <font>
      <b/>
      <i/>
      <sz val="7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i/>
      <sz val="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5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8"/>
      <color rgb="FFFFFFFF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6"/>
      <name val="Arial"/>
      <family val="2"/>
      <charset val="1"/>
    </font>
    <font>
      <sz val="6"/>
      <name val="Arial"/>
      <family val="2"/>
      <charset val="1"/>
    </font>
    <font>
      <i/>
      <sz val="8"/>
      <name val="Calibri"/>
      <family val="2"/>
      <charset val="1"/>
    </font>
    <font>
      <i/>
      <sz val="8"/>
      <color rgb="FFFF0000"/>
      <name val="Calibri"/>
      <family val="2"/>
      <charset val="1"/>
    </font>
    <font>
      <i/>
      <sz val="9"/>
      <color rgb="FFFFFFFF"/>
      <name val="Arial"/>
      <family val="2"/>
      <charset val="1"/>
    </font>
    <font>
      <sz val="8"/>
      <color rgb="FF0000FF"/>
      <name val="Arial"/>
      <family val="2"/>
      <charset val="1"/>
    </font>
    <font>
      <sz val="5"/>
      <color rgb="FFFFFFFF"/>
      <name val="Calibri"/>
      <family val="2"/>
      <charset val="1"/>
    </font>
    <font>
      <sz val="7"/>
      <name val="Arial"/>
      <family val="2"/>
      <charset val="1"/>
    </font>
    <font>
      <sz val="7"/>
      <name val="Calibri"/>
      <family val="2"/>
      <charset val="1"/>
    </font>
    <font>
      <sz val="8"/>
      <color rgb="FF000000"/>
      <name val="Calibri"/>
      <family val="2"/>
      <charset val="1"/>
    </font>
    <font>
      <sz val="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theme="0"/>
      <name val="Arial"/>
      <family val="2"/>
    </font>
    <font>
      <sz val="8"/>
      <name val="Calibri"/>
      <family val="2"/>
      <charset val="1"/>
    </font>
    <font>
      <sz val="10"/>
      <color rgb="FF000000"/>
      <name val="Arial"/>
      <family val="2"/>
    </font>
    <font>
      <b/>
      <sz val="5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6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8"/>
      <color theme="1"/>
      <name val="Calibri"/>
      <family val="2"/>
      <charset val="1"/>
    </font>
    <font>
      <sz val="10"/>
      <color theme="1"/>
      <name val="Arial"/>
      <family val="2"/>
    </font>
    <font>
      <i/>
      <sz val="8"/>
      <color theme="1"/>
      <name val="Arial"/>
      <family val="2"/>
      <charset val="1"/>
    </font>
    <font>
      <sz val="6"/>
      <color rgb="FF000000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8"/>
      <color rgb="FF000000"/>
      <name val="Arial"/>
      <family val="2"/>
    </font>
    <font>
      <b/>
      <sz val="6"/>
      <name val="Arial"/>
      <family val="2"/>
    </font>
    <font>
      <i/>
      <sz val="6"/>
      <color rgb="FFFFFFFF"/>
      <name val="Arial"/>
      <family val="2"/>
      <charset val="1"/>
    </font>
    <font>
      <sz val="6"/>
      <color theme="0"/>
      <name val="Arial"/>
      <family val="2"/>
    </font>
    <font>
      <i/>
      <sz val="10"/>
      <color theme="8" tint="-0.249977111117893"/>
      <name val="Arial"/>
      <family val="2"/>
      <charset val="1"/>
    </font>
    <font>
      <i/>
      <sz val="9"/>
      <color theme="8" tint="-0.249977111117893"/>
      <name val="Arial"/>
      <family val="2"/>
      <charset val="1"/>
    </font>
    <font>
      <sz val="5"/>
      <color theme="8" tint="-0.249977111117893"/>
      <name val="Arial"/>
      <family val="2"/>
      <charset val="1"/>
    </font>
    <font>
      <sz val="20"/>
      <color theme="1" tint="0.249977111117893"/>
      <name val="Calibri"/>
      <family val="2"/>
      <charset val="1"/>
    </font>
    <font>
      <b/>
      <sz val="6"/>
      <color theme="1"/>
      <name val="Arial"/>
      <family val="2"/>
    </font>
    <font>
      <sz val="10"/>
      <color rgb="FFFFC000"/>
      <name val="Arial"/>
      <family val="2"/>
      <charset val="1"/>
    </font>
    <font>
      <sz val="10"/>
      <color rgb="FFFFC000"/>
      <name val="Arial"/>
      <family val="2"/>
    </font>
    <font>
      <b/>
      <sz val="8"/>
      <color theme="1" tint="4.9989318521683403E-2"/>
      <name val="Arial"/>
      <family val="2"/>
      <charset val="1"/>
    </font>
    <font>
      <b/>
      <sz val="8"/>
      <color theme="0"/>
      <name val="Arial"/>
      <family val="2"/>
      <charset val="1"/>
    </font>
    <font>
      <b/>
      <sz val="16"/>
      <color theme="0"/>
      <name val="Aptos ExtraBold"/>
      <family val="2"/>
    </font>
    <font>
      <b/>
      <sz val="16"/>
      <color theme="0"/>
      <name val="Algerian"/>
      <family val="5"/>
    </font>
    <font>
      <sz val="14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4"/>
      <color rgb="FF000000"/>
      <name val="Arial"/>
      <family val="2"/>
    </font>
    <font>
      <i/>
      <sz val="14"/>
      <color rgb="FFFFFFFF"/>
      <name val="Arial"/>
      <family val="2"/>
      <charset val="1"/>
    </font>
    <font>
      <sz val="14"/>
      <color rgb="FFFFFFFF"/>
      <name val="Arial"/>
      <family val="2"/>
      <charset val="1"/>
    </font>
    <font>
      <sz val="14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sz val="6"/>
      <color rgb="FFFF0000"/>
      <name val="Arial"/>
      <family val="2"/>
      <charset val="1"/>
    </font>
  </fonts>
  <fills count="61">
    <fill>
      <patternFill patternType="none"/>
    </fill>
    <fill>
      <patternFill patternType="gray125"/>
    </fill>
    <fill>
      <patternFill patternType="solid">
        <fgColor rgb="FFC0504D"/>
        <bgColor rgb="FF993300"/>
      </patternFill>
    </fill>
    <fill>
      <patternFill patternType="solid">
        <fgColor rgb="FFFF0000"/>
        <bgColor rgb="FF9C0006"/>
      </patternFill>
    </fill>
    <fill>
      <patternFill patternType="solid">
        <fgColor rgb="FFFFFFFF"/>
        <bgColor rgb="FFFFFFCC"/>
      </patternFill>
    </fill>
    <fill>
      <patternFill patternType="solid">
        <fgColor rgb="FF993300"/>
        <bgColor rgb="FF9C0006"/>
      </patternFill>
    </fill>
    <fill>
      <patternFill patternType="solid">
        <fgColor rgb="FF95B3D7"/>
        <bgColor rgb="FF99CCFF"/>
      </patternFill>
    </fill>
    <fill>
      <patternFill patternType="solid">
        <fgColor rgb="FF000000"/>
        <bgColor rgb="FF003300"/>
      </patternFill>
    </fill>
    <fill>
      <patternFill patternType="solid">
        <fgColor rgb="FF558ED5"/>
        <bgColor rgb="FF7F7F7F"/>
      </patternFill>
    </fill>
    <fill>
      <patternFill patternType="solid">
        <fgColor rgb="FF99CCFF"/>
        <bgColor rgb="FFB9CDE5"/>
      </patternFill>
    </fill>
    <fill>
      <patternFill patternType="solid">
        <fgColor rgb="FF00B0F0"/>
        <bgColor rgb="FF00CCFF"/>
      </patternFill>
    </fill>
    <fill>
      <patternFill patternType="solid">
        <fgColor rgb="FFC6D9F1"/>
        <bgColor rgb="FFCCCCFF"/>
      </patternFill>
    </fill>
    <fill>
      <patternFill patternType="solid">
        <fgColor rgb="FF0066CC"/>
        <bgColor rgb="FF008080"/>
      </patternFill>
    </fill>
    <fill>
      <patternFill patternType="solid">
        <fgColor rgb="FFCC99FF"/>
        <bgColor rgb="FFFC9EEF"/>
      </patternFill>
    </fill>
    <fill>
      <patternFill patternType="solid">
        <fgColor rgb="FFCCCCFF"/>
        <bgColor rgb="FFC6D9F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C6D9F1"/>
      </patternFill>
    </fill>
    <fill>
      <patternFill patternType="solid">
        <fgColor rgb="FF92D05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5" tint="0.39997558519241921"/>
        <bgColor rgb="FFFFFFCC"/>
      </patternFill>
    </fill>
    <fill>
      <patternFill patternType="solid">
        <fgColor theme="7" tint="-0.249977111117893"/>
        <bgColor rgb="FFFFFFCC"/>
      </patternFill>
    </fill>
    <fill>
      <patternFill patternType="solid">
        <fgColor theme="4" tint="0.39997558519241921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FFFFCC"/>
      </patternFill>
    </fill>
    <fill>
      <patternFill patternType="solid">
        <fgColor rgb="FF00FFF8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theme="1"/>
        <bgColor rgb="FFFFFFCC"/>
      </patternFill>
    </fill>
    <fill>
      <patternFill patternType="solid">
        <fgColor theme="1"/>
        <bgColor rgb="FFC6D9F1"/>
      </patternFill>
    </fill>
    <fill>
      <patternFill patternType="solid">
        <fgColor rgb="FF92D050"/>
        <bgColor rgb="FFB9CDE5"/>
      </patternFill>
    </fill>
    <fill>
      <patternFill patternType="solid">
        <fgColor theme="0"/>
        <bgColor rgb="FF003300"/>
      </patternFill>
    </fill>
    <fill>
      <patternFill patternType="solid">
        <fgColor rgb="FFFF0000"/>
        <bgColor rgb="FF003300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7030A0"/>
        <b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79998168889431442"/>
        <bgColor rgb="FFCCCCFF"/>
      </patternFill>
    </fill>
    <fill>
      <patternFill patternType="solid">
        <fgColor theme="6" tint="0.39997558519241921"/>
        <bgColor rgb="FFFFFFCC"/>
      </patternFill>
    </fill>
    <fill>
      <patternFill patternType="solid">
        <fgColor theme="5" tint="0.39997558519241921"/>
        <bgColor rgb="FFCCCCFF"/>
      </patternFill>
    </fill>
    <fill>
      <patternFill patternType="solid">
        <fgColor rgb="FFFF0000"/>
        <bgColor rgb="FFB9CDE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rgb="FF7F7F7F"/>
      </patternFill>
    </fill>
    <fill>
      <patternFill patternType="solid">
        <fgColor theme="4" tint="0.79998168889431442"/>
        <bgColor rgb="FF7F7F7F"/>
      </patternFill>
    </fill>
    <fill>
      <patternFill patternType="solid">
        <fgColor rgb="FFFFC000"/>
        <bgColor rgb="FFCCCCFF"/>
      </patternFill>
    </fill>
    <fill>
      <patternFill patternType="solid">
        <fgColor rgb="FF00B050"/>
        <bgColor rgb="FFFFFFCC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FFFF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4" tint="0.59999389629810485"/>
        <bgColor rgb="FFFFFFCC"/>
      </patternFill>
    </fill>
    <fill>
      <patternFill patternType="solid">
        <fgColor theme="0"/>
        <bgColor rgb="FF99CCFF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4.9989318521683403E-2"/>
        <bgColor rgb="FFFFFFCC"/>
      </patternFill>
    </fill>
    <fill>
      <patternFill patternType="solid">
        <fgColor theme="1" tint="4.9989318521683403E-2"/>
        <bgColor rgb="FFC6D9F1"/>
      </patternFill>
    </fill>
    <fill>
      <patternFill patternType="solid">
        <fgColor rgb="FFFF0000"/>
        <bgColor rgb="FF7F7F7F"/>
      </patternFill>
    </fill>
    <fill>
      <patternFill patternType="solid">
        <fgColor rgb="FFFF0000"/>
        <bgColor indexed="64"/>
      </patternFill>
    </fill>
  </fills>
  <borders count="9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1">
    <xf numFmtId="0" fontId="0" fillId="0" borderId="0"/>
    <xf numFmtId="167" fontId="50" fillId="0" borderId="0" applyBorder="0" applyProtection="0"/>
    <xf numFmtId="165" fontId="50" fillId="0" borderId="0" applyBorder="0" applyProtection="0"/>
    <xf numFmtId="164" fontId="50" fillId="0" borderId="0" applyBorder="0" applyProtection="0"/>
    <xf numFmtId="165" fontId="50" fillId="0" borderId="0" applyBorder="0" applyProtection="0"/>
    <xf numFmtId="0" fontId="1" fillId="0" borderId="0"/>
    <xf numFmtId="0" fontId="2" fillId="0" borderId="0"/>
    <xf numFmtId="0" fontId="1" fillId="0" borderId="0" applyBorder="0"/>
    <xf numFmtId="0" fontId="1" fillId="0" borderId="0" applyBorder="0"/>
    <xf numFmtId="166" fontId="50" fillId="0" borderId="0" applyBorder="0" applyProtection="0"/>
    <xf numFmtId="0" fontId="5" fillId="2" borderId="0" applyBorder="0" applyProtection="0"/>
  </cellStyleXfs>
  <cellXfs count="563">
    <xf numFmtId="0" fontId="0" fillId="0" borderId="0" xfId="0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  <xf numFmtId="168" fontId="0" fillId="0" borderId="6" xfId="0" applyNumberForma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168" fontId="0" fillId="0" borderId="1" xfId="0" applyNumberForma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0" fontId="7" fillId="0" borderId="0" xfId="7" applyFont="1" applyBorder="1" applyAlignment="1">
      <alignment horizontal="center" vertical="center"/>
    </xf>
    <xf numFmtId="0" fontId="8" fillId="0" borderId="0" xfId="7" applyFont="1" applyBorder="1"/>
    <xf numFmtId="0" fontId="8" fillId="0" borderId="0" xfId="7" applyFont="1" applyBorder="1" applyAlignment="1">
      <alignment horizontal="center"/>
    </xf>
    <xf numFmtId="0" fontId="1" fillId="0" borderId="0" xfId="7" applyBorder="1" applyAlignment="1">
      <alignment horizontal="center"/>
    </xf>
    <xf numFmtId="0" fontId="1" fillId="0" borderId="0" xfId="7" applyBorder="1"/>
    <xf numFmtId="0" fontId="9" fillId="0" borderId="0" xfId="7" applyFont="1" applyBorder="1" applyAlignment="1">
      <alignment horizontal="right"/>
    </xf>
    <xf numFmtId="0" fontId="1" fillId="0" borderId="0" xfId="7" applyBorder="1" applyAlignment="1">
      <alignment horizontal="right"/>
    </xf>
    <xf numFmtId="0" fontId="1" fillId="7" borderId="0" xfId="7" applyFill="1" applyBorder="1"/>
    <xf numFmtId="0" fontId="10" fillId="7" borderId="1" xfId="7" applyFont="1" applyFill="1" applyBorder="1" applyAlignment="1">
      <alignment horizontal="center"/>
    </xf>
    <xf numFmtId="169" fontId="12" fillId="3" borderId="1" xfId="0" applyNumberFormat="1" applyFont="1" applyFill="1" applyBorder="1" applyAlignment="1">
      <alignment horizontal="right"/>
    </xf>
    <xf numFmtId="0" fontId="12" fillId="7" borderId="1" xfId="0" applyFont="1" applyFill="1" applyBorder="1" applyAlignment="1">
      <alignment horizontal="right"/>
    </xf>
    <xf numFmtId="0" fontId="1" fillId="7" borderId="0" xfId="7" applyFill="1" applyBorder="1" applyAlignment="1">
      <alignment horizontal="right"/>
    </xf>
    <xf numFmtId="0" fontId="1" fillId="3" borderId="1" xfId="7" applyFill="1" applyBorder="1" applyAlignment="1">
      <alignment horizontal="center"/>
    </xf>
    <xf numFmtId="0" fontId="12" fillId="3" borderId="1" xfId="0" applyFont="1" applyFill="1" applyBorder="1" applyAlignment="1">
      <alignment horizontal="right"/>
    </xf>
    <xf numFmtId="170" fontId="13" fillId="7" borderId="1" xfId="2" applyNumberFormat="1" applyFont="1" applyFill="1" applyBorder="1" applyAlignment="1" applyProtection="1">
      <alignment horizontal="right"/>
    </xf>
    <xf numFmtId="168" fontId="1" fillId="7" borderId="0" xfId="7" applyNumberFormat="1" applyFill="1" applyBorder="1" applyAlignment="1">
      <alignment horizontal="right"/>
    </xf>
    <xf numFmtId="170" fontId="19" fillId="7" borderId="11" xfId="1" applyNumberFormat="1" applyFont="1" applyFill="1" applyBorder="1" applyAlignment="1" applyProtection="1">
      <alignment horizontal="center"/>
    </xf>
    <xf numFmtId="2" fontId="1" fillId="0" borderId="0" xfId="7" applyNumberFormat="1" applyBorder="1"/>
    <xf numFmtId="0" fontId="20" fillId="7" borderId="11" xfId="7" applyFont="1" applyFill="1" applyBorder="1" applyAlignment="1">
      <alignment horizontal="center" vertical="center" wrapText="1"/>
    </xf>
    <xf numFmtId="0" fontId="11" fillId="7" borderId="1" xfId="7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0" fillId="7" borderId="6" xfId="7" applyFont="1" applyFill="1" applyBorder="1" applyAlignment="1">
      <alignment horizontal="center" vertical="center" textRotation="90"/>
    </xf>
    <xf numFmtId="171" fontId="11" fillId="7" borderId="0" xfId="0" applyNumberFormat="1" applyFont="1" applyFill="1" applyAlignment="1">
      <alignment horizontal="right"/>
    </xf>
    <xf numFmtId="171" fontId="11" fillId="7" borderId="0" xfId="7" applyNumberFormat="1" applyFont="1" applyFill="1" applyBorder="1" applyAlignment="1">
      <alignment horizontal="right"/>
    </xf>
    <xf numFmtId="0" fontId="0" fillId="7" borderId="0" xfId="0" applyFill="1"/>
    <xf numFmtId="0" fontId="21" fillId="4" borderId="22" xfId="7" applyFont="1" applyFill="1" applyBorder="1" applyAlignment="1" applyProtection="1">
      <alignment horizontal="center" vertical="center" textRotation="180"/>
      <protection locked="0"/>
    </xf>
    <xf numFmtId="0" fontId="8" fillId="4" borderId="23" xfId="7" applyFont="1" applyFill="1" applyBorder="1" applyProtection="1">
      <protection locked="0"/>
    </xf>
    <xf numFmtId="0" fontId="7" fillId="4" borderId="13" xfId="7" applyFont="1" applyFill="1" applyBorder="1" applyAlignment="1" applyProtection="1">
      <alignment horizontal="center" vertical="center"/>
      <protection locked="0"/>
    </xf>
    <xf numFmtId="0" fontId="25" fillId="4" borderId="25" xfId="7" applyFont="1" applyFill="1" applyBorder="1" applyProtection="1">
      <protection locked="0"/>
    </xf>
    <xf numFmtId="0" fontId="1" fillId="4" borderId="0" xfId="7" applyFill="1" applyBorder="1" applyAlignment="1">
      <alignment horizontal="center"/>
    </xf>
    <xf numFmtId="0" fontId="27" fillId="4" borderId="26" xfId="0" applyFont="1" applyFill="1" applyBorder="1" applyAlignment="1" applyProtection="1">
      <alignment horizontal="center" vertical="center" wrapText="1"/>
      <protection locked="0"/>
    </xf>
    <xf numFmtId="0" fontId="27" fillId="4" borderId="0" xfId="0" applyFont="1" applyFill="1" applyAlignment="1" applyProtection="1">
      <alignment horizontal="center" vertical="center" wrapText="1"/>
      <protection locked="0"/>
    </xf>
    <xf numFmtId="171" fontId="22" fillId="4" borderId="0" xfId="0" applyNumberFormat="1" applyFont="1" applyFill="1" applyAlignment="1" applyProtection="1">
      <alignment horizontal="center"/>
      <protection locked="0"/>
    </xf>
    <xf numFmtId="0" fontId="9" fillId="7" borderId="0" xfId="7" applyFont="1" applyFill="1" applyBorder="1" applyAlignment="1">
      <alignment horizontal="right"/>
    </xf>
    <xf numFmtId="0" fontId="7" fillId="4" borderId="0" xfId="7" applyFont="1" applyFill="1" applyBorder="1" applyAlignment="1" applyProtection="1">
      <alignment horizontal="center" vertical="center"/>
      <protection locked="0"/>
    </xf>
    <xf numFmtId="0" fontId="24" fillId="11" borderId="12" xfId="7" applyFont="1" applyFill="1" applyBorder="1" applyProtection="1">
      <protection locked="0"/>
    </xf>
    <xf numFmtId="0" fontId="29" fillId="11" borderId="28" xfId="0" applyFont="1" applyFill="1" applyBorder="1" applyProtection="1">
      <protection locked="0"/>
    </xf>
    <xf numFmtId="0" fontId="29" fillId="11" borderId="21" xfId="0" applyFont="1" applyFill="1" applyBorder="1" applyProtection="1">
      <protection locked="0"/>
    </xf>
    <xf numFmtId="0" fontId="1" fillId="4" borderId="0" xfId="7" applyFill="1" applyBorder="1" applyAlignment="1" applyProtection="1">
      <alignment horizontal="center"/>
      <protection locked="0"/>
    </xf>
    <xf numFmtId="0" fontId="10" fillId="7" borderId="1" xfId="7" applyFont="1" applyFill="1" applyBorder="1" applyAlignment="1">
      <alignment horizontal="center" vertical="center"/>
    </xf>
    <xf numFmtId="172" fontId="11" fillId="7" borderId="1" xfId="7" applyNumberFormat="1" applyFont="1" applyFill="1" applyBorder="1" applyAlignment="1">
      <alignment horizontal="right"/>
    </xf>
    <xf numFmtId="0" fontId="24" fillId="4" borderId="2" xfId="7" applyFont="1" applyFill="1" applyBorder="1" applyProtection="1">
      <protection locked="0"/>
    </xf>
    <xf numFmtId="171" fontId="30" fillId="4" borderId="29" xfId="0" applyNumberFormat="1" applyFont="1" applyFill="1" applyBorder="1" applyAlignment="1" applyProtection="1">
      <alignment horizontal="left"/>
      <protection locked="0"/>
    </xf>
    <xf numFmtId="171" fontId="30" fillId="4" borderId="11" xfId="0" applyNumberFormat="1" applyFont="1" applyFill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center" vertical="center"/>
    </xf>
    <xf numFmtId="172" fontId="1" fillId="4" borderId="0" xfId="7" applyNumberFormat="1" applyFill="1" applyBorder="1" applyAlignment="1">
      <alignment horizontal="right"/>
    </xf>
    <xf numFmtId="0" fontId="24" fillId="11" borderId="26" xfId="7" applyFont="1" applyFill="1" applyBorder="1" applyProtection="1">
      <protection locked="0"/>
    </xf>
    <xf numFmtId="171" fontId="30" fillId="11" borderId="0" xfId="0" applyNumberFormat="1" applyFont="1" applyFill="1" applyAlignment="1" applyProtection="1">
      <alignment horizontal="left"/>
      <protection locked="0"/>
    </xf>
    <xf numFmtId="171" fontId="30" fillId="11" borderId="19" xfId="0" applyNumberFormat="1" applyFont="1" applyFill="1" applyBorder="1" applyAlignment="1" applyProtection="1">
      <alignment horizontal="left"/>
      <protection locked="0"/>
    </xf>
    <xf numFmtId="169" fontId="11" fillId="7" borderId="1" xfId="7" applyNumberFormat="1" applyFont="1" applyFill="1" applyBorder="1" applyAlignment="1">
      <alignment horizontal="center"/>
    </xf>
    <xf numFmtId="2" fontId="11" fillId="7" borderId="1" xfId="7" applyNumberFormat="1" applyFont="1" applyFill="1" applyBorder="1" applyAlignment="1">
      <alignment horizontal="center"/>
    </xf>
    <xf numFmtId="171" fontId="30" fillId="4" borderId="29" xfId="0" applyNumberFormat="1" applyFont="1" applyFill="1" applyBorder="1" applyProtection="1">
      <protection locked="0"/>
    </xf>
    <xf numFmtId="171" fontId="30" fillId="4" borderId="11" xfId="0" applyNumberFormat="1" applyFont="1" applyFill="1" applyBorder="1" applyProtection="1">
      <protection locked="0"/>
    </xf>
    <xf numFmtId="0" fontId="7" fillId="4" borderId="0" xfId="7" applyFont="1" applyFill="1" applyBorder="1" applyAlignment="1">
      <alignment horizontal="center" vertical="center"/>
    </xf>
    <xf numFmtId="0" fontId="33" fillId="4" borderId="0" xfId="7" applyFont="1" applyFill="1" applyBorder="1" applyProtection="1">
      <protection locked="0"/>
    </xf>
    <xf numFmtId="171" fontId="22" fillId="0" borderId="0" xfId="0" applyNumberFormat="1" applyFont="1" applyAlignment="1" applyProtection="1">
      <alignment horizontal="center"/>
      <protection locked="0"/>
    </xf>
    <xf numFmtId="170" fontId="11" fillId="10" borderId="1" xfId="2" applyNumberFormat="1" applyFont="1" applyFill="1" applyBorder="1" applyAlignment="1" applyProtection="1">
      <alignment horizontal="center"/>
    </xf>
    <xf numFmtId="0" fontId="11" fillId="7" borderId="0" xfId="7" applyFont="1" applyFill="1" applyBorder="1" applyAlignment="1">
      <alignment horizontal="center"/>
    </xf>
    <xf numFmtId="172" fontId="9" fillId="0" borderId="0" xfId="7" applyNumberFormat="1" applyFont="1" applyBorder="1" applyAlignment="1">
      <alignment horizontal="right"/>
    </xf>
    <xf numFmtId="171" fontId="30" fillId="4" borderId="0" xfId="0" applyNumberFormat="1" applyFont="1" applyFill="1" applyAlignment="1" applyProtection="1">
      <alignment horizontal="left" wrapText="1"/>
      <protection locked="0"/>
    </xf>
    <xf numFmtId="0" fontId="33" fillId="0" borderId="0" xfId="7" applyFont="1" applyBorder="1" applyProtection="1">
      <protection locked="0"/>
    </xf>
    <xf numFmtId="0" fontId="10" fillId="0" borderId="0" xfId="7" applyFont="1" applyBorder="1" applyProtection="1">
      <protection locked="0"/>
    </xf>
    <xf numFmtId="0" fontId="10" fillId="0" borderId="0" xfId="7" applyFont="1" applyBorder="1" applyAlignment="1">
      <alignment horizontal="center"/>
    </xf>
    <xf numFmtId="0" fontId="10" fillId="0" borderId="0" xfId="7" applyFont="1" applyBorder="1"/>
    <xf numFmtId="2" fontId="10" fillId="0" borderId="0" xfId="7" applyNumberFormat="1" applyFont="1" applyBorder="1"/>
    <xf numFmtId="0" fontId="8" fillId="0" borderId="0" xfId="7" applyFont="1" applyBorder="1" applyProtection="1">
      <protection locked="0"/>
    </xf>
    <xf numFmtId="2" fontId="10" fillId="0" borderId="0" xfId="7" applyNumberFormat="1" applyFont="1" applyBorder="1" applyAlignment="1">
      <alignment horizontal="center"/>
    </xf>
    <xf numFmtId="167" fontId="0" fillId="0" borderId="0" xfId="0" applyNumberFormat="1"/>
    <xf numFmtId="173" fontId="35" fillId="0" borderId="1" xfId="6" applyNumberFormat="1" applyFont="1" applyBorder="1" applyAlignment="1">
      <alignment horizontal="center" vertical="center"/>
    </xf>
    <xf numFmtId="0" fontId="37" fillId="4" borderId="28" xfId="6" applyFont="1" applyFill="1" applyBorder="1" applyAlignment="1">
      <alignment horizontal="center" vertical="center"/>
    </xf>
    <xf numFmtId="0" fontId="37" fillId="4" borderId="21" xfId="6" applyFont="1" applyFill="1" applyBorder="1" applyAlignment="1">
      <alignment horizontal="center" vertical="center"/>
    </xf>
    <xf numFmtId="0" fontId="38" fillId="4" borderId="0" xfId="6" applyFont="1" applyFill="1" applyAlignment="1">
      <alignment horizontal="center" vertical="center"/>
    </xf>
    <xf numFmtId="167" fontId="38" fillId="4" borderId="0" xfId="6" applyNumberFormat="1" applyFont="1" applyFill="1" applyAlignment="1">
      <alignment horizontal="center" vertical="center"/>
    </xf>
    <xf numFmtId="0" fontId="35" fillId="4" borderId="0" xfId="6" applyFont="1" applyFill="1" applyAlignment="1">
      <alignment horizontal="center" vertical="center"/>
    </xf>
    <xf numFmtId="167" fontId="38" fillId="12" borderId="1" xfId="6" applyNumberFormat="1" applyFont="1" applyFill="1" applyBorder="1" applyAlignment="1">
      <alignment horizontal="center" vertical="center"/>
    </xf>
    <xf numFmtId="0" fontId="37" fillId="4" borderId="35" xfId="6" applyFont="1" applyFill="1" applyBorder="1" applyAlignment="1">
      <alignment horizontal="center" vertical="center"/>
    </xf>
    <xf numFmtId="0" fontId="37" fillId="4" borderId="30" xfId="6" applyFont="1" applyFill="1" applyBorder="1" applyAlignment="1">
      <alignment horizontal="center" vertical="center"/>
    </xf>
    <xf numFmtId="0" fontId="37" fillId="4" borderId="36" xfId="6" applyFont="1" applyFill="1" applyBorder="1" applyAlignment="1">
      <alignment horizontal="center" vertical="center"/>
    </xf>
    <xf numFmtId="0" fontId="37" fillId="4" borderId="0" xfId="6" applyFont="1" applyFill="1" applyAlignment="1">
      <alignment horizontal="center" vertical="center"/>
    </xf>
    <xf numFmtId="167" fontId="37" fillId="4" borderId="0" xfId="6" applyNumberFormat="1" applyFont="1" applyFill="1" applyAlignment="1">
      <alignment horizontal="center" vertical="center"/>
    </xf>
    <xf numFmtId="0" fontId="15" fillId="4" borderId="0" xfId="6" applyFont="1" applyFill="1" applyAlignment="1">
      <alignment horizontal="center" vertical="center"/>
    </xf>
    <xf numFmtId="0" fontId="36" fillId="4" borderId="0" xfId="6" applyFont="1" applyFill="1" applyAlignment="1">
      <alignment horizontal="center" vertical="center"/>
    </xf>
    <xf numFmtId="167" fontId="15" fillId="4" borderId="0" xfId="6" applyNumberFormat="1" applyFont="1" applyFill="1" applyAlignment="1">
      <alignment horizontal="center" vertical="center"/>
    </xf>
    <xf numFmtId="174" fontId="39" fillId="12" borderId="1" xfId="0" applyNumberFormat="1" applyFont="1" applyFill="1" applyBorder="1" applyAlignment="1" applyProtection="1">
      <alignment horizontal="center" textRotation="90"/>
      <protection locked="0"/>
    </xf>
    <xf numFmtId="167" fontId="40" fillId="0" borderId="1" xfId="0" applyNumberFormat="1" applyFont="1" applyBorder="1" applyAlignment="1" applyProtection="1">
      <alignment horizontal="center" textRotation="90"/>
      <protection locked="0"/>
    </xf>
    <xf numFmtId="174" fontId="39" fillId="0" borderId="0" xfId="0" applyNumberFormat="1" applyFont="1" applyAlignment="1">
      <alignment horizontal="center" textRotation="90"/>
    </xf>
    <xf numFmtId="0" fontId="39" fillId="12" borderId="1" xfId="0" applyFont="1" applyFill="1" applyBorder="1" applyAlignment="1" applyProtection="1">
      <alignment horizontal="center" textRotation="90"/>
      <protection locked="0"/>
    </xf>
    <xf numFmtId="0" fontId="42" fillId="12" borderId="1" xfId="6" applyFont="1" applyFill="1" applyBorder="1" applyAlignment="1">
      <alignment horizontal="center" vertical="center"/>
    </xf>
    <xf numFmtId="0" fontId="42" fillId="12" borderId="1" xfId="6" applyFont="1" applyFill="1" applyBorder="1" applyAlignment="1">
      <alignment horizontal="center" vertical="center" wrapText="1"/>
    </xf>
    <xf numFmtId="0" fontId="42" fillId="12" borderId="2" xfId="6" applyFont="1" applyFill="1" applyBorder="1" applyAlignment="1">
      <alignment horizontal="center" vertical="center"/>
    </xf>
    <xf numFmtId="167" fontId="42" fillId="4" borderId="0" xfId="6" applyNumberFormat="1" applyFont="1" applyFill="1" applyAlignment="1">
      <alignment horizontal="center"/>
    </xf>
    <xf numFmtId="167" fontId="42" fillId="4" borderId="0" xfId="6" applyNumberFormat="1" applyFont="1" applyFill="1" applyAlignment="1">
      <alignment horizontal="center" wrapText="1"/>
    </xf>
    <xf numFmtId="167" fontId="34" fillId="4" borderId="0" xfId="1" applyFont="1" applyFill="1" applyBorder="1" applyAlignment="1" applyProtection="1">
      <alignment horizontal="center"/>
    </xf>
    <xf numFmtId="167" fontId="42" fillId="4" borderId="0" xfId="1" applyFont="1" applyFill="1" applyBorder="1" applyAlignment="1" applyProtection="1">
      <alignment horizontal="center"/>
    </xf>
    <xf numFmtId="167" fontId="25" fillId="4" borderId="0" xfId="1" applyFont="1" applyFill="1" applyBorder="1" applyAlignment="1" applyProtection="1">
      <alignment horizontal="center"/>
    </xf>
    <xf numFmtId="167" fontId="35" fillId="0" borderId="0" xfId="6" applyNumberFormat="1" applyFont="1" applyAlignment="1">
      <alignment horizontal="center" wrapText="1"/>
    </xf>
    <xf numFmtId="167" fontId="25" fillId="4" borderId="0" xfId="0" applyNumberFormat="1" applyFont="1" applyFill="1"/>
    <xf numFmtId="167" fontId="25" fillId="0" borderId="0" xfId="0" applyNumberFormat="1" applyFont="1"/>
    <xf numFmtId="165" fontId="0" fillId="0" borderId="1" xfId="0" applyNumberFormat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left"/>
      <protection locked="0"/>
    </xf>
    <xf numFmtId="167" fontId="43" fillId="14" borderId="18" xfId="1" applyFont="1" applyFill="1" applyBorder="1" applyAlignment="1" applyProtection="1">
      <alignment horizontal="right"/>
      <protection locked="0"/>
    </xf>
    <xf numFmtId="167" fontId="43" fillId="14" borderId="1" xfId="1" applyFont="1" applyFill="1" applyBorder="1" applyAlignment="1" applyProtection="1">
      <alignment horizontal="right"/>
      <protection locked="0"/>
    </xf>
    <xf numFmtId="167" fontId="43" fillId="14" borderId="17" xfId="1" applyFont="1" applyFill="1" applyBorder="1" applyAlignment="1" applyProtection="1">
      <alignment horizontal="right"/>
      <protection locked="0"/>
    </xf>
    <xf numFmtId="167" fontId="44" fillId="13" borderId="18" xfId="1" applyFont="1" applyFill="1" applyBorder="1" applyAlignment="1" applyProtection="1">
      <alignment vertical="center"/>
      <protection locked="0"/>
    </xf>
    <xf numFmtId="167" fontId="44" fillId="13" borderId="1" xfId="1" applyFont="1" applyFill="1" applyBorder="1" applyAlignment="1" applyProtection="1">
      <alignment vertical="center"/>
      <protection locked="0"/>
    </xf>
    <xf numFmtId="167" fontId="44" fillId="13" borderId="17" xfId="1" applyFont="1" applyFill="1" applyBorder="1" applyAlignment="1" applyProtection="1">
      <alignment vertical="center"/>
      <protection locked="0"/>
    </xf>
    <xf numFmtId="167" fontId="35" fillId="14" borderId="18" xfId="1" applyFont="1" applyFill="1" applyBorder="1" applyAlignment="1" applyProtection="1">
      <alignment horizontal="center" vertical="center"/>
      <protection locked="0"/>
    </xf>
    <xf numFmtId="167" fontId="35" fillId="14" borderId="1" xfId="1" applyFont="1" applyFill="1" applyBorder="1" applyAlignment="1" applyProtection="1">
      <alignment horizontal="center" vertical="center"/>
      <protection locked="0"/>
    </xf>
    <xf numFmtId="167" fontId="35" fillId="14" borderId="1" xfId="1" applyFont="1" applyFill="1" applyBorder="1" applyAlignment="1" applyProtection="1">
      <alignment horizontal="center" vertical="center"/>
    </xf>
    <xf numFmtId="167" fontId="25" fillId="14" borderId="1" xfId="1" applyFont="1" applyFill="1" applyBorder="1" applyAlignment="1" applyProtection="1">
      <alignment horizontal="center"/>
      <protection locked="0"/>
    </xf>
    <xf numFmtId="167" fontId="35" fillId="0" borderId="1" xfId="1" applyFont="1" applyBorder="1" applyAlignment="1" applyProtection="1">
      <alignment horizontal="center" vertical="center"/>
    </xf>
    <xf numFmtId="175" fontId="35" fillId="7" borderId="17" xfId="1" applyNumberFormat="1" applyFont="1" applyFill="1" applyBorder="1" applyAlignment="1" applyProtection="1">
      <alignment horizontal="center" vertical="center"/>
    </xf>
    <xf numFmtId="167" fontId="35" fillId="9" borderId="18" xfId="1" applyFont="1" applyFill="1" applyBorder="1" applyAlignment="1" applyProtection="1">
      <alignment horizontal="center" vertical="center"/>
      <protection locked="0"/>
    </xf>
    <xf numFmtId="167" fontId="35" fillId="9" borderId="1" xfId="1" applyFont="1" applyFill="1" applyBorder="1" applyAlignment="1" applyProtection="1">
      <alignment horizontal="center" vertical="center"/>
      <protection locked="0"/>
    </xf>
    <xf numFmtId="167" fontId="35" fillId="9" borderId="1" xfId="1" applyFont="1" applyFill="1" applyBorder="1" applyAlignment="1" applyProtection="1">
      <alignment horizontal="center" vertical="center"/>
    </xf>
    <xf numFmtId="167" fontId="25" fillId="9" borderId="1" xfId="1" applyFont="1" applyFill="1" applyBorder="1" applyAlignment="1" applyProtection="1">
      <alignment horizontal="center"/>
      <protection locked="0"/>
    </xf>
    <xf numFmtId="175" fontId="35" fillId="7" borderId="2" xfId="1" applyNumberFormat="1" applyFont="1" applyFill="1" applyBorder="1" applyAlignment="1" applyProtection="1">
      <alignment horizontal="center" vertical="center"/>
    </xf>
    <xf numFmtId="175" fontId="35" fillId="7" borderId="1" xfId="1" applyNumberFormat="1" applyFont="1" applyFill="1" applyBorder="1" applyAlignment="1" applyProtection="1">
      <alignment horizontal="center" vertical="center"/>
    </xf>
    <xf numFmtId="167" fontId="35" fillId="0" borderId="0" xfId="1" applyFont="1" applyBorder="1" applyAlignment="1" applyProtection="1">
      <alignment horizontal="center" vertical="center"/>
    </xf>
    <xf numFmtId="0" fontId="35" fillId="0" borderId="0" xfId="6" applyFont="1" applyAlignment="1">
      <alignment horizontal="center" vertical="center"/>
    </xf>
    <xf numFmtId="167" fontId="43" fillId="9" borderId="18" xfId="1" applyFont="1" applyFill="1" applyBorder="1" applyAlignment="1" applyProtection="1">
      <alignment horizontal="right"/>
      <protection locked="0"/>
    </xf>
    <xf numFmtId="167" fontId="43" fillId="9" borderId="1" xfId="1" applyFont="1" applyFill="1" applyBorder="1" applyAlignment="1" applyProtection="1">
      <alignment horizontal="right"/>
      <protection locked="0"/>
    </xf>
    <xf numFmtId="167" fontId="43" fillId="9" borderId="17" xfId="1" applyFont="1" applyFill="1" applyBorder="1" applyAlignment="1" applyProtection="1">
      <alignment horizontal="right"/>
      <protection locked="0"/>
    </xf>
    <xf numFmtId="0" fontId="0" fillId="0" borderId="17" xfId="0" applyBorder="1" applyProtection="1">
      <protection locked="0"/>
    </xf>
    <xf numFmtId="167" fontId="45" fillId="13" borderId="18" xfId="1" applyFont="1" applyFill="1" applyBorder="1" applyProtection="1">
      <protection locked="0"/>
    </xf>
    <xf numFmtId="167" fontId="45" fillId="13" borderId="1" xfId="1" applyFont="1" applyFill="1" applyBorder="1" applyProtection="1">
      <protection locked="0"/>
    </xf>
    <xf numFmtId="167" fontId="45" fillId="13" borderId="17" xfId="1" applyFont="1" applyFill="1" applyBorder="1" applyProtection="1">
      <protection locked="0"/>
    </xf>
    <xf numFmtId="167" fontId="25" fillId="14" borderId="18" xfId="1" applyFont="1" applyFill="1" applyBorder="1" applyProtection="1">
      <protection locked="0"/>
    </xf>
    <xf numFmtId="167" fontId="25" fillId="14" borderId="1" xfId="1" applyFont="1" applyFill="1" applyBorder="1" applyProtection="1">
      <protection locked="0"/>
    </xf>
    <xf numFmtId="167" fontId="25" fillId="9" borderId="18" xfId="1" applyFont="1" applyFill="1" applyBorder="1" applyProtection="1">
      <protection locked="0"/>
    </xf>
    <xf numFmtId="167" fontId="25" fillId="9" borderId="1" xfId="1" applyFont="1" applyFill="1" applyBorder="1" applyProtection="1">
      <protection locked="0"/>
    </xf>
    <xf numFmtId="167" fontId="46" fillId="0" borderId="0" xfId="1" applyFont="1" applyBorder="1" applyProtection="1"/>
    <xf numFmtId="0" fontId="0" fillId="14" borderId="17" xfId="0" applyFill="1" applyBorder="1" applyAlignment="1" applyProtection="1">
      <alignment horizontal="left"/>
      <protection locked="0"/>
    </xf>
    <xf numFmtId="167" fontId="43" fillId="9" borderId="1" xfId="1" applyFont="1" applyFill="1" applyBorder="1" applyProtection="1">
      <protection locked="0"/>
    </xf>
    <xf numFmtId="167" fontId="43" fillId="9" borderId="17" xfId="1" applyFont="1" applyFill="1" applyBorder="1" applyProtection="1">
      <protection locked="0"/>
    </xf>
    <xf numFmtId="167" fontId="43" fillId="14" borderId="1" xfId="1" applyFont="1" applyFill="1" applyBorder="1" applyProtection="1">
      <protection locked="0"/>
    </xf>
    <xf numFmtId="167" fontId="43" fillId="14" borderId="17" xfId="1" applyFont="1" applyFill="1" applyBorder="1" applyProtection="1">
      <protection locked="0"/>
    </xf>
    <xf numFmtId="0" fontId="47" fillId="0" borderId="6" xfId="0" applyFont="1" applyBorder="1"/>
    <xf numFmtId="167" fontId="47" fillId="0" borderId="6" xfId="0" applyNumberFormat="1" applyFont="1" applyBorder="1"/>
    <xf numFmtId="167" fontId="47" fillId="0" borderId="6" xfId="0" applyNumberFormat="1" applyFont="1" applyBorder="1" applyProtection="1">
      <protection locked="0"/>
    </xf>
    <xf numFmtId="167" fontId="47" fillId="0" borderId="35" xfId="0" applyNumberFormat="1" applyFont="1" applyBorder="1"/>
    <xf numFmtId="0" fontId="47" fillId="0" borderId="0" xfId="0" applyFont="1"/>
    <xf numFmtId="0" fontId="47" fillId="0" borderId="36" xfId="0" applyFont="1" applyBorder="1"/>
    <xf numFmtId="0" fontId="47" fillId="0" borderId="35" xfId="0" applyFont="1" applyBorder="1"/>
    <xf numFmtId="0" fontId="47" fillId="4" borderId="0" xfId="0" applyFont="1" applyFill="1"/>
    <xf numFmtId="167" fontId="0" fillId="4" borderId="0" xfId="0" applyNumberFormat="1" applyFill="1"/>
    <xf numFmtId="169" fontId="0" fillId="0" borderId="8" xfId="0" applyNumberFormat="1" applyBorder="1"/>
    <xf numFmtId="4" fontId="0" fillId="0" borderId="37" xfId="0" applyNumberFormat="1" applyBorder="1"/>
    <xf numFmtId="4" fontId="0" fillId="0" borderId="38" xfId="0" applyNumberFormat="1" applyBorder="1"/>
    <xf numFmtId="4" fontId="0" fillId="0" borderId="39" xfId="0" applyNumberFormat="1" applyBorder="1"/>
    <xf numFmtId="4" fontId="0" fillId="0" borderId="40" xfId="0" applyNumberFormat="1" applyBorder="1"/>
    <xf numFmtId="4" fontId="0" fillId="0" borderId="24" xfId="0" applyNumberFormat="1" applyBorder="1"/>
    <xf numFmtId="169" fontId="0" fillId="0" borderId="32" xfId="0" applyNumberFormat="1" applyBorder="1" applyProtection="1">
      <protection locked="0"/>
    </xf>
    <xf numFmtId="4" fontId="0" fillId="0" borderId="41" xfId="0" applyNumberFormat="1" applyBorder="1" applyProtection="1">
      <protection locked="0"/>
    </xf>
    <xf numFmtId="4" fontId="0" fillId="0" borderId="42" xfId="0" applyNumberFormat="1" applyBorder="1"/>
    <xf numFmtId="4" fontId="0" fillId="0" borderId="43" xfId="0" applyNumberFormat="1" applyBorder="1" applyProtection="1">
      <protection locked="0"/>
    </xf>
    <xf numFmtId="4" fontId="0" fillId="0" borderId="44" xfId="0" applyNumberFormat="1" applyBorder="1"/>
    <xf numFmtId="4" fontId="0" fillId="0" borderId="33" xfId="0" applyNumberFormat="1" applyBorder="1"/>
    <xf numFmtId="169" fontId="0" fillId="0" borderId="29" xfId="0" applyNumberFormat="1" applyBorder="1" applyProtection="1">
      <protection locked="0"/>
    </xf>
    <xf numFmtId="4" fontId="0" fillId="0" borderId="18" xfId="0" applyNumberFormat="1" applyBorder="1" applyProtection="1">
      <protection locked="0"/>
    </xf>
    <xf numFmtId="4" fontId="0" fillId="0" borderId="17" xfId="0" applyNumberFormat="1" applyBorder="1"/>
    <xf numFmtId="4" fontId="0" fillId="0" borderId="11" xfId="0" applyNumberFormat="1" applyBorder="1" applyProtection="1">
      <protection locked="0"/>
    </xf>
    <xf numFmtId="4" fontId="0" fillId="0" borderId="2" xfId="0" applyNumberFormat="1" applyBorder="1"/>
    <xf numFmtId="4" fontId="0" fillId="0" borderId="31" xfId="0" applyNumberFormat="1" applyBorder="1"/>
    <xf numFmtId="169" fontId="0" fillId="0" borderId="28" xfId="0" applyNumberFormat="1" applyBorder="1" applyProtection="1">
      <protection locked="0"/>
    </xf>
    <xf numFmtId="4" fontId="0" fillId="0" borderId="15" xfId="0" applyNumberFormat="1" applyBorder="1" applyProtection="1">
      <protection locked="0"/>
    </xf>
    <xf numFmtId="4" fontId="0" fillId="0" borderId="16" xfId="0" applyNumberFormat="1" applyBorder="1"/>
    <xf numFmtId="4" fontId="0" fillId="0" borderId="21" xfId="0" applyNumberFormat="1" applyBorder="1" applyProtection="1">
      <protection locked="0"/>
    </xf>
    <xf numFmtId="4" fontId="0" fillId="0" borderId="12" xfId="0" applyNumberFormat="1" applyBorder="1"/>
    <xf numFmtId="4" fontId="0" fillId="0" borderId="34" xfId="0" applyNumberFormat="1" applyBorder="1"/>
    <xf numFmtId="169" fontId="49" fillId="4" borderId="0" xfId="0" applyNumberFormat="1" applyFont="1" applyFill="1"/>
    <xf numFmtId="20" fontId="51" fillId="15" borderId="1" xfId="0" applyNumberFormat="1" applyFont="1" applyFill="1" applyBorder="1" applyAlignment="1">
      <alignment horizontal="right"/>
    </xf>
    <xf numFmtId="20" fontId="1" fillId="0" borderId="0" xfId="7" applyNumberFormat="1" applyBorder="1"/>
    <xf numFmtId="0" fontId="16" fillId="7" borderId="0" xfId="7" applyFont="1" applyFill="1" applyBorder="1" applyAlignment="1">
      <alignment horizontal="center" vertical="center" textRotation="90" wrapText="1"/>
    </xf>
    <xf numFmtId="0" fontId="8" fillId="18" borderId="46" xfId="0" applyFont="1" applyFill="1" applyBorder="1" applyProtection="1">
      <protection locked="0"/>
    </xf>
    <xf numFmtId="171" fontId="38" fillId="24" borderId="7" xfId="0" applyNumberFormat="1" applyFont="1" applyFill="1" applyBorder="1" applyAlignment="1" applyProtection="1">
      <alignment horizontal="center"/>
      <protection locked="0"/>
    </xf>
    <xf numFmtId="171" fontId="38" fillId="24" borderId="16" xfId="0" applyNumberFormat="1" applyFont="1" applyFill="1" applyBorder="1" applyAlignment="1" applyProtection="1">
      <alignment horizontal="center"/>
      <protection locked="0"/>
    </xf>
    <xf numFmtId="171" fontId="38" fillId="16" borderId="54" xfId="0" applyNumberFormat="1" applyFont="1" applyFill="1" applyBorder="1" applyAlignment="1" applyProtection="1">
      <alignment horizontal="center"/>
      <protection locked="0"/>
    </xf>
    <xf numFmtId="0" fontId="8" fillId="16" borderId="48" xfId="7" applyFont="1" applyFill="1" applyBorder="1" applyProtection="1">
      <protection locked="0"/>
    </xf>
    <xf numFmtId="0" fontId="53" fillId="16" borderId="48" xfId="7" applyFont="1" applyFill="1" applyBorder="1" applyProtection="1">
      <protection locked="0"/>
    </xf>
    <xf numFmtId="171" fontId="38" fillId="16" borderId="53" xfId="0" applyNumberFormat="1" applyFont="1" applyFill="1" applyBorder="1" applyAlignment="1" applyProtection="1">
      <alignment horizontal="center"/>
      <protection locked="0"/>
    </xf>
    <xf numFmtId="0" fontId="8" fillId="28" borderId="46" xfId="0" applyFont="1" applyFill="1" applyBorder="1" applyProtection="1">
      <protection locked="0"/>
    </xf>
    <xf numFmtId="171" fontId="38" fillId="15" borderId="15" xfId="0" applyNumberFormat="1" applyFont="1" applyFill="1" applyBorder="1" applyAlignment="1" applyProtection="1">
      <alignment horizontal="center"/>
      <protection locked="0"/>
    </xf>
    <xf numFmtId="171" fontId="38" fillId="15" borderId="7" xfId="0" applyNumberFormat="1" applyFont="1" applyFill="1" applyBorder="1" applyAlignment="1" applyProtection="1">
      <alignment horizontal="center"/>
      <protection locked="0"/>
    </xf>
    <xf numFmtId="171" fontId="38" fillId="15" borderId="16" xfId="0" applyNumberFormat="1" applyFont="1" applyFill="1" applyBorder="1" applyAlignment="1" applyProtection="1">
      <alignment horizontal="center"/>
      <protection locked="0"/>
    </xf>
    <xf numFmtId="171" fontId="38" fillId="29" borderId="15" xfId="0" applyNumberFormat="1" applyFont="1" applyFill="1" applyBorder="1" applyAlignment="1" applyProtection="1">
      <alignment horizontal="center"/>
      <protection locked="0"/>
    </xf>
    <xf numFmtId="171" fontId="38" fillId="29" borderId="7" xfId="0" applyNumberFormat="1" applyFont="1" applyFill="1" applyBorder="1" applyAlignment="1" applyProtection="1">
      <alignment horizontal="center"/>
      <protection locked="0"/>
    </xf>
    <xf numFmtId="171" fontId="38" fillId="29" borderId="16" xfId="0" applyNumberFormat="1" applyFont="1" applyFill="1" applyBorder="1" applyAlignment="1" applyProtection="1">
      <alignment horizontal="center"/>
      <protection locked="0"/>
    </xf>
    <xf numFmtId="0" fontId="8" fillId="16" borderId="47" xfId="7" applyFont="1" applyFill="1" applyBorder="1" applyProtection="1">
      <protection locked="0"/>
    </xf>
    <xf numFmtId="171" fontId="38" fillId="24" borderId="21" xfId="0" applyNumberFormat="1" applyFont="1" applyFill="1" applyBorder="1" applyAlignment="1" applyProtection="1">
      <alignment horizontal="center"/>
      <protection locked="0"/>
    </xf>
    <xf numFmtId="0" fontId="8" fillId="4" borderId="57" xfId="7" applyFont="1" applyFill="1" applyBorder="1" applyProtection="1">
      <protection locked="0"/>
    </xf>
    <xf numFmtId="0" fontId="8" fillId="18" borderId="48" xfId="0" applyFont="1" applyFill="1" applyBorder="1" applyProtection="1">
      <protection locked="0"/>
    </xf>
    <xf numFmtId="0" fontId="8" fillId="18" borderId="50" xfId="0" applyFont="1" applyFill="1" applyBorder="1" applyProtection="1">
      <protection locked="0"/>
    </xf>
    <xf numFmtId="0" fontId="7" fillId="0" borderId="45" xfId="7" applyFont="1" applyBorder="1" applyAlignment="1">
      <alignment horizontal="center" vertical="center" textRotation="90"/>
    </xf>
    <xf numFmtId="171" fontId="38" fillId="0" borderId="7" xfId="0" applyNumberFormat="1" applyFont="1" applyBorder="1" applyAlignment="1" applyProtection="1">
      <alignment horizontal="center"/>
      <protection locked="0"/>
    </xf>
    <xf numFmtId="171" fontId="38" fillId="0" borderId="16" xfId="0" applyNumberFormat="1" applyFont="1" applyBorder="1" applyAlignment="1" applyProtection="1">
      <alignment horizontal="center"/>
      <protection locked="0"/>
    </xf>
    <xf numFmtId="171" fontId="38" fillId="0" borderId="21" xfId="0" applyNumberFormat="1" applyFont="1" applyBorder="1" applyAlignment="1" applyProtection="1">
      <alignment horizontal="center"/>
      <protection locked="0"/>
    </xf>
    <xf numFmtId="171" fontId="38" fillId="0" borderId="15" xfId="0" applyNumberFormat="1" applyFont="1" applyBorder="1" applyAlignment="1" applyProtection="1">
      <alignment horizontal="center"/>
      <protection locked="0"/>
    </xf>
    <xf numFmtId="171" fontId="56" fillId="0" borderId="7" xfId="0" applyNumberFormat="1" applyFont="1" applyBorder="1" applyAlignment="1" applyProtection="1">
      <alignment horizontal="center"/>
      <protection locked="0"/>
    </xf>
    <xf numFmtId="171" fontId="56" fillId="0" borderId="16" xfId="0" applyNumberFormat="1" applyFont="1" applyBorder="1" applyAlignment="1" applyProtection="1">
      <alignment horizontal="center"/>
      <protection locked="0"/>
    </xf>
    <xf numFmtId="2" fontId="9" fillId="3" borderId="1" xfId="7" applyNumberFormat="1" applyFont="1" applyFill="1" applyBorder="1" applyAlignment="1">
      <alignment horizontal="center"/>
    </xf>
    <xf numFmtId="1" fontId="57" fillId="30" borderId="22" xfId="7" applyNumberFormat="1" applyFont="1" applyFill="1" applyBorder="1" applyAlignment="1" applyProtection="1">
      <alignment horizontal="center" vertical="center"/>
      <protection hidden="1"/>
    </xf>
    <xf numFmtId="2" fontId="57" fillId="30" borderId="20" xfId="7" applyNumberFormat="1" applyFont="1" applyFill="1" applyBorder="1" applyAlignment="1" applyProtection="1">
      <alignment horizontal="center" vertical="center"/>
      <protection hidden="1"/>
    </xf>
    <xf numFmtId="170" fontId="58" fillId="30" borderId="20" xfId="2" applyNumberFormat="1" applyFont="1" applyFill="1" applyBorder="1" applyAlignment="1" applyProtection="1">
      <alignment horizontal="center" vertical="center"/>
      <protection hidden="1"/>
    </xf>
    <xf numFmtId="170" fontId="58" fillId="30" borderId="23" xfId="2" applyNumberFormat="1" applyFont="1" applyFill="1" applyBorder="1" applyAlignment="1" applyProtection="1">
      <alignment horizontal="center" vertical="center"/>
      <protection hidden="1"/>
    </xf>
    <xf numFmtId="1" fontId="57" fillId="30" borderId="24" xfId="7" applyNumberFormat="1" applyFont="1" applyFill="1" applyBorder="1" applyAlignment="1" applyProtection="1">
      <alignment horizontal="center" vertical="center"/>
      <protection hidden="1"/>
    </xf>
    <xf numFmtId="2" fontId="57" fillId="30" borderId="8" xfId="7" applyNumberFormat="1" applyFont="1" applyFill="1" applyBorder="1" applyAlignment="1" applyProtection="1">
      <alignment horizontal="center" vertical="center"/>
      <protection hidden="1"/>
    </xf>
    <xf numFmtId="170" fontId="58" fillId="30" borderId="8" xfId="2" applyNumberFormat="1" applyFont="1" applyFill="1" applyBorder="1" applyAlignment="1" applyProtection="1">
      <alignment horizontal="center" vertical="center"/>
      <protection hidden="1"/>
    </xf>
    <xf numFmtId="170" fontId="58" fillId="30" borderId="62" xfId="2" applyNumberFormat="1" applyFont="1" applyFill="1" applyBorder="1" applyAlignment="1" applyProtection="1">
      <alignment horizontal="center" vertical="center"/>
      <protection hidden="1"/>
    </xf>
    <xf numFmtId="1" fontId="57" fillId="30" borderId="20" xfId="7" applyNumberFormat="1" applyFont="1" applyFill="1" applyBorder="1" applyAlignment="1" applyProtection="1">
      <alignment horizontal="center" vertical="center"/>
      <protection hidden="1"/>
    </xf>
    <xf numFmtId="171" fontId="56" fillId="0" borderId="21" xfId="0" applyNumberFormat="1" applyFont="1" applyBorder="1" applyAlignment="1" applyProtection="1">
      <alignment horizontal="center"/>
      <protection locked="0"/>
    </xf>
    <xf numFmtId="0" fontId="55" fillId="16" borderId="47" xfId="7" applyFont="1" applyFill="1" applyBorder="1" applyProtection="1">
      <protection locked="0"/>
    </xf>
    <xf numFmtId="0" fontId="53" fillId="16" borderId="50" xfId="7" applyFont="1" applyFill="1" applyBorder="1" applyProtection="1">
      <protection locked="0"/>
    </xf>
    <xf numFmtId="171" fontId="56" fillId="0" borderId="53" xfId="0" applyNumberFormat="1" applyFont="1" applyBorder="1" applyAlignment="1" applyProtection="1">
      <alignment horizontal="center"/>
      <protection locked="0"/>
    </xf>
    <xf numFmtId="171" fontId="56" fillId="0" borderId="54" xfId="0" applyNumberFormat="1" applyFont="1" applyBorder="1" applyAlignment="1" applyProtection="1">
      <alignment horizontal="center"/>
      <protection locked="0"/>
    </xf>
    <xf numFmtId="171" fontId="38" fillId="0" borderId="63" xfId="0" applyNumberFormat="1" applyFont="1" applyBorder="1" applyAlignment="1" applyProtection="1">
      <alignment horizontal="center"/>
      <protection locked="0"/>
    </xf>
    <xf numFmtId="171" fontId="56" fillId="0" borderId="15" xfId="0" applyNumberFormat="1" applyFont="1" applyBorder="1" applyAlignment="1" applyProtection="1">
      <alignment horizontal="center"/>
      <protection locked="0"/>
    </xf>
    <xf numFmtId="0" fontId="20" fillId="31" borderId="0" xfId="7" applyFont="1" applyFill="1" applyBorder="1" applyAlignment="1">
      <alignment horizontal="center" vertical="center" wrapText="1"/>
    </xf>
    <xf numFmtId="46" fontId="60" fillId="31" borderId="0" xfId="7" applyNumberFormat="1" applyFont="1" applyFill="1" applyBorder="1" applyAlignment="1">
      <alignment horizontal="center" vertical="center" wrapText="1"/>
    </xf>
    <xf numFmtId="46" fontId="60" fillId="32" borderId="0" xfId="7" applyNumberFormat="1" applyFont="1" applyFill="1" applyBorder="1" applyAlignment="1">
      <alignment horizontal="center" vertical="center" wrapText="1"/>
    </xf>
    <xf numFmtId="22" fontId="60" fillId="31" borderId="0" xfId="7" applyNumberFormat="1" applyFont="1" applyFill="1" applyBorder="1" applyAlignment="1">
      <alignment horizontal="center" vertical="center" wrapText="1"/>
    </xf>
    <xf numFmtId="171" fontId="56" fillId="33" borderId="54" xfId="0" applyNumberFormat="1" applyFont="1" applyFill="1" applyBorder="1" applyAlignment="1" applyProtection="1">
      <alignment horizontal="center"/>
      <protection locked="0"/>
    </xf>
    <xf numFmtId="171" fontId="56" fillId="33" borderId="55" xfId="0" applyNumberFormat="1" applyFont="1" applyFill="1" applyBorder="1" applyAlignment="1" applyProtection="1">
      <alignment horizontal="center"/>
      <protection locked="0"/>
    </xf>
    <xf numFmtId="171" fontId="38" fillId="0" borderId="60" xfId="0" applyNumberFormat="1" applyFont="1" applyBorder="1" applyAlignment="1" applyProtection="1">
      <alignment horizontal="center"/>
      <protection locked="0"/>
    </xf>
    <xf numFmtId="171" fontId="38" fillId="0" borderId="58" xfId="0" applyNumberFormat="1" applyFont="1" applyBorder="1" applyAlignment="1" applyProtection="1">
      <alignment horizontal="center"/>
      <protection locked="0"/>
    </xf>
    <xf numFmtId="171" fontId="38" fillId="0" borderId="59" xfId="0" applyNumberFormat="1" applyFont="1" applyBorder="1" applyAlignment="1" applyProtection="1">
      <alignment horizontal="center"/>
      <protection locked="0"/>
    </xf>
    <xf numFmtId="171" fontId="38" fillId="0" borderId="12" xfId="0" applyNumberFormat="1" applyFont="1" applyBorder="1" applyAlignment="1" applyProtection="1">
      <alignment horizontal="center"/>
      <protection locked="0"/>
    </xf>
    <xf numFmtId="171" fontId="38" fillId="0" borderId="0" xfId="0" applyNumberFormat="1" applyFont="1" applyAlignment="1" applyProtection="1">
      <alignment horizontal="center"/>
      <protection locked="0"/>
    </xf>
    <xf numFmtId="0" fontId="8" fillId="0" borderId="48" xfId="7" applyFont="1" applyBorder="1" applyProtection="1">
      <protection locked="0"/>
    </xf>
    <xf numFmtId="46" fontId="60" fillId="0" borderId="0" xfId="7" applyNumberFormat="1" applyFont="1" applyBorder="1" applyAlignment="1">
      <alignment horizontal="center" vertical="center" wrapText="1"/>
    </xf>
    <xf numFmtId="0" fontId="59" fillId="0" borderId="48" xfId="7" applyFont="1" applyBorder="1" applyProtection="1">
      <protection locked="0"/>
    </xf>
    <xf numFmtId="0" fontId="53" fillId="0" borderId="50" xfId="7" applyFont="1" applyBorder="1" applyProtection="1">
      <protection locked="0"/>
    </xf>
    <xf numFmtId="0" fontId="55" fillId="0" borderId="48" xfId="7" applyFont="1" applyBorder="1" applyProtection="1">
      <protection locked="0"/>
    </xf>
    <xf numFmtId="0" fontId="8" fillId="0" borderId="61" xfId="7" applyFont="1" applyBorder="1" applyProtection="1">
      <protection locked="0"/>
    </xf>
    <xf numFmtId="0" fontId="8" fillId="0" borderId="48" xfId="0" applyFont="1" applyBorder="1" applyProtection="1">
      <protection locked="0"/>
    </xf>
    <xf numFmtId="0" fontId="8" fillId="37" borderId="48" xfId="7" applyFont="1" applyFill="1" applyBorder="1" applyProtection="1">
      <protection locked="0"/>
    </xf>
    <xf numFmtId="171" fontId="56" fillId="37" borderId="15" xfId="0" applyNumberFormat="1" applyFont="1" applyFill="1" applyBorder="1" applyAlignment="1" applyProtection="1">
      <alignment horizontal="center"/>
      <protection locked="0"/>
    </xf>
    <xf numFmtId="171" fontId="56" fillId="37" borderId="7" xfId="0" applyNumberFormat="1" applyFont="1" applyFill="1" applyBorder="1" applyAlignment="1" applyProtection="1">
      <alignment horizontal="center"/>
      <protection locked="0"/>
    </xf>
    <xf numFmtId="171" fontId="38" fillId="37" borderId="21" xfId="0" applyNumberFormat="1" applyFont="1" applyFill="1" applyBorder="1" applyAlignment="1" applyProtection="1">
      <alignment horizontal="center"/>
      <protection locked="0"/>
    </xf>
    <xf numFmtId="171" fontId="38" fillId="37" borderId="16" xfId="0" applyNumberFormat="1" applyFont="1" applyFill="1" applyBorder="1" applyAlignment="1" applyProtection="1">
      <alignment horizontal="center"/>
      <protection locked="0"/>
    </xf>
    <xf numFmtId="171" fontId="38" fillId="37" borderId="15" xfId="0" applyNumberFormat="1" applyFont="1" applyFill="1" applyBorder="1" applyAlignment="1" applyProtection="1">
      <alignment horizontal="center"/>
      <protection locked="0"/>
    </xf>
    <xf numFmtId="171" fontId="38" fillId="37" borderId="7" xfId="0" applyNumberFormat="1" applyFont="1" applyFill="1" applyBorder="1" applyAlignment="1" applyProtection="1">
      <alignment horizontal="center"/>
      <protection locked="0"/>
    </xf>
    <xf numFmtId="171" fontId="56" fillId="37" borderId="16" xfId="0" applyNumberFormat="1" applyFont="1" applyFill="1" applyBorder="1" applyAlignment="1" applyProtection="1">
      <alignment horizontal="center"/>
      <protection locked="0"/>
    </xf>
    <xf numFmtId="171" fontId="56" fillId="37" borderId="21" xfId="0" applyNumberFormat="1" applyFont="1" applyFill="1" applyBorder="1" applyAlignment="1" applyProtection="1">
      <alignment horizontal="center"/>
      <protection locked="0"/>
    </xf>
    <xf numFmtId="171" fontId="61" fillId="0" borderId="21" xfId="0" applyNumberFormat="1" applyFont="1" applyBorder="1" applyAlignment="1" applyProtection="1">
      <alignment horizontal="center"/>
      <protection locked="0"/>
    </xf>
    <xf numFmtId="171" fontId="61" fillId="0" borderId="63" xfId="0" applyNumberFormat="1" applyFont="1" applyBorder="1" applyAlignment="1" applyProtection="1">
      <alignment horizontal="center"/>
      <protection locked="0"/>
    </xf>
    <xf numFmtId="0" fontId="8" fillId="0" borderId="64" xfId="7" applyFont="1" applyBorder="1" applyProtection="1">
      <protection locked="0"/>
    </xf>
    <xf numFmtId="0" fontId="59" fillId="0" borderId="64" xfId="7" applyFont="1" applyBorder="1" applyProtection="1">
      <protection locked="0"/>
    </xf>
    <xf numFmtId="0" fontId="53" fillId="0" borderId="65" xfId="7" applyFont="1" applyBorder="1" applyProtection="1">
      <protection locked="0"/>
    </xf>
    <xf numFmtId="0" fontId="8" fillId="0" borderId="66" xfId="7" applyFont="1" applyBorder="1" applyProtection="1">
      <protection locked="0"/>
    </xf>
    <xf numFmtId="0" fontId="55" fillId="0" borderId="64" xfId="7" applyFont="1" applyBorder="1" applyProtection="1">
      <protection locked="0"/>
    </xf>
    <xf numFmtId="0" fontId="8" fillId="37" borderId="64" xfId="7" applyFont="1" applyFill="1" applyBorder="1" applyProtection="1">
      <protection locked="0"/>
    </xf>
    <xf numFmtId="0" fontId="53" fillId="16" borderId="65" xfId="7" applyFont="1" applyFill="1" applyBorder="1" applyProtection="1">
      <protection locked="0"/>
    </xf>
    <xf numFmtId="171" fontId="56" fillId="0" borderId="0" xfId="0" applyNumberFormat="1" applyFont="1" applyAlignment="1" applyProtection="1">
      <alignment horizontal="center"/>
      <protection locked="0"/>
    </xf>
    <xf numFmtId="171" fontId="61" fillId="0" borderId="0" xfId="0" applyNumberFormat="1" applyFont="1" applyAlignment="1" applyProtection="1">
      <alignment horizontal="center"/>
      <protection locked="0"/>
    </xf>
    <xf numFmtId="171" fontId="56" fillId="37" borderId="0" xfId="0" applyNumberFormat="1" applyFont="1" applyFill="1" applyAlignment="1" applyProtection="1">
      <alignment horizontal="center"/>
      <protection locked="0"/>
    </xf>
    <xf numFmtId="171" fontId="38" fillId="37" borderId="0" xfId="0" applyNumberFormat="1" applyFont="1" applyFill="1" applyAlignment="1" applyProtection="1">
      <alignment horizontal="center"/>
      <protection locked="0"/>
    </xf>
    <xf numFmtId="0" fontId="8" fillId="4" borderId="27" xfId="7" applyFont="1" applyFill="1" applyBorder="1" applyProtection="1">
      <protection locked="0"/>
    </xf>
    <xf numFmtId="171" fontId="38" fillId="0" borderId="72" xfId="0" applyNumberFormat="1" applyFont="1" applyBorder="1" applyAlignment="1" applyProtection="1">
      <alignment horizontal="center"/>
      <protection locked="0"/>
    </xf>
    <xf numFmtId="171" fontId="38" fillId="0" borderId="73" xfId="0" applyNumberFormat="1" applyFont="1" applyBorder="1" applyAlignment="1" applyProtection="1">
      <alignment horizontal="center"/>
      <protection locked="0"/>
    </xf>
    <xf numFmtId="171" fontId="56" fillId="0" borderId="73" xfId="0" applyNumberFormat="1" applyFont="1" applyBorder="1" applyAlignment="1" applyProtection="1">
      <alignment horizontal="center"/>
      <protection locked="0"/>
    </xf>
    <xf numFmtId="171" fontId="56" fillId="37" borderId="72" xfId="0" applyNumberFormat="1" applyFont="1" applyFill="1" applyBorder="1" applyAlignment="1" applyProtection="1">
      <alignment horizontal="center"/>
      <protection locked="0"/>
    </xf>
    <xf numFmtId="171" fontId="38" fillId="37" borderId="73" xfId="0" applyNumberFormat="1" applyFont="1" applyFill="1" applyBorder="1" applyAlignment="1" applyProtection="1">
      <alignment horizontal="center"/>
      <protection locked="0"/>
    </xf>
    <xf numFmtId="171" fontId="38" fillId="0" borderId="74" xfId="0" applyNumberFormat="1" applyFont="1" applyBorder="1" applyAlignment="1" applyProtection="1">
      <alignment horizontal="center"/>
      <protection locked="0"/>
    </xf>
    <xf numFmtId="171" fontId="38" fillId="0" borderId="75" xfId="0" applyNumberFormat="1" applyFont="1" applyBorder="1" applyAlignment="1" applyProtection="1">
      <alignment horizontal="center"/>
      <protection locked="0"/>
    </xf>
    <xf numFmtId="171" fontId="38" fillId="0" borderId="76" xfId="0" applyNumberFormat="1" applyFont="1" applyBorder="1" applyAlignment="1" applyProtection="1">
      <alignment horizontal="center"/>
      <protection locked="0"/>
    </xf>
    <xf numFmtId="0" fontId="63" fillId="8" borderId="67" xfId="7" applyFont="1" applyFill="1" applyBorder="1" applyAlignment="1">
      <alignment horizontal="center" vertical="center"/>
    </xf>
    <xf numFmtId="0" fontId="55" fillId="16" borderId="49" xfId="7" applyFont="1" applyFill="1" applyBorder="1" applyProtection="1">
      <protection locked="0"/>
    </xf>
    <xf numFmtId="171" fontId="64" fillId="0" borderId="77" xfId="0" applyNumberFormat="1" applyFont="1" applyBorder="1" applyAlignment="1" applyProtection="1">
      <alignment horizontal="center"/>
      <protection locked="0"/>
    </xf>
    <xf numFmtId="0" fontId="8" fillId="16" borderId="22" xfId="7" applyFont="1" applyFill="1" applyBorder="1" applyProtection="1">
      <protection locked="0"/>
    </xf>
    <xf numFmtId="171" fontId="38" fillId="0" borderId="78" xfId="0" applyNumberFormat="1" applyFont="1" applyBorder="1" applyAlignment="1" applyProtection="1">
      <alignment horizontal="center"/>
      <protection locked="0"/>
    </xf>
    <xf numFmtId="171" fontId="38" fillId="0" borderId="20" xfId="0" applyNumberFormat="1" applyFont="1" applyBorder="1" applyAlignment="1" applyProtection="1">
      <alignment horizontal="center"/>
      <protection locked="0"/>
    </xf>
    <xf numFmtId="171" fontId="38" fillId="0" borderId="23" xfId="0" applyNumberFormat="1" applyFont="1" applyBorder="1" applyAlignment="1" applyProtection="1">
      <alignment horizontal="center"/>
      <protection locked="0"/>
    </xf>
    <xf numFmtId="0" fontId="53" fillId="16" borderId="66" xfId="7" applyFont="1" applyFill="1" applyBorder="1" applyProtection="1">
      <protection locked="0"/>
    </xf>
    <xf numFmtId="171" fontId="56" fillId="0" borderId="78" xfId="0" applyNumberFormat="1" applyFont="1" applyBorder="1" applyAlignment="1" applyProtection="1">
      <alignment horizontal="center"/>
      <protection locked="0"/>
    </xf>
    <xf numFmtId="171" fontId="56" fillId="0" borderId="20" xfId="0" applyNumberFormat="1" applyFont="1" applyBorder="1" applyAlignment="1" applyProtection="1">
      <alignment horizontal="center"/>
      <protection locked="0"/>
    </xf>
    <xf numFmtId="171" fontId="61" fillId="0" borderId="79" xfId="0" applyNumberFormat="1" applyFont="1" applyBorder="1" applyAlignment="1" applyProtection="1">
      <alignment horizontal="center"/>
      <protection locked="0"/>
    </xf>
    <xf numFmtId="171" fontId="61" fillId="0" borderId="8" xfId="0" applyNumberFormat="1" applyFont="1" applyBorder="1" applyAlignment="1" applyProtection="1">
      <alignment horizontal="center"/>
      <protection locked="0"/>
    </xf>
    <xf numFmtId="171" fontId="38" fillId="0" borderId="8" xfId="0" applyNumberFormat="1" applyFont="1" applyBorder="1" applyAlignment="1" applyProtection="1">
      <alignment horizontal="center"/>
      <protection locked="0"/>
    </xf>
    <xf numFmtId="171" fontId="38" fillId="0" borderId="62" xfId="0" applyNumberFormat="1" applyFont="1" applyBorder="1" applyAlignment="1" applyProtection="1">
      <alignment horizontal="center"/>
      <protection locked="0"/>
    </xf>
    <xf numFmtId="171" fontId="61" fillId="0" borderId="72" xfId="0" applyNumberFormat="1" applyFont="1" applyBorder="1" applyAlignment="1" applyProtection="1">
      <alignment horizontal="center"/>
      <protection locked="0"/>
    </xf>
    <xf numFmtId="171" fontId="38" fillId="0" borderId="46" xfId="0" applyNumberFormat="1" applyFont="1" applyBorder="1" applyAlignment="1" applyProtection="1">
      <alignment horizontal="center"/>
      <protection locked="0"/>
    </xf>
    <xf numFmtId="171" fontId="38" fillId="0" borderId="80" xfId="0" applyNumberFormat="1" applyFont="1" applyBorder="1" applyAlignment="1" applyProtection="1">
      <alignment horizontal="center"/>
      <protection locked="0"/>
    </xf>
    <xf numFmtId="171" fontId="38" fillId="0" borderId="81" xfId="0" applyNumberFormat="1" applyFont="1" applyBorder="1" applyAlignment="1" applyProtection="1">
      <alignment horizontal="center"/>
      <protection locked="0"/>
    </xf>
    <xf numFmtId="171" fontId="56" fillId="0" borderId="81" xfId="0" applyNumberFormat="1" applyFont="1" applyBorder="1" applyAlignment="1" applyProtection="1">
      <alignment horizontal="center"/>
      <protection locked="0"/>
    </xf>
    <xf numFmtId="171" fontId="56" fillId="0" borderId="82" xfId="0" applyNumberFormat="1" applyFont="1" applyBorder="1" applyAlignment="1" applyProtection="1">
      <alignment horizontal="center"/>
      <protection locked="0"/>
    </xf>
    <xf numFmtId="0" fontId="24" fillId="39" borderId="26" xfId="7" applyFont="1" applyFill="1" applyBorder="1" applyProtection="1">
      <protection locked="0"/>
    </xf>
    <xf numFmtId="171" fontId="30" fillId="39" borderId="19" xfId="0" applyNumberFormat="1" applyFont="1" applyFill="1" applyBorder="1" applyAlignment="1" applyProtection="1">
      <alignment horizontal="left"/>
      <protection locked="0"/>
    </xf>
    <xf numFmtId="0" fontId="24" fillId="34" borderId="2" xfId="7" applyFont="1" applyFill="1" applyBorder="1" applyProtection="1">
      <protection locked="0"/>
    </xf>
    <xf numFmtId="171" fontId="30" fillId="34" borderId="29" xfId="0" applyNumberFormat="1" applyFont="1" applyFill="1" applyBorder="1" applyProtection="1">
      <protection locked="0"/>
    </xf>
    <xf numFmtId="171" fontId="30" fillId="34" borderId="11" xfId="0" applyNumberFormat="1" applyFont="1" applyFill="1" applyBorder="1" applyProtection="1">
      <protection locked="0"/>
    </xf>
    <xf numFmtId="0" fontId="24" fillId="4" borderId="35" xfId="7" applyFont="1" applyFill="1" applyBorder="1" applyProtection="1">
      <protection locked="0"/>
    </xf>
    <xf numFmtId="171" fontId="30" fillId="4" borderId="30" xfId="0" applyNumberFormat="1" applyFont="1" applyFill="1" applyBorder="1" applyProtection="1">
      <protection locked="0"/>
    </xf>
    <xf numFmtId="171" fontId="30" fillId="4" borderId="36" xfId="0" applyNumberFormat="1" applyFont="1" applyFill="1" applyBorder="1" applyProtection="1">
      <protection locked="0"/>
    </xf>
    <xf numFmtId="0" fontId="24" fillId="4" borderId="31" xfId="7" applyFont="1" applyFill="1" applyBorder="1" applyProtection="1">
      <protection locked="0"/>
    </xf>
    <xf numFmtId="0" fontId="24" fillId="11" borderId="45" xfId="7" applyFont="1" applyFill="1" applyBorder="1" applyProtection="1">
      <protection locked="0"/>
    </xf>
    <xf numFmtId="171" fontId="30" fillId="39" borderId="0" xfId="0" applyNumberFormat="1" applyFont="1" applyFill="1" applyAlignment="1" applyProtection="1">
      <alignment horizontal="left"/>
      <protection locked="0"/>
    </xf>
    <xf numFmtId="171" fontId="30" fillId="4" borderId="83" xfId="0" applyNumberFormat="1" applyFont="1" applyFill="1" applyBorder="1" applyProtection="1">
      <protection locked="0"/>
    </xf>
    <xf numFmtId="0" fontId="24" fillId="11" borderId="84" xfId="7" applyFont="1" applyFill="1" applyBorder="1" applyProtection="1">
      <protection locked="0"/>
    </xf>
    <xf numFmtId="0" fontId="29" fillId="11" borderId="85" xfId="0" applyFont="1" applyFill="1" applyBorder="1" applyProtection="1">
      <protection locked="0"/>
    </xf>
    <xf numFmtId="0" fontId="29" fillId="11" borderId="86" xfId="0" applyFont="1" applyFill="1" applyBorder="1" applyProtection="1">
      <protection locked="0"/>
    </xf>
    <xf numFmtId="0" fontId="24" fillId="40" borderId="87" xfId="7" applyFont="1" applyFill="1" applyBorder="1" applyProtection="1">
      <protection locked="0"/>
    </xf>
    <xf numFmtId="171" fontId="30" fillId="40" borderId="85" xfId="0" applyNumberFormat="1" applyFont="1" applyFill="1" applyBorder="1" applyProtection="1">
      <protection locked="0"/>
    </xf>
    <xf numFmtId="171" fontId="30" fillId="40" borderId="86" xfId="0" applyNumberFormat="1" applyFont="1" applyFill="1" applyBorder="1" applyProtection="1">
      <protection locked="0"/>
    </xf>
    <xf numFmtId="0" fontId="24" fillId="4" borderId="87" xfId="7" applyFont="1" applyFill="1" applyBorder="1" applyProtection="1">
      <protection locked="0"/>
    </xf>
    <xf numFmtId="171" fontId="30" fillId="4" borderId="85" xfId="0" applyNumberFormat="1" applyFont="1" applyFill="1" applyBorder="1" applyProtection="1">
      <protection locked="0"/>
    </xf>
    <xf numFmtId="171" fontId="30" fillId="4" borderId="88" xfId="0" applyNumberFormat="1" applyFont="1" applyFill="1" applyBorder="1" applyProtection="1">
      <protection locked="0"/>
    </xf>
    <xf numFmtId="0" fontId="24" fillId="4" borderId="89" xfId="7" applyFont="1" applyFill="1" applyBorder="1" applyProtection="1">
      <protection locked="0"/>
    </xf>
    <xf numFmtId="171" fontId="30" fillId="4" borderId="30" xfId="0" applyNumberFormat="1" applyFont="1" applyFill="1" applyBorder="1" applyAlignment="1" applyProtection="1">
      <alignment horizontal="left"/>
      <protection locked="0"/>
    </xf>
    <xf numFmtId="171" fontId="30" fillId="4" borderId="36" xfId="0" applyNumberFormat="1" applyFont="1" applyFill="1" applyBorder="1" applyAlignment="1" applyProtection="1">
      <alignment horizontal="left"/>
      <protection locked="0"/>
    </xf>
    <xf numFmtId="0" fontId="24" fillId="23" borderId="35" xfId="7" applyFont="1" applyFill="1" applyBorder="1" applyProtection="1">
      <protection locked="0"/>
    </xf>
    <xf numFmtId="171" fontId="30" fillId="23" borderId="30" xfId="0" applyNumberFormat="1" applyFont="1" applyFill="1" applyBorder="1" applyAlignment="1" applyProtection="1">
      <alignment horizontal="left"/>
      <protection locked="0"/>
    </xf>
    <xf numFmtId="171" fontId="30" fillId="23" borderId="36" xfId="0" applyNumberFormat="1" applyFont="1" applyFill="1" applyBorder="1" applyAlignment="1" applyProtection="1">
      <alignment horizontal="left"/>
      <protection locked="0"/>
    </xf>
    <xf numFmtId="0" fontId="24" fillId="40" borderId="35" xfId="7" applyFont="1" applyFill="1" applyBorder="1" applyProtection="1">
      <protection locked="0"/>
    </xf>
    <xf numFmtId="171" fontId="30" fillId="40" borderId="30" xfId="0" applyNumberFormat="1" applyFont="1" applyFill="1" applyBorder="1" applyProtection="1">
      <protection locked="0"/>
    </xf>
    <xf numFmtId="171" fontId="30" fillId="40" borderId="90" xfId="0" applyNumberFormat="1" applyFont="1" applyFill="1" applyBorder="1" applyProtection="1">
      <protection locked="0"/>
    </xf>
    <xf numFmtId="0" fontId="24" fillId="41" borderId="80" xfId="7" applyFont="1" applyFill="1" applyBorder="1" applyAlignment="1" applyProtection="1">
      <alignment vertical="center"/>
      <protection locked="0"/>
    </xf>
    <xf numFmtId="0" fontId="29" fillId="41" borderId="81" xfId="0" applyFont="1" applyFill="1" applyBorder="1" applyAlignment="1" applyProtection="1">
      <alignment vertical="center"/>
      <protection locked="0"/>
    </xf>
    <xf numFmtId="0" fontId="29" fillId="41" borderId="91" xfId="0" applyFont="1" applyFill="1" applyBorder="1" applyAlignment="1" applyProtection="1">
      <alignment vertical="center"/>
      <protection locked="0"/>
    </xf>
    <xf numFmtId="0" fontId="29" fillId="41" borderId="92" xfId="0" applyFont="1" applyFill="1" applyBorder="1" applyAlignment="1" applyProtection="1">
      <alignment vertical="center"/>
      <protection locked="0"/>
    </xf>
    <xf numFmtId="0" fontId="29" fillId="41" borderId="82" xfId="0" applyFont="1" applyFill="1" applyBorder="1" applyAlignment="1" applyProtection="1">
      <alignment vertical="center"/>
      <protection locked="0"/>
    </xf>
    <xf numFmtId="171" fontId="38" fillId="43" borderId="78" xfId="0" applyNumberFormat="1" applyFont="1" applyFill="1" applyBorder="1" applyAlignment="1" applyProtection="1">
      <alignment horizontal="center"/>
      <protection locked="0"/>
    </xf>
    <xf numFmtId="171" fontId="38" fillId="43" borderId="20" xfId="0" applyNumberFormat="1" applyFont="1" applyFill="1" applyBorder="1" applyAlignment="1" applyProtection="1">
      <alignment horizontal="center"/>
      <protection locked="0"/>
    </xf>
    <xf numFmtId="171" fontId="56" fillId="44" borderId="78" xfId="0" applyNumberFormat="1" applyFont="1" applyFill="1" applyBorder="1" applyAlignment="1" applyProtection="1">
      <alignment horizontal="center"/>
      <protection locked="0"/>
    </xf>
    <xf numFmtId="171" fontId="56" fillId="44" borderId="20" xfId="0" applyNumberFormat="1" applyFont="1" applyFill="1" applyBorder="1" applyAlignment="1" applyProtection="1">
      <alignment horizontal="center"/>
      <protection locked="0"/>
    </xf>
    <xf numFmtId="171" fontId="38" fillId="45" borderId="20" xfId="0" applyNumberFormat="1" applyFont="1" applyFill="1" applyBorder="1" applyAlignment="1" applyProtection="1">
      <alignment horizontal="center"/>
      <protection locked="0"/>
    </xf>
    <xf numFmtId="171" fontId="38" fillId="44" borderId="78" xfId="0" applyNumberFormat="1" applyFont="1" applyFill="1" applyBorder="1" applyAlignment="1" applyProtection="1">
      <alignment horizontal="center"/>
      <protection locked="0"/>
    </xf>
    <xf numFmtId="171" fontId="56" fillId="46" borderId="78" xfId="0" applyNumberFormat="1" applyFont="1" applyFill="1" applyBorder="1" applyAlignment="1" applyProtection="1">
      <alignment horizontal="center"/>
      <protection locked="0"/>
    </xf>
    <xf numFmtId="0" fontId="65" fillId="7" borderId="0" xfId="7" applyFont="1" applyFill="1" applyBorder="1" applyAlignment="1">
      <alignment horizontal="center" vertical="center" textRotation="90" wrapText="1"/>
    </xf>
    <xf numFmtId="20" fontId="66" fillId="15" borderId="1" xfId="0" applyNumberFormat="1" applyFont="1" applyFill="1" applyBorder="1" applyAlignment="1">
      <alignment horizontal="right"/>
    </xf>
    <xf numFmtId="0" fontId="38" fillId="7" borderId="0" xfId="7" applyFont="1" applyFill="1" applyBorder="1" applyAlignment="1">
      <alignment horizontal="right"/>
    </xf>
    <xf numFmtId="0" fontId="38" fillId="0" borderId="0" xfId="7" applyFont="1" applyBorder="1"/>
    <xf numFmtId="171" fontId="64" fillId="0" borderId="77" xfId="0" applyNumberFormat="1" applyFont="1" applyBorder="1" applyAlignment="1" applyProtection="1">
      <alignment horizontal="center" vertical="center"/>
      <protection locked="0"/>
    </xf>
    <xf numFmtId="171" fontId="38" fillId="0" borderId="20" xfId="0" applyNumberFormat="1" applyFont="1" applyBorder="1" applyAlignment="1" applyProtection="1">
      <alignment horizontal="center" vertical="center"/>
      <protection locked="0"/>
    </xf>
    <xf numFmtId="171" fontId="38" fillId="0" borderId="93" xfId="0" applyNumberFormat="1" applyFont="1" applyBorder="1" applyAlignment="1" applyProtection="1">
      <alignment horizontal="center" vertical="center"/>
      <protection locked="0"/>
    </xf>
    <xf numFmtId="171" fontId="38" fillId="0" borderId="78" xfId="0" applyNumberFormat="1" applyFont="1" applyBorder="1" applyAlignment="1" applyProtection="1">
      <alignment horizontal="center" vertical="center"/>
      <protection locked="0"/>
    </xf>
    <xf numFmtId="171" fontId="56" fillId="0" borderId="20" xfId="0" applyNumberFormat="1" applyFont="1" applyBorder="1" applyAlignment="1" applyProtection="1">
      <alignment horizontal="center" vertical="center"/>
      <protection locked="0"/>
    </xf>
    <xf numFmtId="171" fontId="56" fillId="0" borderId="93" xfId="0" applyNumberFormat="1" applyFont="1" applyBorder="1" applyAlignment="1" applyProtection="1">
      <alignment horizontal="center" vertical="center"/>
      <protection locked="0"/>
    </xf>
    <xf numFmtId="171" fontId="56" fillId="0" borderId="78" xfId="0" applyNumberFormat="1" applyFont="1" applyBorder="1" applyAlignment="1" applyProtection="1">
      <alignment horizontal="center" vertical="center"/>
      <protection locked="0"/>
    </xf>
    <xf numFmtId="171" fontId="38" fillId="0" borderId="72" xfId="0" applyNumberFormat="1" applyFont="1" applyBorder="1" applyAlignment="1" applyProtection="1">
      <alignment horizontal="center" vertical="center"/>
      <protection locked="0"/>
    </xf>
    <xf numFmtId="171" fontId="38" fillId="0" borderId="0" xfId="0" applyNumberFormat="1" applyFont="1" applyAlignment="1" applyProtection="1">
      <alignment horizontal="center" vertical="center"/>
      <protection locked="0"/>
    </xf>
    <xf numFmtId="171" fontId="38" fillId="0" borderId="73" xfId="0" applyNumberFormat="1" applyFont="1" applyBorder="1" applyAlignment="1" applyProtection="1">
      <alignment horizontal="center" vertical="center"/>
      <protection locked="0"/>
    </xf>
    <xf numFmtId="171" fontId="61" fillId="0" borderId="79" xfId="0" applyNumberFormat="1" applyFont="1" applyBorder="1" applyAlignment="1" applyProtection="1">
      <alignment horizontal="center" vertical="center"/>
      <protection locked="0"/>
    </xf>
    <xf numFmtId="171" fontId="61" fillId="0" borderId="8" xfId="0" applyNumberFormat="1" applyFont="1" applyBorder="1" applyAlignment="1" applyProtection="1">
      <alignment horizontal="center" vertical="center"/>
      <protection locked="0"/>
    </xf>
    <xf numFmtId="171" fontId="38" fillId="0" borderId="8" xfId="0" applyNumberFormat="1" applyFont="1" applyBorder="1" applyAlignment="1" applyProtection="1">
      <alignment horizontal="center" vertical="center"/>
      <protection locked="0"/>
    </xf>
    <xf numFmtId="171" fontId="38" fillId="0" borderId="94" xfId="0" applyNumberFormat="1" applyFont="1" applyBorder="1" applyAlignment="1" applyProtection="1">
      <alignment horizontal="center" vertical="center"/>
      <protection locked="0"/>
    </xf>
    <xf numFmtId="171" fontId="61" fillId="0" borderId="94" xfId="0" applyNumberFormat="1" applyFont="1" applyBorder="1" applyAlignment="1" applyProtection="1">
      <alignment horizontal="center" vertical="center"/>
      <protection locked="0"/>
    </xf>
    <xf numFmtId="171" fontId="56" fillId="0" borderId="0" xfId="0" applyNumberFormat="1" applyFont="1" applyAlignment="1" applyProtection="1">
      <alignment horizontal="center" vertical="center"/>
      <protection locked="0"/>
    </xf>
    <xf numFmtId="171" fontId="38" fillId="0" borderId="74" xfId="0" applyNumberFormat="1" applyFont="1" applyBorder="1" applyAlignment="1" applyProtection="1">
      <alignment horizontal="center" vertical="center"/>
      <protection locked="0"/>
    </xf>
    <xf numFmtId="171" fontId="38" fillId="0" borderId="75" xfId="0" applyNumberFormat="1" applyFont="1" applyBorder="1" applyAlignment="1" applyProtection="1">
      <alignment horizontal="center" vertical="center"/>
      <protection locked="0"/>
    </xf>
    <xf numFmtId="171" fontId="38" fillId="44" borderId="20" xfId="0" applyNumberFormat="1" applyFont="1" applyFill="1" applyBorder="1" applyAlignment="1" applyProtection="1">
      <alignment horizontal="center" vertical="center"/>
      <protection locked="0"/>
    </xf>
    <xf numFmtId="0" fontId="24" fillId="49" borderId="26" xfId="7" applyFont="1" applyFill="1" applyBorder="1" applyProtection="1">
      <protection locked="0"/>
    </xf>
    <xf numFmtId="171" fontId="30" fillId="49" borderId="0" xfId="0" applyNumberFormat="1" applyFont="1" applyFill="1" applyAlignment="1" applyProtection="1">
      <alignment horizontal="left"/>
      <protection locked="0"/>
    </xf>
    <xf numFmtId="171" fontId="30" fillId="49" borderId="19" xfId="0" applyNumberFormat="1" applyFont="1" applyFill="1" applyBorder="1" applyAlignment="1" applyProtection="1">
      <alignment horizontal="left"/>
      <protection locked="0"/>
    </xf>
    <xf numFmtId="0" fontId="24" fillId="50" borderId="87" xfId="7" applyFont="1" applyFill="1" applyBorder="1" applyProtection="1">
      <protection locked="0"/>
    </xf>
    <xf numFmtId="171" fontId="30" fillId="50" borderId="29" xfId="0" applyNumberFormat="1" applyFont="1" applyFill="1" applyBorder="1" applyProtection="1">
      <protection locked="0"/>
    </xf>
    <xf numFmtId="171" fontId="30" fillId="50" borderId="85" xfId="0" applyNumberFormat="1" applyFont="1" applyFill="1" applyBorder="1" applyProtection="1">
      <protection locked="0"/>
    </xf>
    <xf numFmtId="171" fontId="30" fillId="50" borderId="88" xfId="0" applyNumberFormat="1" applyFont="1" applyFill="1" applyBorder="1" applyProtection="1">
      <protection locked="0"/>
    </xf>
    <xf numFmtId="171" fontId="69" fillId="4" borderId="0" xfId="0" applyNumberFormat="1" applyFont="1" applyFill="1" applyAlignment="1" applyProtection="1">
      <alignment horizontal="center"/>
      <protection locked="0"/>
    </xf>
    <xf numFmtId="171" fontId="38" fillId="51" borderId="78" xfId="0" applyNumberFormat="1" applyFont="1" applyFill="1" applyBorder="1" applyAlignment="1" applyProtection="1">
      <alignment horizontal="center" vertical="center"/>
      <protection locked="0"/>
    </xf>
    <xf numFmtId="171" fontId="38" fillId="37" borderId="78" xfId="0" applyNumberFormat="1" applyFont="1" applyFill="1" applyBorder="1" applyAlignment="1" applyProtection="1">
      <alignment horizontal="center" vertical="center"/>
      <protection locked="0"/>
    </xf>
    <xf numFmtId="0" fontId="24" fillId="52" borderId="2" xfId="7" applyFont="1" applyFill="1" applyBorder="1" applyProtection="1">
      <protection locked="0"/>
    </xf>
    <xf numFmtId="0" fontId="67" fillId="20" borderId="2" xfId="7" applyFont="1" applyFill="1" applyBorder="1" applyProtection="1">
      <protection locked="0"/>
    </xf>
    <xf numFmtId="171" fontId="30" fillId="53" borderId="29" xfId="0" applyNumberFormat="1" applyFont="1" applyFill="1" applyBorder="1" applyProtection="1">
      <protection locked="0"/>
    </xf>
    <xf numFmtId="171" fontId="68" fillId="20" borderId="29" xfId="0" applyNumberFormat="1" applyFont="1" applyFill="1" applyBorder="1" applyProtection="1">
      <protection locked="0"/>
    </xf>
    <xf numFmtId="171" fontId="30" fillId="54" borderId="29" xfId="0" applyNumberFormat="1" applyFont="1" applyFill="1" applyBorder="1" applyProtection="1">
      <protection locked="0"/>
    </xf>
    <xf numFmtId="171" fontId="68" fillId="20" borderId="83" xfId="0" applyNumberFormat="1" applyFont="1" applyFill="1" applyBorder="1" applyProtection="1">
      <protection locked="0"/>
    </xf>
    <xf numFmtId="0" fontId="7" fillId="56" borderId="45" xfId="7" applyFont="1" applyFill="1" applyBorder="1" applyAlignment="1">
      <alignment horizontal="center" vertical="center" textRotation="90"/>
    </xf>
    <xf numFmtId="0" fontId="8" fillId="57" borderId="27" xfId="7" applyFont="1" applyFill="1" applyBorder="1" applyProtection="1">
      <protection locked="0"/>
    </xf>
    <xf numFmtId="0" fontId="21" fillId="57" borderId="22" xfId="7" applyFont="1" applyFill="1" applyBorder="1" applyAlignment="1" applyProtection="1">
      <alignment horizontal="center" vertical="center" textRotation="180"/>
      <protection locked="0"/>
    </xf>
    <xf numFmtId="171" fontId="71" fillId="24" borderId="77" xfId="0" applyNumberFormat="1" applyFont="1" applyFill="1" applyBorder="1" applyAlignment="1" applyProtection="1">
      <alignment horizontal="center" vertical="center"/>
      <protection locked="0"/>
    </xf>
    <xf numFmtId="0" fontId="72" fillId="58" borderId="22" xfId="7" applyFont="1" applyFill="1" applyBorder="1" applyProtection="1">
      <protection locked="0"/>
    </xf>
    <xf numFmtId="0" fontId="73" fillId="58" borderId="66" xfId="7" applyFont="1" applyFill="1" applyBorder="1" applyProtection="1">
      <protection locked="0"/>
    </xf>
    <xf numFmtId="0" fontId="72" fillId="56" borderId="66" xfId="7" applyFont="1" applyFill="1" applyBorder="1" applyProtection="1">
      <protection locked="0"/>
    </xf>
    <xf numFmtId="0" fontId="72" fillId="56" borderId="64" xfId="7" applyFont="1" applyFill="1" applyBorder="1" applyProtection="1">
      <protection locked="0"/>
    </xf>
    <xf numFmtId="0" fontId="73" fillId="58" borderId="65" xfId="7" applyFont="1" applyFill="1" applyBorder="1" applyProtection="1">
      <protection locked="0"/>
    </xf>
    <xf numFmtId="0" fontId="7" fillId="57" borderId="13" xfId="7" applyFont="1" applyFill="1" applyBorder="1" applyAlignment="1" applyProtection="1">
      <alignment horizontal="center" vertical="center"/>
      <protection locked="0"/>
    </xf>
    <xf numFmtId="0" fontId="7" fillId="57" borderId="0" xfId="7" applyFont="1" applyFill="1" applyBorder="1" applyAlignment="1" applyProtection="1">
      <alignment horizontal="center" vertical="center"/>
      <protection locked="0"/>
    </xf>
    <xf numFmtId="0" fontId="1" fillId="56" borderId="0" xfId="7" applyFill="1" applyBorder="1" applyAlignment="1">
      <alignment horizontal="center"/>
    </xf>
    <xf numFmtId="0" fontId="7" fillId="57" borderId="0" xfId="7" applyFont="1" applyFill="1" applyBorder="1" applyAlignment="1">
      <alignment horizontal="center" vertical="center"/>
    </xf>
    <xf numFmtId="0" fontId="7" fillId="56" borderId="0" xfId="7" applyFont="1" applyFill="1" applyBorder="1" applyAlignment="1">
      <alignment horizontal="center" vertical="center"/>
    </xf>
    <xf numFmtId="0" fontId="33" fillId="57" borderId="0" xfId="7" applyFont="1" applyFill="1" applyBorder="1" applyProtection="1">
      <protection locked="0"/>
    </xf>
    <xf numFmtId="0" fontId="24" fillId="57" borderId="35" xfId="7" applyFont="1" applyFill="1" applyBorder="1" applyProtection="1">
      <protection locked="0"/>
    </xf>
    <xf numFmtId="171" fontId="30" fillId="57" borderId="30" xfId="0" applyNumberFormat="1" applyFont="1" applyFill="1" applyBorder="1" applyProtection="1">
      <protection locked="0"/>
    </xf>
    <xf numFmtId="171" fontId="30" fillId="57" borderId="36" xfId="0" applyNumberFormat="1" applyFont="1" applyFill="1" applyBorder="1" applyProtection="1">
      <protection locked="0"/>
    </xf>
    <xf numFmtId="0" fontId="25" fillId="18" borderId="25" xfId="7" applyFont="1" applyFill="1" applyBorder="1" applyProtection="1">
      <protection locked="0"/>
    </xf>
    <xf numFmtId="0" fontId="75" fillId="59" borderId="49" xfId="7" applyFont="1" applyFill="1" applyBorder="1" applyAlignment="1">
      <alignment horizontal="center"/>
    </xf>
    <xf numFmtId="0" fontId="38" fillId="60" borderId="45" xfId="7" applyFont="1" applyFill="1" applyBorder="1" applyAlignment="1">
      <alignment horizontal="center" vertical="center" textRotation="90"/>
    </xf>
    <xf numFmtId="1" fontId="57" fillId="42" borderId="24" xfId="7" applyNumberFormat="1" applyFont="1" applyFill="1" applyBorder="1" applyAlignment="1" applyProtection="1">
      <alignment horizontal="center" vertical="center"/>
      <protection hidden="1"/>
    </xf>
    <xf numFmtId="0" fontId="78" fillId="60" borderId="45" xfId="7" applyFont="1" applyFill="1" applyBorder="1" applyAlignment="1">
      <alignment horizontal="center" vertical="center" textRotation="90" wrapText="1"/>
    </xf>
    <xf numFmtId="0" fontId="79" fillId="59" borderId="49" xfId="7" applyFont="1" applyFill="1" applyBorder="1" applyAlignment="1">
      <alignment horizontal="center" wrapText="1"/>
    </xf>
    <xf numFmtId="0" fontId="80" fillId="48" borderId="67" xfId="7" applyFont="1" applyFill="1" applyBorder="1" applyAlignment="1">
      <alignment horizontal="center" vertical="center" wrapText="1"/>
    </xf>
    <xf numFmtId="0" fontId="81" fillId="7" borderId="0" xfId="7" applyFont="1" applyFill="1" applyBorder="1" applyAlignment="1">
      <alignment horizontal="center" vertical="center" textRotation="90" wrapText="1"/>
    </xf>
    <xf numFmtId="0" fontId="82" fillId="7" borderId="1" xfId="7" applyFont="1" applyFill="1" applyBorder="1" applyAlignment="1">
      <alignment horizontal="center" vertical="center" wrapText="1"/>
    </xf>
    <xf numFmtId="0" fontId="83" fillId="7" borderId="1" xfId="0" applyFont="1" applyFill="1" applyBorder="1" applyAlignment="1">
      <alignment horizontal="center" vertical="center" wrapText="1"/>
    </xf>
    <xf numFmtId="0" fontId="78" fillId="7" borderId="0" xfId="7" applyFont="1" applyFill="1" applyBorder="1" applyAlignment="1">
      <alignment horizontal="right" wrapText="1"/>
    </xf>
    <xf numFmtId="0" fontId="78" fillId="0" borderId="0" xfId="7" applyFont="1" applyBorder="1" applyAlignment="1">
      <alignment wrapText="1"/>
    </xf>
    <xf numFmtId="0" fontId="84" fillId="0" borderId="0" xfId="0" applyFont="1" applyAlignment="1">
      <alignment wrapText="1"/>
    </xf>
    <xf numFmtId="171" fontId="72" fillId="15" borderId="78" xfId="0" applyNumberFormat="1" applyFont="1" applyFill="1" applyBorder="1" applyAlignment="1" applyProtection="1">
      <alignment horizontal="left"/>
      <protection locked="0"/>
    </xf>
    <xf numFmtId="171" fontId="85" fillId="15" borderId="20" xfId="0" applyNumberFormat="1" applyFont="1" applyFill="1" applyBorder="1" applyAlignment="1" applyProtection="1">
      <alignment horizontal="center" vertical="center"/>
      <protection locked="0"/>
    </xf>
    <xf numFmtId="49" fontId="4" fillId="5" borderId="2" xfId="10" applyNumberFormat="1" applyFont="1" applyFill="1" applyBorder="1" applyAlignment="1" applyProtection="1">
      <alignment horizontal="center"/>
    </xf>
    <xf numFmtId="0" fontId="6" fillId="5" borderId="0" xfId="0" applyFont="1" applyFill="1"/>
    <xf numFmtId="0" fontId="11" fillId="7" borderId="1" xfId="7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7" fillId="0" borderId="9" xfId="7" applyFont="1" applyBorder="1" applyAlignment="1">
      <alignment horizontal="center" vertical="center" textRotation="90"/>
    </xf>
    <xf numFmtId="0" fontId="14" fillId="8" borderId="9" xfId="7" applyFont="1" applyFill="1" applyBorder="1" applyAlignment="1">
      <alignment horizontal="center" vertical="center" textRotation="47"/>
    </xf>
    <xf numFmtId="0" fontId="14" fillId="8" borderId="49" xfId="7" applyFont="1" applyFill="1" applyBorder="1" applyAlignment="1">
      <alignment horizontal="center" vertical="center" textRotation="47"/>
    </xf>
    <xf numFmtId="0" fontId="14" fillId="8" borderId="10" xfId="7" applyFont="1" applyFill="1" applyBorder="1" applyAlignment="1">
      <alignment horizontal="center" vertical="center" textRotation="47"/>
    </xf>
    <xf numFmtId="168" fontId="15" fillId="8" borderId="10" xfId="7" applyNumberFormat="1" applyFont="1" applyFill="1" applyBorder="1" applyAlignment="1">
      <alignment horizontal="center" vertical="center"/>
    </xf>
    <xf numFmtId="168" fontId="15" fillId="8" borderId="9" xfId="7" applyNumberFormat="1" applyFont="1" applyFill="1" applyBorder="1" applyAlignment="1">
      <alignment horizontal="center" vertical="center"/>
    </xf>
    <xf numFmtId="0" fontId="16" fillId="7" borderId="11" xfId="7" applyFont="1" applyFill="1" applyBorder="1" applyAlignment="1">
      <alignment horizontal="center" vertical="center" wrapText="1"/>
    </xf>
    <xf numFmtId="0" fontId="16" fillId="7" borderId="12" xfId="7" applyFont="1" applyFill="1" applyBorder="1" applyAlignment="1">
      <alignment horizontal="center" vertical="center" textRotation="90" wrapText="1"/>
    </xf>
    <xf numFmtId="0" fontId="10" fillId="7" borderId="1" xfId="7" applyFont="1" applyFill="1" applyBorder="1" applyAlignment="1">
      <alignment horizontal="center" vertical="center" textRotation="90"/>
    </xf>
    <xf numFmtId="168" fontId="11" fillId="7" borderId="1" xfId="7" applyNumberFormat="1" applyFont="1" applyFill="1" applyBorder="1" applyAlignment="1">
      <alignment horizontal="center"/>
    </xf>
    <xf numFmtId="2" fontId="17" fillId="9" borderId="51" xfId="7" applyNumberFormat="1" applyFont="1" applyFill="1" applyBorder="1" applyAlignment="1" applyProtection="1">
      <alignment horizontal="center" vertical="center"/>
      <protection hidden="1"/>
    </xf>
    <xf numFmtId="170" fontId="18" fillId="9" borderId="52" xfId="2" applyNumberFormat="1" applyFont="1" applyFill="1" applyBorder="1" applyAlignment="1" applyProtection="1">
      <alignment horizontal="center" vertical="center"/>
      <protection hidden="1"/>
    </xf>
    <xf numFmtId="2" fontId="17" fillId="9" borderId="13" xfId="7" applyNumberFormat="1" applyFont="1" applyFill="1" applyBorder="1" applyAlignment="1" applyProtection="1">
      <alignment horizontal="center" vertical="center"/>
      <protection hidden="1"/>
    </xf>
    <xf numFmtId="170" fontId="18" fillId="9" borderId="14" xfId="2" applyNumberFormat="1" applyFont="1" applyFill="1" applyBorder="1" applyAlignment="1" applyProtection="1">
      <alignment horizontal="center" vertical="center"/>
      <protection hidden="1"/>
    </xf>
    <xf numFmtId="2" fontId="17" fillId="9" borderId="56" xfId="7" applyNumberFormat="1" applyFont="1" applyFill="1" applyBorder="1" applyAlignment="1" applyProtection="1">
      <alignment horizontal="center" vertical="center"/>
      <protection hidden="1"/>
    </xf>
    <xf numFmtId="2" fontId="9" fillId="3" borderId="1" xfId="7" applyNumberFormat="1" applyFont="1" applyFill="1" applyBorder="1" applyAlignment="1">
      <alignment horizontal="center"/>
    </xf>
    <xf numFmtId="0" fontId="3" fillId="6" borderId="0" xfId="10" applyFont="1" applyFill="1" applyBorder="1" applyAlignment="1" applyProtection="1">
      <alignment horizontal="center" vertical="center"/>
      <protection locked="0"/>
    </xf>
    <xf numFmtId="0" fontId="3" fillId="6" borderId="8" xfId="10" applyFont="1" applyFill="1" applyBorder="1" applyAlignment="1" applyProtection="1">
      <alignment horizontal="center" vertical="center"/>
      <protection locked="0"/>
    </xf>
    <xf numFmtId="168" fontId="15" fillId="8" borderId="23" xfId="7" applyNumberFormat="1" applyFont="1" applyFill="1" applyBorder="1" applyAlignment="1">
      <alignment horizontal="center" vertical="center"/>
    </xf>
    <xf numFmtId="168" fontId="9" fillId="3" borderId="1" xfId="7" applyNumberFormat="1" applyFont="1" applyFill="1" applyBorder="1" applyAlignment="1">
      <alignment horizontal="center"/>
    </xf>
    <xf numFmtId="168" fontId="11" fillId="7" borderId="2" xfId="7" applyNumberFormat="1" applyFont="1" applyFill="1" applyBorder="1" applyAlignment="1">
      <alignment horizontal="center"/>
    </xf>
    <xf numFmtId="168" fontId="11" fillId="7" borderId="11" xfId="7" applyNumberFormat="1" applyFont="1" applyFill="1" applyBorder="1" applyAlignment="1">
      <alignment horizontal="center"/>
    </xf>
    <xf numFmtId="0" fontId="21" fillId="0" borderId="45" xfId="7" applyFont="1" applyBorder="1" applyAlignment="1" applyProtection="1">
      <alignment horizontal="center" vertical="center" textRotation="180"/>
      <protection locked="0"/>
    </xf>
    <xf numFmtId="0" fontId="14" fillId="8" borderId="37" xfId="7" applyFont="1" applyFill="1" applyBorder="1" applyAlignment="1">
      <alignment horizontal="center" vertical="center"/>
    </xf>
    <xf numFmtId="0" fontId="14" fillId="8" borderId="38" xfId="7" applyFont="1" applyFill="1" applyBorder="1" applyAlignment="1">
      <alignment horizontal="center" vertical="center"/>
    </xf>
    <xf numFmtId="0" fontId="14" fillId="8" borderId="13" xfId="7" applyFont="1" applyFill="1" applyBorder="1" applyAlignment="1">
      <alignment horizontal="center" vertical="center"/>
    </xf>
    <xf numFmtId="0" fontId="14" fillId="8" borderId="14" xfId="7" applyFont="1" applyFill="1" applyBorder="1" applyAlignment="1">
      <alignment horizontal="center" vertical="center"/>
    </xf>
    <xf numFmtId="0" fontId="14" fillId="8" borderId="56" xfId="7" applyFont="1" applyFill="1" applyBorder="1" applyAlignment="1">
      <alignment horizontal="center" vertical="center"/>
    </xf>
    <xf numFmtId="0" fontId="14" fillId="8" borderId="51" xfId="7" applyFont="1" applyFill="1" applyBorder="1" applyAlignment="1">
      <alignment horizontal="center" vertical="center"/>
    </xf>
    <xf numFmtId="0" fontId="14" fillId="8" borderId="52" xfId="7" applyFont="1" applyFill="1" applyBorder="1" applyAlignment="1">
      <alignment horizontal="center" vertical="center"/>
    </xf>
    <xf numFmtId="0" fontId="21" fillId="0" borderId="22" xfId="7" applyFont="1" applyBorder="1" applyAlignment="1" applyProtection="1">
      <alignment horizontal="center" vertical="center" textRotation="180"/>
      <protection locked="0"/>
    </xf>
    <xf numFmtId="0" fontId="21" fillId="0" borderId="9" xfId="7" applyFont="1" applyBorder="1" applyAlignment="1" applyProtection="1">
      <alignment horizontal="center" vertical="center" textRotation="180"/>
      <protection locked="0"/>
    </xf>
    <xf numFmtId="0" fontId="23" fillId="17" borderId="22" xfId="7" applyFont="1" applyFill="1" applyBorder="1" applyAlignment="1" applyProtection="1">
      <alignment horizontal="center"/>
      <protection locked="0"/>
    </xf>
    <xf numFmtId="0" fontId="23" fillId="17" borderId="20" xfId="7" applyFont="1" applyFill="1" applyBorder="1" applyAlignment="1" applyProtection="1">
      <alignment horizontal="center"/>
      <protection locked="0"/>
    </xf>
    <xf numFmtId="0" fontId="23" fillId="17" borderId="23" xfId="7" applyFont="1" applyFill="1" applyBorder="1" applyAlignment="1" applyProtection="1">
      <alignment horizontal="center"/>
      <protection locked="0"/>
    </xf>
    <xf numFmtId="0" fontId="23" fillId="20" borderId="22" xfId="7" applyFont="1" applyFill="1" applyBorder="1" applyAlignment="1" applyProtection="1">
      <alignment horizontal="center"/>
      <protection locked="0"/>
    </xf>
    <xf numFmtId="0" fontId="23" fillId="20" borderId="20" xfId="7" applyFont="1" applyFill="1" applyBorder="1" applyAlignment="1" applyProtection="1">
      <alignment horizontal="center"/>
      <protection locked="0"/>
    </xf>
    <xf numFmtId="0" fontId="23" fillId="20" borderId="23" xfId="7" applyFont="1" applyFill="1" applyBorder="1" applyAlignment="1" applyProtection="1">
      <alignment horizontal="center"/>
      <protection locked="0"/>
    </xf>
    <xf numFmtId="0" fontId="23" fillId="22" borderId="9" xfId="7" applyFont="1" applyFill="1" applyBorder="1" applyAlignment="1" applyProtection="1">
      <alignment horizontal="center"/>
      <protection locked="0"/>
    </xf>
    <xf numFmtId="0" fontId="23" fillId="27" borderId="9" xfId="7" applyFont="1" applyFill="1" applyBorder="1" applyAlignment="1" applyProtection="1">
      <alignment horizontal="center"/>
      <protection locked="0"/>
    </xf>
    <xf numFmtId="0" fontId="23" fillId="21" borderId="22" xfId="7" applyFont="1" applyFill="1" applyBorder="1" applyAlignment="1" applyProtection="1">
      <alignment horizontal="center"/>
      <protection locked="0"/>
    </xf>
    <xf numFmtId="0" fontId="23" fillId="21" borderId="20" xfId="7" applyFont="1" applyFill="1" applyBorder="1" applyAlignment="1" applyProtection="1">
      <alignment horizontal="center"/>
      <protection locked="0"/>
    </xf>
    <xf numFmtId="0" fontId="23" fillId="21" borderId="23" xfId="7" applyFont="1" applyFill="1" applyBorder="1" applyAlignment="1" applyProtection="1">
      <alignment horizontal="center"/>
      <protection locked="0"/>
    </xf>
    <xf numFmtId="0" fontId="23" fillId="25" borderId="9" xfId="7" applyFont="1" applyFill="1" applyBorder="1" applyAlignment="1" applyProtection="1">
      <alignment horizontal="center"/>
      <protection locked="0"/>
    </xf>
    <xf numFmtId="0" fontId="23" fillId="26" borderId="9" xfId="7" applyFont="1" applyFill="1" applyBorder="1" applyAlignment="1" applyProtection="1">
      <alignment horizontal="center"/>
      <protection locked="0"/>
    </xf>
    <xf numFmtId="0" fontId="23" fillId="23" borderId="22" xfId="7" applyFont="1" applyFill="1" applyBorder="1" applyAlignment="1" applyProtection="1">
      <alignment horizontal="center"/>
      <protection locked="0"/>
    </xf>
    <xf numFmtId="0" fontId="23" fillId="23" borderId="20" xfId="7" applyFont="1" applyFill="1" applyBorder="1" applyAlignment="1" applyProtection="1">
      <alignment horizontal="center"/>
      <protection locked="0"/>
    </xf>
    <xf numFmtId="0" fontId="23" fillId="23" borderId="23" xfId="7" applyFont="1" applyFill="1" applyBorder="1" applyAlignment="1" applyProtection="1">
      <alignment horizontal="center"/>
      <protection locked="0"/>
    </xf>
    <xf numFmtId="0" fontId="54" fillId="34" borderId="22" xfId="7" applyFont="1" applyFill="1" applyBorder="1" applyAlignment="1" applyProtection="1">
      <alignment horizontal="center"/>
      <protection locked="0"/>
    </xf>
    <xf numFmtId="0" fontId="54" fillId="34" borderId="20" xfId="7" applyFont="1" applyFill="1" applyBorder="1" applyAlignment="1" applyProtection="1">
      <alignment horizontal="center"/>
      <protection locked="0"/>
    </xf>
    <xf numFmtId="0" fontId="54" fillId="34" borderId="23" xfId="7" applyFont="1" applyFill="1" applyBorder="1" applyAlignment="1" applyProtection="1">
      <alignment horizontal="center"/>
      <protection locked="0"/>
    </xf>
    <xf numFmtId="20" fontId="23" fillId="36" borderId="9" xfId="7" applyNumberFormat="1" applyFont="1" applyFill="1" applyBorder="1" applyAlignment="1" applyProtection="1">
      <alignment horizontal="center"/>
      <protection locked="0"/>
    </xf>
    <xf numFmtId="0" fontId="23" fillId="36" borderId="9" xfId="7" applyFont="1" applyFill="1" applyBorder="1" applyAlignment="1" applyProtection="1">
      <alignment horizontal="center"/>
      <protection locked="0"/>
    </xf>
    <xf numFmtId="20" fontId="23" fillId="35" borderId="9" xfId="7" applyNumberFormat="1" applyFont="1" applyFill="1" applyBorder="1" applyAlignment="1" applyProtection="1">
      <alignment horizontal="center"/>
      <protection locked="0"/>
    </xf>
    <xf numFmtId="0" fontId="23" fillId="35" borderId="9" xfId="7" applyFont="1" applyFill="1" applyBorder="1" applyAlignment="1" applyProtection="1">
      <alignment horizontal="center"/>
      <protection locked="0"/>
    </xf>
    <xf numFmtId="0" fontId="23" fillId="18" borderId="9" xfId="7" applyFont="1" applyFill="1" applyBorder="1" applyAlignment="1" applyProtection="1">
      <alignment horizontal="center"/>
      <protection locked="0"/>
    </xf>
    <xf numFmtId="0" fontId="23" fillId="38" borderId="9" xfId="7" applyFont="1" applyFill="1" applyBorder="1" applyAlignment="1" applyProtection="1">
      <alignment horizontal="center"/>
      <protection locked="0"/>
    </xf>
    <xf numFmtId="0" fontId="34" fillId="0" borderId="0" xfId="7" applyFont="1" applyBorder="1" applyAlignment="1">
      <alignment horizontal="center"/>
    </xf>
    <xf numFmtId="0" fontId="32" fillId="4" borderId="0" xfId="7" applyFont="1" applyFill="1" applyBorder="1" applyAlignment="1" applyProtection="1">
      <alignment horizontal="center"/>
      <protection locked="0"/>
    </xf>
    <xf numFmtId="0" fontId="28" fillId="19" borderId="27" xfId="0" applyFont="1" applyFill="1" applyBorder="1" applyAlignment="1" applyProtection="1">
      <alignment horizontal="center" vertical="center" wrapText="1"/>
      <protection locked="0"/>
    </xf>
    <xf numFmtId="172" fontId="26" fillId="4" borderId="25" xfId="0" applyNumberFormat="1" applyFont="1" applyFill="1" applyBorder="1" applyAlignment="1" applyProtection="1">
      <alignment horizontal="center"/>
      <protection locked="0"/>
    </xf>
    <xf numFmtId="170" fontId="11" fillId="7" borderId="1" xfId="2" applyNumberFormat="1" applyFont="1" applyFill="1" applyBorder="1" applyAlignment="1" applyProtection="1">
      <alignment horizontal="center"/>
    </xf>
    <xf numFmtId="171" fontId="30" fillId="4" borderId="0" xfId="0" applyNumberFormat="1" applyFont="1" applyFill="1" applyAlignment="1" applyProtection="1">
      <alignment horizontal="left" wrapText="1"/>
      <protection locked="0"/>
    </xf>
    <xf numFmtId="0" fontId="27" fillId="0" borderId="26" xfId="0" applyFont="1" applyBorder="1" applyAlignment="1" applyProtection="1">
      <alignment horizontal="center" vertical="center" wrapText="1"/>
      <protection locked="0"/>
    </xf>
    <xf numFmtId="172" fontId="31" fillId="7" borderId="1" xfId="7" applyNumberFormat="1" applyFont="1" applyFill="1" applyBorder="1" applyAlignment="1">
      <alignment horizontal="center"/>
    </xf>
    <xf numFmtId="0" fontId="27" fillId="4" borderId="0" xfId="0" applyFont="1" applyFill="1" applyAlignment="1" applyProtection="1">
      <alignment horizontal="center" vertical="center" wrapText="1"/>
      <protection locked="0"/>
    </xf>
    <xf numFmtId="2" fontId="11" fillId="7" borderId="1" xfId="7" applyNumberFormat="1" applyFont="1" applyFill="1" applyBorder="1" applyAlignment="1">
      <alignment horizontal="center"/>
    </xf>
    <xf numFmtId="172" fontId="26" fillId="4" borderId="68" xfId="0" applyNumberFormat="1" applyFont="1" applyFill="1" applyBorder="1" applyAlignment="1" applyProtection="1">
      <alignment horizontal="center"/>
      <protection locked="0"/>
    </xf>
    <xf numFmtId="0" fontId="23" fillId="18" borderId="70" xfId="7" applyFont="1" applyFill="1" applyBorder="1" applyAlignment="1" applyProtection="1">
      <alignment horizontal="center"/>
      <protection locked="0"/>
    </xf>
    <xf numFmtId="1" fontId="57" fillId="0" borderId="0" xfId="7" applyNumberFormat="1" applyFont="1" applyBorder="1" applyAlignment="1" applyProtection="1">
      <alignment horizontal="center" vertical="center"/>
      <protection hidden="1"/>
    </xf>
    <xf numFmtId="0" fontId="23" fillId="23" borderId="69" xfId="7" applyFont="1" applyFill="1" applyBorder="1" applyAlignment="1" applyProtection="1">
      <alignment horizontal="center"/>
      <protection locked="0"/>
    </xf>
    <xf numFmtId="0" fontId="23" fillId="23" borderId="70" xfId="7" applyFont="1" applyFill="1" applyBorder="1" applyAlignment="1" applyProtection="1">
      <alignment horizontal="center"/>
      <protection locked="0"/>
    </xf>
    <xf numFmtId="0" fontId="54" fillId="34" borderId="70" xfId="7" applyFont="1" applyFill="1" applyBorder="1" applyAlignment="1" applyProtection="1">
      <alignment horizontal="center"/>
      <protection locked="0"/>
    </xf>
    <xf numFmtId="20" fontId="23" fillId="36" borderId="70" xfId="7" applyNumberFormat="1" applyFont="1" applyFill="1" applyBorder="1" applyAlignment="1" applyProtection="1">
      <alignment horizontal="center"/>
      <protection locked="0"/>
    </xf>
    <xf numFmtId="0" fontId="23" fillId="36" borderId="70" xfId="7" applyFont="1" applyFill="1" applyBorder="1" applyAlignment="1" applyProtection="1">
      <alignment horizontal="center"/>
      <protection locked="0"/>
    </xf>
    <xf numFmtId="20" fontId="23" fillId="35" borderId="70" xfId="7" applyNumberFormat="1" applyFont="1" applyFill="1" applyBorder="1" applyAlignment="1" applyProtection="1">
      <alignment horizontal="center"/>
      <protection locked="0"/>
    </xf>
    <xf numFmtId="0" fontId="23" fillId="35" borderId="70" xfId="7" applyFont="1" applyFill="1" applyBorder="1" applyAlignment="1" applyProtection="1">
      <alignment horizontal="center"/>
      <protection locked="0"/>
    </xf>
    <xf numFmtId="0" fontId="23" fillId="38" borderId="70" xfId="7" applyFont="1" applyFill="1" applyBorder="1" applyAlignment="1" applyProtection="1">
      <alignment horizontal="center"/>
      <protection locked="0"/>
    </xf>
    <xf numFmtId="0" fontId="23" fillId="38" borderId="71" xfId="7" applyFont="1" applyFill="1" applyBorder="1" applyAlignment="1" applyProtection="1">
      <alignment horizontal="center"/>
      <protection locked="0"/>
    </xf>
    <xf numFmtId="2" fontId="62" fillId="30" borderId="20" xfId="7" applyNumberFormat="1" applyFont="1" applyFill="1" applyBorder="1" applyAlignment="1" applyProtection="1">
      <alignment horizontal="center" vertical="center"/>
      <protection hidden="1"/>
    </xf>
    <xf numFmtId="2" fontId="62" fillId="30" borderId="23" xfId="7" applyNumberFormat="1" applyFont="1" applyFill="1" applyBorder="1" applyAlignment="1" applyProtection="1">
      <alignment horizontal="center" vertical="center"/>
      <protection hidden="1"/>
    </xf>
    <xf numFmtId="1" fontId="57" fillId="42" borderId="22" xfId="7" applyNumberFormat="1" applyFont="1" applyFill="1" applyBorder="1" applyAlignment="1" applyProtection="1">
      <alignment horizontal="center" vertical="center"/>
      <protection hidden="1"/>
    </xf>
    <xf numFmtId="1" fontId="57" fillId="42" borderId="20" xfId="7" applyNumberFormat="1" applyFont="1" applyFill="1" applyBorder="1" applyAlignment="1" applyProtection="1">
      <alignment horizontal="center" vertical="center"/>
      <protection hidden="1"/>
    </xf>
    <xf numFmtId="1" fontId="57" fillId="42" borderId="23" xfId="7" applyNumberFormat="1" applyFont="1" applyFill="1" applyBorder="1" applyAlignment="1" applyProtection="1">
      <alignment horizontal="center" vertical="center"/>
      <protection hidden="1"/>
    </xf>
    <xf numFmtId="0" fontId="16" fillId="7" borderId="28" xfId="7" applyFont="1" applyFill="1" applyBorder="1" applyAlignment="1">
      <alignment horizontal="center" vertical="center" textRotation="90" wrapText="1"/>
    </xf>
    <xf numFmtId="2" fontId="62" fillId="30" borderId="49" xfId="7" applyNumberFormat="1" applyFont="1" applyFill="1" applyBorder="1" applyAlignment="1" applyProtection="1">
      <alignment horizontal="center" vertical="center"/>
      <protection hidden="1"/>
    </xf>
    <xf numFmtId="2" fontId="62" fillId="30" borderId="27" xfId="7" applyNumberFormat="1" applyFont="1" applyFill="1" applyBorder="1" applyAlignment="1" applyProtection="1">
      <alignment horizontal="center" vertical="center"/>
      <protection hidden="1"/>
    </xf>
    <xf numFmtId="2" fontId="62" fillId="30" borderId="57" xfId="7" applyNumberFormat="1" applyFont="1" applyFill="1" applyBorder="1" applyAlignment="1" applyProtection="1">
      <alignment horizontal="center" vertical="center"/>
      <protection hidden="1"/>
    </xf>
    <xf numFmtId="1" fontId="57" fillId="30" borderId="49" xfId="7" applyNumberFormat="1" applyFont="1" applyFill="1" applyBorder="1" applyAlignment="1" applyProtection="1">
      <alignment horizontal="center" vertical="center"/>
      <protection hidden="1"/>
    </xf>
    <xf numFmtId="1" fontId="57" fillId="30" borderId="27" xfId="7" applyNumberFormat="1" applyFont="1" applyFill="1" applyBorder="1" applyAlignment="1" applyProtection="1">
      <alignment horizontal="center" vertical="center"/>
      <protection hidden="1"/>
    </xf>
    <xf numFmtId="1" fontId="57" fillId="30" borderId="57" xfId="7" applyNumberFormat="1" applyFont="1" applyFill="1" applyBorder="1" applyAlignment="1" applyProtection="1">
      <alignment horizontal="center" vertical="center"/>
      <protection hidden="1"/>
    </xf>
    <xf numFmtId="1" fontId="62" fillId="0" borderId="0" xfId="7" applyNumberFormat="1" applyFont="1" applyBorder="1" applyAlignment="1" applyProtection="1">
      <alignment horizontal="center" vertical="center"/>
      <protection hidden="1"/>
    </xf>
    <xf numFmtId="1" fontId="57" fillId="60" borderId="0" xfId="7" applyNumberFormat="1" applyFont="1" applyFill="1" applyBorder="1" applyAlignment="1" applyProtection="1">
      <alignment horizontal="center" vertical="center"/>
      <protection hidden="1"/>
    </xf>
    <xf numFmtId="0" fontId="63" fillId="47" borderId="95" xfId="7" applyFont="1" applyFill="1" applyBorder="1" applyAlignment="1">
      <alignment horizontal="center" vertical="center"/>
    </xf>
    <xf numFmtId="0" fontId="63" fillId="47" borderId="96" xfId="7" applyFont="1" applyFill="1" applyBorder="1" applyAlignment="1">
      <alignment horizontal="center" vertical="center"/>
    </xf>
    <xf numFmtId="1" fontId="62" fillId="60" borderId="0" xfId="7" applyNumberFormat="1" applyFont="1" applyFill="1" applyBorder="1" applyAlignment="1" applyProtection="1">
      <alignment horizontal="center" vertical="center"/>
      <protection hidden="1"/>
    </xf>
    <xf numFmtId="1" fontId="74" fillId="42" borderId="49" xfId="7" applyNumberFormat="1" applyFont="1" applyFill="1" applyBorder="1" applyAlignment="1" applyProtection="1">
      <alignment horizontal="center" vertical="center"/>
      <protection hidden="1"/>
    </xf>
    <xf numFmtId="1" fontId="74" fillId="42" borderId="27" xfId="7" applyNumberFormat="1" applyFont="1" applyFill="1" applyBorder="1" applyAlignment="1" applyProtection="1">
      <alignment horizontal="center" vertical="center"/>
      <protection hidden="1"/>
    </xf>
    <xf numFmtId="1" fontId="74" fillId="42" borderId="57" xfId="7" applyNumberFormat="1" applyFont="1" applyFill="1" applyBorder="1" applyAlignment="1" applyProtection="1">
      <alignment horizontal="center" vertical="center"/>
      <protection hidden="1"/>
    </xf>
    <xf numFmtId="1" fontId="57" fillId="42" borderId="49" xfId="7" applyNumberFormat="1" applyFont="1" applyFill="1" applyBorder="1" applyAlignment="1" applyProtection="1">
      <alignment horizontal="center" vertical="center"/>
      <protection hidden="1"/>
    </xf>
    <xf numFmtId="1" fontId="57" fillId="42" borderId="27" xfId="7" applyNumberFormat="1" applyFont="1" applyFill="1" applyBorder="1" applyAlignment="1" applyProtection="1">
      <alignment horizontal="center" vertical="center"/>
      <protection hidden="1"/>
    </xf>
    <xf numFmtId="1" fontId="57" fillId="42" borderId="57" xfId="7" applyNumberFormat="1" applyFont="1" applyFill="1" applyBorder="1" applyAlignment="1" applyProtection="1">
      <alignment horizontal="center" vertical="center"/>
      <protection hidden="1"/>
    </xf>
    <xf numFmtId="2" fontId="76" fillId="42" borderId="49" xfId="7" applyNumberFormat="1" applyFont="1" applyFill="1" applyBorder="1" applyAlignment="1" applyProtection="1">
      <alignment horizontal="center" vertical="center"/>
      <protection hidden="1"/>
    </xf>
    <xf numFmtId="2" fontId="76" fillId="42" borderId="27" xfId="7" applyNumberFormat="1" applyFont="1" applyFill="1" applyBorder="1" applyAlignment="1" applyProtection="1">
      <alignment horizontal="center" vertical="center"/>
      <protection hidden="1"/>
    </xf>
    <xf numFmtId="2" fontId="76" fillId="42" borderId="57" xfId="7" applyNumberFormat="1" applyFont="1" applyFill="1" applyBorder="1" applyAlignment="1" applyProtection="1">
      <alignment horizontal="center" vertical="center"/>
      <protection hidden="1"/>
    </xf>
    <xf numFmtId="0" fontId="21" fillId="56" borderId="45" xfId="7" applyFont="1" applyFill="1" applyBorder="1" applyAlignment="1" applyProtection="1">
      <alignment horizontal="center" vertical="center" textRotation="180"/>
      <protection locked="0"/>
    </xf>
    <xf numFmtId="0" fontId="23" fillId="57" borderId="69" xfId="7" applyFont="1" applyFill="1" applyBorder="1" applyAlignment="1" applyProtection="1">
      <alignment horizontal="center"/>
      <protection locked="0"/>
    </xf>
    <xf numFmtId="0" fontId="23" fillId="57" borderId="70" xfId="7" applyFont="1" applyFill="1" applyBorder="1" applyAlignment="1" applyProtection="1">
      <alignment horizontal="center"/>
      <protection locked="0"/>
    </xf>
    <xf numFmtId="0" fontId="54" fillId="57" borderId="70" xfId="7" applyFont="1" applyFill="1" applyBorder="1" applyAlignment="1" applyProtection="1">
      <alignment horizontal="center"/>
      <protection locked="0"/>
    </xf>
    <xf numFmtId="20" fontId="23" fillId="57" borderId="70" xfId="7" applyNumberFormat="1" applyFont="1" applyFill="1" applyBorder="1" applyAlignment="1" applyProtection="1">
      <alignment horizontal="center"/>
      <protection locked="0"/>
    </xf>
    <xf numFmtId="0" fontId="70" fillId="55" borderId="0" xfId="10" applyFont="1" applyFill="1" applyBorder="1" applyAlignment="1" applyProtection="1">
      <alignment horizontal="center" vertical="center"/>
      <protection locked="0"/>
    </xf>
    <xf numFmtId="0" fontId="70" fillId="55" borderId="8" xfId="10" applyFont="1" applyFill="1" applyBorder="1" applyAlignment="1" applyProtection="1">
      <alignment horizontal="center" vertical="center"/>
      <protection locked="0"/>
    </xf>
    <xf numFmtId="0" fontId="7" fillId="60" borderId="9" xfId="7" applyFont="1" applyFill="1" applyBorder="1" applyAlignment="1">
      <alignment horizontal="center" vertical="center" textRotation="90"/>
    </xf>
    <xf numFmtId="0" fontId="14" fillId="59" borderId="49" xfId="7" applyFont="1" applyFill="1" applyBorder="1" applyAlignment="1">
      <alignment horizontal="center" vertical="center" textRotation="47"/>
    </xf>
    <xf numFmtId="2" fontId="77" fillId="42" borderId="20" xfId="7" applyNumberFormat="1" applyFont="1" applyFill="1" applyBorder="1" applyAlignment="1" applyProtection="1">
      <alignment horizontal="center" vertical="center"/>
      <protection hidden="1"/>
    </xf>
    <xf numFmtId="2" fontId="77" fillId="42" borderId="23" xfId="7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0" fillId="4" borderId="30" xfId="0" applyFill="1" applyBorder="1"/>
    <xf numFmtId="0" fontId="36" fillId="0" borderId="7" xfId="6" applyFont="1" applyBorder="1" applyAlignment="1" applyProtection="1">
      <alignment horizontal="center" vertical="center"/>
      <protection locked="0"/>
    </xf>
    <xf numFmtId="0" fontId="35" fillId="0" borderId="1" xfId="6" applyFont="1" applyBorder="1" applyAlignment="1">
      <alignment horizontal="center" vertical="center"/>
    </xf>
    <xf numFmtId="0" fontId="36" fillId="0" borderId="2" xfId="6" applyFont="1" applyBorder="1" applyAlignment="1">
      <alignment horizontal="center" vertical="center"/>
    </xf>
    <xf numFmtId="0" fontId="15" fillId="4" borderId="2" xfId="6" applyFont="1" applyFill="1" applyBorder="1" applyAlignment="1">
      <alignment horizontal="center" vertical="center"/>
    </xf>
    <xf numFmtId="0" fontId="37" fillId="4" borderId="1" xfId="6" applyFont="1" applyFill="1" applyBorder="1" applyAlignment="1">
      <alignment horizontal="center" vertical="center"/>
    </xf>
    <xf numFmtId="0" fontId="36" fillId="0" borderId="0" xfId="6" applyFont="1" applyAlignment="1">
      <alignment horizontal="center" vertical="center"/>
    </xf>
    <xf numFmtId="0" fontId="36" fillId="4" borderId="0" xfId="6" applyFont="1" applyFill="1" applyAlignment="1">
      <alignment horizontal="center" vertical="center"/>
    </xf>
    <xf numFmtId="0" fontId="36" fillId="12" borderId="6" xfId="6" applyFont="1" applyFill="1" applyBorder="1" applyAlignment="1">
      <alignment horizontal="center" vertical="center"/>
    </xf>
    <xf numFmtId="0" fontId="36" fillId="0" borderId="35" xfId="6" applyFont="1" applyBorder="1" applyAlignment="1">
      <alignment horizontal="center" vertical="center" wrapText="1"/>
    </xf>
    <xf numFmtId="174" fontId="35" fillId="12" borderId="1" xfId="6" applyNumberFormat="1" applyFont="1" applyFill="1" applyBorder="1" applyAlignment="1" applyProtection="1">
      <alignment horizontal="center" textRotation="90"/>
      <protection locked="0"/>
    </xf>
    <xf numFmtId="174" fontId="35" fillId="12" borderId="1" xfId="6" applyNumberFormat="1" applyFont="1" applyFill="1" applyBorder="1" applyAlignment="1" applyProtection="1">
      <alignment horizontal="center" textRotation="90" wrapText="1"/>
      <protection locked="0"/>
    </xf>
    <xf numFmtId="0" fontId="9" fillId="13" borderId="1" xfId="6" applyFont="1" applyFill="1" applyBorder="1" applyAlignment="1" applyProtection="1">
      <alignment horizontal="center" textRotation="90"/>
      <protection locked="0"/>
    </xf>
    <xf numFmtId="0" fontId="9" fillId="13" borderId="17" xfId="6" applyFont="1" applyFill="1" applyBorder="1" applyAlignment="1" applyProtection="1">
      <alignment horizontal="center" textRotation="90"/>
      <protection locked="0"/>
    </xf>
    <xf numFmtId="174" fontId="35" fillId="12" borderId="18" xfId="6" applyNumberFormat="1" applyFont="1" applyFill="1" applyBorder="1" applyAlignment="1" applyProtection="1">
      <alignment horizontal="center" textRotation="90"/>
      <protection locked="0"/>
    </xf>
    <xf numFmtId="174" fontId="39" fillId="12" borderId="1" xfId="0" applyNumberFormat="1" applyFont="1" applyFill="1" applyBorder="1" applyAlignment="1" applyProtection="1">
      <alignment horizontal="center" textRotation="90"/>
      <protection locked="0"/>
    </xf>
    <xf numFmtId="174" fontId="39" fillId="12" borderId="1" xfId="0" applyNumberFormat="1" applyFont="1" applyFill="1" applyBorder="1" applyAlignment="1" applyProtection="1">
      <alignment horizontal="center" vertical="center" textRotation="90" wrapText="1"/>
      <protection locked="0"/>
    </xf>
    <xf numFmtId="174" fontId="41" fillId="7" borderId="17" xfId="0" applyNumberFormat="1" applyFont="1" applyFill="1" applyBorder="1" applyAlignment="1" applyProtection="1">
      <alignment horizontal="center" textRotation="90"/>
      <protection locked="0"/>
    </xf>
    <xf numFmtId="174" fontId="41" fillId="7" borderId="2" xfId="0" applyNumberFormat="1" applyFont="1" applyFill="1" applyBorder="1" applyAlignment="1" applyProtection="1">
      <alignment horizontal="center" textRotation="90"/>
      <protection locked="0"/>
    </xf>
    <xf numFmtId="174" fontId="41" fillId="7" borderId="1" xfId="0" applyNumberFormat="1" applyFont="1" applyFill="1" applyBorder="1" applyAlignment="1" applyProtection="1">
      <alignment horizontal="center" textRotation="90"/>
      <protection locked="0"/>
    </xf>
    <xf numFmtId="174" fontId="39" fillId="12" borderId="1" xfId="0" applyNumberFormat="1" applyFont="1" applyFill="1" applyBorder="1" applyAlignment="1">
      <alignment horizontal="center" textRotation="90"/>
    </xf>
    <xf numFmtId="0" fontId="48" fillId="4" borderId="0" xfId="0" applyFont="1" applyFill="1" applyAlignment="1" applyProtection="1">
      <alignment horizontal="center"/>
      <protection locked="0"/>
    </xf>
  </cellXfs>
  <cellStyles count="11">
    <cellStyle name="Euro" xfId="3" xr:uid="{00000000-0005-0000-0000-000006000000}"/>
    <cellStyle name="Excel Built-in Accent2" xfId="10" xr:uid="{00000000-0005-0000-0000-00000D000000}"/>
    <cellStyle name="Komma" xfId="1" builtinId="3"/>
    <cellStyle name="Prozent" xfId="2" builtinId="5"/>
    <cellStyle name="Prozent 2" xfId="4" xr:uid="{00000000-0005-0000-0000-000007000000}"/>
    <cellStyle name="Standard" xfId="0" builtinId="0"/>
    <cellStyle name="Standard 2" xfId="5" xr:uid="{00000000-0005-0000-0000-000008000000}"/>
    <cellStyle name="Standard 2 2" xfId="6" xr:uid="{00000000-0005-0000-0000-000009000000}"/>
    <cellStyle name="Standard 3" xfId="7" xr:uid="{00000000-0005-0000-0000-00000A000000}"/>
    <cellStyle name="Standard 4" xfId="8" xr:uid="{00000000-0005-0000-0000-00000B000000}"/>
    <cellStyle name="Währung 2" xfId="9" xr:uid="{00000000-0005-0000-0000-00000C000000}"/>
  </cellStyles>
  <dxfs count="5"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  <family val="2"/>
        <charset val="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40F651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9CDE5"/>
      <rgbColor rgb="FF7F7F7F"/>
      <rgbColor rgb="FF95B3D7"/>
      <rgbColor rgb="FF7030A0"/>
      <rgbColor rgb="FFFFFFCC"/>
      <rgbColor rgb="FFC6D9F1"/>
      <rgbColor rgb="FF660066"/>
      <rgbColor rgb="FFE6B9B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C9EEF"/>
      <rgbColor rgb="FFCC99FF"/>
      <rgbColor rgb="FFFFC7CE"/>
      <rgbColor rgb="FF3366FF"/>
      <rgbColor rgb="FF00B0F0"/>
      <rgbColor rgb="FF92D050"/>
      <rgbColor rgb="FFFFCC00"/>
      <rgbColor rgb="FFFFC000"/>
      <rgbColor rgb="FFFF6600"/>
      <rgbColor rgb="FF558ED5"/>
      <rgbColor rgb="FF969696"/>
      <rgbColor rgb="FF003366"/>
      <rgbColor rgb="FF00B050"/>
      <rgbColor rgb="FF003300"/>
      <rgbColor rgb="FF333300"/>
      <rgbColor rgb="FF993300"/>
      <rgbColor rgb="FFC0504D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tundenkontrolle!A1"/><Relationship Id="rId2" Type="http://schemas.openxmlformats.org/officeDocument/2006/relationships/hyperlink" Target="#Verf&#252;gungszeiten!A1"/><Relationship Id="rId1" Type="http://schemas.openxmlformats.org/officeDocument/2006/relationships/hyperlink" Target="#Uniformen!A1"/><Relationship Id="rId4" Type="http://schemas.openxmlformats.org/officeDocument/2006/relationships/hyperlink" Target="#'Dienstplan Version 1.4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Uniformen!A1"/><Relationship Id="rId2" Type="http://schemas.openxmlformats.org/officeDocument/2006/relationships/hyperlink" Target="#Personalstammdaten!A1"/><Relationship Id="rId1" Type="http://schemas.openxmlformats.org/officeDocument/2006/relationships/image" Target="../media/image1.jpeg"/><Relationship Id="rId5" Type="http://schemas.openxmlformats.org/officeDocument/2006/relationships/hyperlink" Target="#'Dienstplan Version 1.4'!A1"/><Relationship Id="rId4" Type="http://schemas.openxmlformats.org/officeDocument/2006/relationships/hyperlink" Target="#Verf&#252;gungszeiten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Verf&#252;gungszeiten!A1"/><Relationship Id="rId2" Type="http://schemas.openxmlformats.org/officeDocument/2006/relationships/hyperlink" Target="#Uniformen!A1"/><Relationship Id="rId1" Type="http://schemas.openxmlformats.org/officeDocument/2006/relationships/hyperlink" Target="#Personalstammdaten!A1"/><Relationship Id="rId5" Type="http://schemas.openxmlformats.org/officeDocument/2006/relationships/hyperlink" Target="#'Dienstplan Version 1.4'!A1"/><Relationship Id="rId4" Type="http://schemas.openxmlformats.org/officeDocument/2006/relationships/hyperlink" Target="#Stundenkontroll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200160</xdr:colOff>
      <xdr:row>2</xdr:row>
      <xdr:rowOff>9360</xdr:rowOff>
    </xdr:from>
    <xdr:to>
      <xdr:col>15</xdr:col>
      <xdr:colOff>332640</xdr:colOff>
      <xdr:row>4</xdr:row>
      <xdr:rowOff>170640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5469920" y="558000"/>
          <a:ext cx="1731240" cy="5270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E5F99"/>
            </a:gs>
            <a:gs pos="100000">
              <a:srgbClr val="3C7AC7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Personalstammdaten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200160</xdr:colOff>
      <xdr:row>14</xdr:row>
      <xdr:rowOff>104760</xdr:rowOff>
    </xdr:from>
    <xdr:to>
      <xdr:col>15</xdr:col>
      <xdr:colOff>313920</xdr:colOff>
      <xdr:row>17</xdr:row>
      <xdr:rowOff>7200</xdr:rowOff>
    </xdr:to>
    <xdr:sp macro="" textlink="">
      <xdr:nvSpPr>
        <xdr:cNvPr id="2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5469920" y="2847960"/>
          <a:ext cx="1712520" cy="45108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988A1"/>
            </a:gs>
            <a:gs pos="100000">
              <a:srgbClr val="36B0D1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Uniformen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190440</xdr:colOff>
      <xdr:row>11</xdr:row>
      <xdr:rowOff>19080</xdr:rowOff>
    </xdr:from>
    <xdr:to>
      <xdr:col>15</xdr:col>
      <xdr:colOff>304200</xdr:colOff>
      <xdr:row>14</xdr:row>
      <xdr:rowOff>18360</xdr:rowOff>
    </xdr:to>
    <xdr:sp macro="" textlink="">
      <xdr:nvSpPr>
        <xdr:cNvPr id="24" name="CustomShap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5460200" y="221364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5E437F"/>
            </a:gs>
            <a:gs pos="100000">
              <a:srgbClr val="7B57A5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Verfügungszeiten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209520</xdr:colOff>
      <xdr:row>5</xdr:row>
      <xdr:rowOff>66600</xdr:rowOff>
    </xdr:from>
    <xdr:to>
      <xdr:col>15</xdr:col>
      <xdr:colOff>323280</xdr:colOff>
      <xdr:row>7</xdr:row>
      <xdr:rowOff>65880</xdr:rowOff>
    </xdr:to>
    <xdr:sp macro="" textlink="">
      <xdr:nvSpPr>
        <xdr:cNvPr id="25" name="CustomShap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5479280" y="1163880"/>
          <a:ext cx="1712520" cy="3650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79637"/>
            </a:gs>
            <a:gs pos="100000">
              <a:srgbClr val="9BC348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Stundenkontrolle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209520</xdr:colOff>
      <xdr:row>7</xdr:row>
      <xdr:rowOff>133200</xdr:rowOff>
    </xdr:from>
    <xdr:to>
      <xdr:col>15</xdr:col>
      <xdr:colOff>323280</xdr:colOff>
      <xdr:row>10</xdr:row>
      <xdr:rowOff>132480</xdr:rowOff>
    </xdr:to>
    <xdr:sp macro="" textlink="">
      <xdr:nvSpPr>
        <xdr:cNvPr id="26" name="CustomShape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5479280" y="159624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9C2F2C"/>
            </a:gs>
            <a:gs pos="100000">
              <a:srgbClr val="CB3D39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Dienstplan</a:t>
          </a:r>
          <a:endParaRPr lang="de-DE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551160</xdr:colOff>
      <xdr:row>4</xdr:row>
      <xdr:rowOff>81720</xdr:rowOff>
    </xdr:from>
    <xdr:to>
      <xdr:col>32</xdr:col>
      <xdr:colOff>768240</xdr:colOff>
      <xdr:row>4</xdr:row>
      <xdr:rowOff>155880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9510120" y="805320"/>
          <a:ext cx="21708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19080</xdr:colOff>
      <xdr:row>7</xdr:row>
      <xdr:rowOff>0</xdr:rowOff>
    </xdr:from>
    <xdr:to>
      <xdr:col>3</xdr:col>
      <xdr:colOff>161280</xdr:colOff>
      <xdr:row>8</xdr:row>
      <xdr:rowOff>46800</xdr:rowOff>
    </xdr:to>
    <xdr:pic>
      <xdr:nvPicPr>
        <xdr:cNvPr id="43" name="Grafik 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8280" y="1320120"/>
          <a:ext cx="1984320" cy="361080"/>
        </a:xfrm>
        <a:prstGeom prst="rect">
          <a:avLst/>
        </a:prstGeom>
        <a:ln>
          <a:noFill/>
        </a:ln>
        <a:effectLst>
          <a:outerShdw dist="138988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76320</xdr:colOff>
      <xdr:row>4</xdr:row>
      <xdr:rowOff>66600</xdr:rowOff>
    </xdr:from>
    <xdr:to>
      <xdr:col>18</xdr:col>
      <xdr:colOff>132840</xdr:colOff>
      <xdr:row>4</xdr:row>
      <xdr:rowOff>111600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3917160" y="828360"/>
          <a:ext cx="4332600" cy="4500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11</xdr:col>
      <xdr:colOff>219240</xdr:colOff>
      <xdr:row>0</xdr:row>
      <xdr:rowOff>38160</xdr:rowOff>
    </xdr:from>
    <xdr:to>
      <xdr:col>16</xdr:col>
      <xdr:colOff>256680</xdr:colOff>
      <xdr:row>3</xdr:row>
      <xdr:rowOff>6840</xdr:rowOff>
    </xdr:to>
    <xdr:sp macro="" textlink="">
      <xdr:nvSpPr>
        <xdr:cNvPr id="45" name="CustomShap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6198120" y="38160"/>
          <a:ext cx="1564560" cy="5324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E5F99"/>
            </a:gs>
            <a:gs pos="100000">
              <a:srgbClr val="3C7AC7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Personalstammdaten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32</xdr:col>
      <xdr:colOff>142920</xdr:colOff>
      <xdr:row>0</xdr:row>
      <xdr:rowOff>44280</xdr:rowOff>
    </xdr:from>
    <xdr:to>
      <xdr:col>37</xdr:col>
      <xdr:colOff>281880</xdr:colOff>
      <xdr:row>3</xdr:row>
      <xdr:rowOff>27720</xdr:rowOff>
    </xdr:to>
    <xdr:sp macro="" textlink="">
      <xdr:nvSpPr>
        <xdr:cNvPr id="46" name="CustomShap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2579120" y="44280"/>
          <a:ext cx="1566000" cy="54720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988A1"/>
            </a:gs>
            <a:gs pos="100000">
              <a:srgbClr val="36B0D1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Uniformen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27</xdr:col>
      <xdr:colOff>409680</xdr:colOff>
      <xdr:row>0</xdr:row>
      <xdr:rowOff>41400</xdr:rowOff>
    </xdr:from>
    <xdr:to>
      <xdr:col>32</xdr:col>
      <xdr:colOff>107280</xdr:colOff>
      <xdr:row>3</xdr:row>
      <xdr:rowOff>18360</xdr:rowOff>
    </xdr:to>
    <xdr:sp macro="" textlink="">
      <xdr:nvSpPr>
        <xdr:cNvPr id="47" name="CustomShape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0980360" y="41400"/>
          <a:ext cx="1563120" cy="5407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5E437F"/>
            </a:gs>
            <a:gs pos="100000">
              <a:srgbClr val="7B57A5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Verfügungszeiten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9360</xdr:colOff>
      <xdr:row>0</xdr:row>
      <xdr:rowOff>38160</xdr:rowOff>
    </xdr:from>
    <xdr:to>
      <xdr:col>21</xdr:col>
      <xdr:colOff>56160</xdr:colOff>
      <xdr:row>3</xdr:row>
      <xdr:rowOff>28080</xdr:rowOff>
    </xdr:to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7821000" y="38160"/>
          <a:ext cx="1519920" cy="55368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79637"/>
            </a:gs>
            <a:gs pos="100000">
              <a:srgbClr val="9BC348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Stundenkontrolle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21</xdr:col>
      <xdr:colOff>101520</xdr:colOff>
      <xdr:row>0</xdr:row>
      <xdr:rowOff>44280</xdr:rowOff>
    </xdr:from>
    <xdr:to>
      <xdr:col>27</xdr:col>
      <xdr:colOff>367560</xdr:colOff>
      <xdr:row>3</xdr:row>
      <xdr:rowOff>30960</xdr:rowOff>
    </xdr:to>
    <xdr:sp macro="" textlink="">
      <xdr:nvSpPr>
        <xdr:cNvPr id="49" name="CustomShape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86280" y="44280"/>
          <a:ext cx="1551960" cy="5504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9C2F2C"/>
            </a:gs>
            <a:gs pos="100000">
              <a:srgbClr val="CB3D39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Dienstplan</a:t>
          </a:r>
          <a:endParaRPr lang="de-DE" sz="1100" b="0" strike="noStrike" spc="-1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200160</xdr:colOff>
      <xdr:row>3</xdr:row>
      <xdr:rowOff>9360</xdr:rowOff>
    </xdr:from>
    <xdr:to>
      <xdr:col>19</xdr:col>
      <xdr:colOff>332640</xdr:colOff>
      <xdr:row>5</xdr:row>
      <xdr:rowOff>170640</xdr:rowOff>
    </xdr:to>
    <xdr:sp macro="" textlink="">
      <xdr:nvSpPr>
        <xdr:cNvPr id="50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13932000" y="725400"/>
          <a:ext cx="1731240" cy="5270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E5F99"/>
            </a:gs>
            <a:gs pos="100000">
              <a:srgbClr val="3C7AC7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Personalstammdaten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200160</xdr:colOff>
      <xdr:row>16</xdr:row>
      <xdr:rowOff>104760</xdr:rowOff>
    </xdr:from>
    <xdr:to>
      <xdr:col>19</xdr:col>
      <xdr:colOff>313920</xdr:colOff>
      <xdr:row>19</xdr:row>
      <xdr:rowOff>104040</xdr:rowOff>
    </xdr:to>
    <xdr:sp macro="" textlink="">
      <xdr:nvSpPr>
        <xdr:cNvPr id="51" name="CustomShap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13932000" y="319824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988A1"/>
            </a:gs>
            <a:gs pos="100000">
              <a:srgbClr val="36B0D1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Uniformen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190440</xdr:colOff>
      <xdr:row>13</xdr:row>
      <xdr:rowOff>19080</xdr:rowOff>
    </xdr:from>
    <xdr:to>
      <xdr:col>19</xdr:col>
      <xdr:colOff>304200</xdr:colOff>
      <xdr:row>16</xdr:row>
      <xdr:rowOff>18360</xdr:rowOff>
    </xdr:to>
    <xdr:sp macro="" textlink="">
      <xdr:nvSpPr>
        <xdr:cNvPr id="52" name="CustomShap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13922280" y="256392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5E437F"/>
            </a:gs>
            <a:gs pos="100000">
              <a:srgbClr val="7B57A5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Verfügungszeiten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209520</xdr:colOff>
      <xdr:row>6</xdr:row>
      <xdr:rowOff>66600</xdr:rowOff>
    </xdr:from>
    <xdr:to>
      <xdr:col>19</xdr:col>
      <xdr:colOff>323280</xdr:colOff>
      <xdr:row>9</xdr:row>
      <xdr:rowOff>65880</xdr:rowOff>
    </xdr:to>
    <xdr:sp macro="" textlink="">
      <xdr:nvSpPr>
        <xdr:cNvPr id="53" name="CustomShape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13941360" y="133128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79637"/>
            </a:gs>
            <a:gs pos="100000">
              <a:srgbClr val="9BC348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Stundenkontrolle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209520</xdr:colOff>
      <xdr:row>9</xdr:row>
      <xdr:rowOff>133200</xdr:rowOff>
    </xdr:from>
    <xdr:to>
      <xdr:col>19</xdr:col>
      <xdr:colOff>323280</xdr:colOff>
      <xdr:row>12</xdr:row>
      <xdr:rowOff>132480</xdr:rowOff>
    </xdr:to>
    <xdr:sp macro="" textlink="">
      <xdr:nvSpPr>
        <xdr:cNvPr id="54" name="CustomShape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13941360" y="194652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9C2F2C"/>
            </a:gs>
            <a:gs pos="100000">
              <a:srgbClr val="CB3D39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Dienstplan</a:t>
          </a:r>
          <a:endParaRPr lang="de-DE" sz="1100" b="0" strike="noStrike" spc="-1"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2:L60" totalsRowShown="0">
  <autoFilter ref="A2:L60" xr:uid="{00000000-0009-0000-0100-000001000000}"/>
  <tableColumns count="12">
    <tableColumn id="1" xr3:uid="{00000000-0010-0000-0000-000001000000}" name="Anzahl"/>
    <tableColumn id="2" xr3:uid="{00000000-0010-0000-0000-000002000000}" name="Name"/>
    <tableColumn id="3" xr3:uid="{00000000-0010-0000-0000-000003000000}" name="Vorname"/>
    <tableColumn id="4" xr3:uid="{00000000-0010-0000-0000-000004000000}" name="Telefon Nr1"/>
    <tableColumn id="5" xr3:uid="{00000000-0010-0000-0000-000005000000}" name="Telefon Nr2"/>
    <tableColumn id="6" xr3:uid="{00000000-0010-0000-0000-000006000000}" name="Strasse"/>
    <tableColumn id="7" xr3:uid="{00000000-0010-0000-0000-000007000000}" name="PLZ / Ort"/>
    <tableColumn id="8" xr3:uid="{00000000-0010-0000-0000-000008000000}" name="Nationalität"/>
    <tableColumn id="9" xr3:uid="{00000000-0010-0000-0000-000009000000}" name="Bewilligung"/>
    <tableColumn id="10" xr3:uid="{00000000-0010-0000-0000-00000A000000}" name="Station"/>
    <tableColumn id="11" xr3:uid="{00000000-0010-0000-0000-00000B000000}" name="Pensum"/>
    <tableColumn id="12" xr3:uid="{00000000-0010-0000-0000-00000C000000}" name="Eintrit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6" displayName="Tabelle6" ref="A11:D47" totalsRowShown="0">
  <autoFilter ref="A11:D47" xr:uid="{00000000-0009-0000-0100-000004000000}"/>
  <tableColumns count="4">
    <tableColumn id="1" xr3:uid="{00000000-0010-0000-0200-000001000000}" name="P.E."/>
    <tableColumn id="2" xr3:uid="{00000000-0010-0000-0200-000002000000}" name="Station"/>
    <tableColumn id="3" xr3:uid="{00000000-0010-0000-0200-000003000000}" name="Name"/>
    <tableColumn id="4" xr3:uid="{00000000-0010-0000-0200-000004000000}" name="Vor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le12" displayName="Tabelle12" ref="A3:P29" totalsRowShown="0">
  <autoFilter ref="A3:P29" xr:uid="{00000000-0009-0000-0100-000002000000}"/>
  <tableColumns count="16">
    <tableColumn id="1" xr3:uid="{00000000-0010-0000-0300-000001000000}" name="Name"/>
    <tableColumn id="2" xr3:uid="{00000000-0010-0000-0300-000002000000}" name="24.40"/>
    <tableColumn id="3" xr3:uid="{00000000-0010-0000-0300-000003000000}" name="Kochjacke"/>
    <tableColumn id="4" xr3:uid="{00000000-0010-0000-0300-000004000000}" name="1.65"/>
    <tableColumn id="5" xr3:uid="{00000000-0010-0000-0300-000005000000}" name="Knöpfe"/>
    <tableColumn id="6" xr3:uid="{00000000-0010-0000-0300-000006000000}" name="23.50"/>
    <tableColumn id="7" xr3:uid="{00000000-0010-0000-0300-000007000000}" name="Hemd"/>
    <tableColumn id="8" xr3:uid="{00000000-0010-0000-0300-000008000000}" name="20.10"/>
    <tableColumn id="9" xr3:uid="{00000000-0010-0000-0300-000009000000}" name="Schürze"/>
    <tableColumn id="10" xr3:uid="{00000000-0010-0000-0300-00000A000000}" name="9.80"/>
    <tableColumn id="11" xr3:uid="{00000000-0010-0000-0300-00000B000000}" name="Bandana"/>
    <tableColumn id="12" xr3:uid="{00000000-0010-0000-0300-00000C000000}" name="17.75"/>
    <tableColumn id="13" xr3:uid="{00000000-0010-0000-0300-00000D000000}" name="Krawatte"/>
    <tableColumn id="14" xr3:uid="{00000000-0010-0000-0300-00000E000000}" name="32.90"/>
    <tableColumn id="15" xr3:uid="{00000000-0010-0000-0300-00000F000000}" name="Pulli"/>
    <tableColumn id="16" xr3:uid="{00000000-0010-0000-0300-000010000000}" name="Gesam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8ED5"/>
  </sheetPr>
  <dimension ref="A1:P60"/>
  <sheetViews>
    <sheetView topLeftCell="D25" zoomScaleNormal="100" workbookViewId="0">
      <selection activeCell="F41" sqref="F41"/>
    </sheetView>
  </sheetViews>
  <sheetFormatPr baseColWidth="10" defaultColWidth="8.85546875" defaultRowHeight="15" x14ac:dyDescent="0.25"/>
  <cols>
    <col min="1" max="1" width="9.28515625" customWidth="1"/>
    <col min="2" max="2" width="19" style="2" customWidth="1"/>
    <col min="3" max="3" width="17.28515625" style="2" customWidth="1"/>
    <col min="4" max="4" width="28.28515625" style="3" customWidth="1"/>
    <col min="5" max="5" width="21.28515625" style="3" customWidth="1"/>
    <col min="6" max="6" width="28" style="2" customWidth="1"/>
    <col min="7" max="7" width="16.140625" style="2" customWidth="1"/>
    <col min="8" max="8" width="16.7109375" style="3" customWidth="1"/>
    <col min="9" max="9" width="13.28515625" style="3" customWidth="1"/>
    <col min="10" max="10" width="14.28515625" style="3" customWidth="1"/>
    <col min="11" max="11" width="10.140625" style="3" customWidth="1"/>
    <col min="12" max="12" width="11.28515625" style="2" customWidth="1"/>
    <col min="13" max="1025" width="11.28515625" customWidth="1"/>
  </cols>
  <sheetData>
    <row r="1" spans="1:16" ht="28.5" x14ac:dyDescent="0.45">
      <c r="A1" s="420" t="s">
        <v>1</v>
      </c>
      <c r="B1" s="420"/>
      <c r="C1" s="420"/>
      <c r="D1" s="420"/>
      <c r="E1" s="420"/>
      <c r="F1" s="420"/>
      <c r="G1" s="420"/>
      <c r="H1" s="420"/>
      <c r="I1" s="420"/>
      <c r="J1" s="421" t="e">
        <f>#REF!</f>
        <v>#REF!</v>
      </c>
      <c r="K1" s="421"/>
      <c r="L1" s="421"/>
      <c r="M1" s="1"/>
      <c r="N1" s="1"/>
      <c r="O1" s="1"/>
      <c r="P1" s="1"/>
    </row>
    <row r="2" spans="1:16" x14ac:dyDescent="0.25">
      <c r="A2" s="4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  <c r="M2" s="1"/>
      <c r="N2" s="1"/>
      <c r="O2" s="1"/>
      <c r="P2" s="1"/>
    </row>
    <row r="3" spans="1:16" x14ac:dyDescent="0.25">
      <c r="A3" s="8">
        <v>1</v>
      </c>
      <c r="B3" s="9" t="s">
        <v>14</v>
      </c>
      <c r="C3" s="9" t="s">
        <v>15</v>
      </c>
      <c r="D3" s="10" t="s">
        <v>16</v>
      </c>
      <c r="E3" s="10"/>
      <c r="F3" s="9" t="s">
        <v>17</v>
      </c>
      <c r="G3" s="9" t="s">
        <v>18</v>
      </c>
      <c r="H3" s="10" t="s">
        <v>19</v>
      </c>
      <c r="I3" s="10"/>
      <c r="J3" s="10" t="s">
        <v>20</v>
      </c>
      <c r="K3" s="10">
        <v>100</v>
      </c>
      <c r="L3" s="11">
        <v>40513</v>
      </c>
      <c r="M3" s="1"/>
      <c r="N3" s="1"/>
      <c r="O3" s="1"/>
      <c r="P3" s="1"/>
    </row>
    <row r="4" spans="1:16" x14ac:dyDescent="0.25">
      <c r="A4" s="12">
        <v>2</v>
      </c>
      <c r="B4" s="13" t="s">
        <v>21</v>
      </c>
      <c r="C4" s="13" t="s">
        <v>22</v>
      </c>
      <c r="D4" s="14" t="s">
        <v>23</v>
      </c>
      <c r="E4" s="14"/>
      <c r="F4" s="13" t="s">
        <v>24</v>
      </c>
      <c r="G4" s="13" t="s">
        <v>25</v>
      </c>
      <c r="H4" s="14" t="s">
        <v>26</v>
      </c>
      <c r="I4" s="14" t="s">
        <v>27</v>
      </c>
      <c r="J4" s="14" t="s">
        <v>28</v>
      </c>
      <c r="K4" s="14">
        <v>100</v>
      </c>
      <c r="L4" s="15">
        <v>40513</v>
      </c>
      <c r="M4" s="1"/>
      <c r="N4" s="1"/>
      <c r="O4" s="1"/>
      <c r="P4" s="1"/>
    </row>
    <row r="5" spans="1:16" x14ac:dyDescent="0.25">
      <c r="A5" s="12">
        <v>3</v>
      </c>
      <c r="B5" s="13" t="s">
        <v>29</v>
      </c>
      <c r="C5" s="13" t="s">
        <v>30</v>
      </c>
      <c r="D5" s="16" t="s">
        <v>31</v>
      </c>
      <c r="E5" s="16"/>
      <c r="F5" s="13" t="s">
        <v>32</v>
      </c>
      <c r="G5" s="13" t="s">
        <v>33</v>
      </c>
      <c r="H5" s="14" t="s">
        <v>34</v>
      </c>
      <c r="I5" s="14" t="s">
        <v>27</v>
      </c>
      <c r="J5" s="14" t="s">
        <v>35</v>
      </c>
      <c r="K5" s="14">
        <v>100</v>
      </c>
      <c r="L5" s="15">
        <v>40513</v>
      </c>
      <c r="M5" s="1"/>
      <c r="N5" s="1"/>
      <c r="O5" s="1"/>
      <c r="P5" s="1"/>
    </row>
    <row r="6" spans="1:16" x14ac:dyDescent="0.25">
      <c r="A6" s="12">
        <v>4</v>
      </c>
      <c r="B6" s="13" t="s">
        <v>36</v>
      </c>
      <c r="C6" s="13" t="s">
        <v>37</v>
      </c>
      <c r="D6" s="14" t="s">
        <v>38</v>
      </c>
      <c r="E6" s="14"/>
      <c r="F6" s="13" t="s">
        <v>39</v>
      </c>
      <c r="G6" s="13" t="s">
        <v>40</v>
      </c>
      <c r="H6" s="14" t="s">
        <v>41</v>
      </c>
      <c r="I6" s="14" t="s">
        <v>42</v>
      </c>
      <c r="J6" s="14" t="s">
        <v>43</v>
      </c>
      <c r="K6" s="14">
        <v>100</v>
      </c>
      <c r="L6" s="15">
        <v>40513</v>
      </c>
      <c r="M6" s="1"/>
      <c r="N6" s="1"/>
      <c r="O6" s="1"/>
      <c r="P6" s="1"/>
    </row>
    <row r="7" spans="1:16" x14ac:dyDescent="0.25">
      <c r="A7" s="12">
        <v>5</v>
      </c>
      <c r="B7" s="13" t="s">
        <v>44</v>
      </c>
      <c r="C7" s="13" t="s">
        <v>45</v>
      </c>
      <c r="D7" s="14" t="s">
        <v>46</v>
      </c>
      <c r="E7" s="14" t="s">
        <v>47</v>
      </c>
      <c r="F7" s="13" t="s">
        <v>48</v>
      </c>
      <c r="G7" s="13" t="s">
        <v>49</v>
      </c>
      <c r="H7" s="14" t="s">
        <v>41</v>
      </c>
      <c r="I7" s="14" t="s">
        <v>42</v>
      </c>
      <c r="J7" s="14" t="s">
        <v>43</v>
      </c>
      <c r="K7" s="14"/>
      <c r="L7" s="15">
        <v>40513</v>
      </c>
      <c r="M7" s="1"/>
      <c r="N7" s="1"/>
      <c r="O7" s="1"/>
      <c r="P7" s="1"/>
    </row>
    <row r="8" spans="1:16" x14ac:dyDescent="0.25">
      <c r="A8" s="12">
        <v>7</v>
      </c>
      <c r="B8" s="13" t="s">
        <v>50</v>
      </c>
      <c r="C8" s="13" t="s">
        <v>51</v>
      </c>
      <c r="D8" s="14" t="s">
        <v>52</v>
      </c>
      <c r="E8" s="14"/>
      <c r="F8" s="13" t="s">
        <v>53</v>
      </c>
      <c r="G8" s="13" t="s">
        <v>40</v>
      </c>
      <c r="H8" s="14" t="s">
        <v>54</v>
      </c>
      <c r="I8" s="14" t="s">
        <v>55</v>
      </c>
      <c r="J8" s="14" t="s">
        <v>20</v>
      </c>
      <c r="K8" s="14"/>
      <c r="L8" s="15">
        <v>40513</v>
      </c>
      <c r="M8" s="1"/>
      <c r="N8" s="1"/>
      <c r="O8" s="1"/>
      <c r="P8" s="1"/>
    </row>
    <row r="9" spans="1:16" x14ac:dyDescent="0.25">
      <c r="A9" s="12">
        <v>8</v>
      </c>
      <c r="B9" s="13" t="s">
        <v>56</v>
      </c>
      <c r="C9" s="13" t="s">
        <v>57</v>
      </c>
      <c r="D9" s="14" t="s">
        <v>58</v>
      </c>
      <c r="E9" s="14"/>
      <c r="F9" s="13" t="s">
        <v>59</v>
      </c>
      <c r="G9" s="13" t="s">
        <v>60</v>
      </c>
      <c r="H9" s="14" t="s">
        <v>61</v>
      </c>
      <c r="I9" s="14" t="s">
        <v>55</v>
      </c>
      <c r="J9" s="14" t="s">
        <v>62</v>
      </c>
      <c r="K9" s="14">
        <v>100</v>
      </c>
      <c r="L9" s="15">
        <v>40513</v>
      </c>
      <c r="M9" s="1"/>
      <c r="N9" s="1"/>
      <c r="O9" s="1"/>
      <c r="P9" s="1"/>
    </row>
    <row r="10" spans="1:16" x14ac:dyDescent="0.25">
      <c r="A10" s="12">
        <v>9</v>
      </c>
      <c r="B10" s="13" t="s">
        <v>63</v>
      </c>
      <c r="C10" s="13" t="s">
        <v>64</v>
      </c>
      <c r="D10" s="14" t="s">
        <v>65</v>
      </c>
      <c r="E10" s="14"/>
      <c r="F10" s="13" t="s">
        <v>66</v>
      </c>
      <c r="G10" s="13" t="s">
        <v>67</v>
      </c>
      <c r="H10" s="14" t="s">
        <v>68</v>
      </c>
      <c r="I10" s="14" t="s">
        <v>55</v>
      </c>
      <c r="J10" s="14" t="s">
        <v>43</v>
      </c>
      <c r="K10" s="14"/>
      <c r="L10" s="15">
        <v>40513</v>
      </c>
      <c r="M10" s="1"/>
      <c r="N10" s="1"/>
      <c r="O10" s="1"/>
      <c r="P10" s="1"/>
    </row>
    <row r="11" spans="1:16" x14ac:dyDescent="0.25">
      <c r="A11" s="12">
        <v>10</v>
      </c>
      <c r="B11" s="13" t="s">
        <v>69</v>
      </c>
      <c r="C11" s="13" t="s">
        <v>70</v>
      </c>
      <c r="D11" s="14" t="s">
        <v>71</v>
      </c>
      <c r="E11" s="14" t="s">
        <v>72</v>
      </c>
      <c r="F11" s="13" t="s">
        <v>73</v>
      </c>
      <c r="G11" s="13" t="s">
        <v>74</v>
      </c>
      <c r="H11" s="14" t="s">
        <v>75</v>
      </c>
      <c r="I11" s="14" t="s">
        <v>55</v>
      </c>
      <c r="J11" s="14" t="s">
        <v>20</v>
      </c>
      <c r="K11" s="14">
        <v>100</v>
      </c>
      <c r="L11" s="15">
        <v>40513</v>
      </c>
      <c r="M11" s="1"/>
      <c r="N11" s="1"/>
      <c r="O11" s="1"/>
      <c r="P11" s="1"/>
    </row>
    <row r="12" spans="1:16" x14ac:dyDescent="0.25">
      <c r="A12" s="12">
        <v>11</v>
      </c>
      <c r="B12" s="13" t="s">
        <v>76</v>
      </c>
      <c r="C12" s="13" t="s">
        <v>77</v>
      </c>
      <c r="D12" s="14" t="s">
        <v>78</v>
      </c>
      <c r="E12" s="14"/>
      <c r="F12" s="13" t="s">
        <v>79</v>
      </c>
      <c r="G12" s="13" t="s">
        <v>80</v>
      </c>
      <c r="H12" s="14" t="s">
        <v>19</v>
      </c>
      <c r="I12" s="14"/>
      <c r="J12" s="14" t="s">
        <v>81</v>
      </c>
      <c r="K12" s="14"/>
      <c r="L12" s="15">
        <v>40513</v>
      </c>
      <c r="M12" s="1"/>
      <c r="N12" s="1"/>
      <c r="O12" s="1"/>
      <c r="P12" s="1"/>
    </row>
    <row r="13" spans="1:16" x14ac:dyDescent="0.25">
      <c r="A13" s="12">
        <v>12</v>
      </c>
      <c r="B13" s="13" t="s">
        <v>82</v>
      </c>
      <c r="C13" s="13" t="s">
        <v>83</v>
      </c>
      <c r="D13" s="14" t="s">
        <v>84</v>
      </c>
      <c r="E13" s="14"/>
      <c r="F13" s="13" t="s">
        <v>85</v>
      </c>
      <c r="G13" s="13" t="s">
        <v>86</v>
      </c>
      <c r="H13" s="14" t="s">
        <v>19</v>
      </c>
      <c r="I13" s="14"/>
      <c r="J13" s="14" t="s">
        <v>87</v>
      </c>
      <c r="K13" s="14"/>
      <c r="L13" s="15">
        <v>40513</v>
      </c>
      <c r="M13" s="1"/>
      <c r="N13" s="1"/>
      <c r="O13" s="1"/>
      <c r="P13" s="1"/>
    </row>
    <row r="14" spans="1:16" x14ac:dyDescent="0.25">
      <c r="A14" s="12">
        <v>13</v>
      </c>
      <c r="B14" s="13" t="s">
        <v>88</v>
      </c>
      <c r="C14" s="13" t="s">
        <v>89</v>
      </c>
      <c r="D14" s="14" t="s">
        <v>90</v>
      </c>
      <c r="E14" s="14"/>
      <c r="F14" s="13" t="s">
        <v>91</v>
      </c>
      <c r="G14" s="13" t="s">
        <v>92</v>
      </c>
      <c r="H14" s="14" t="s">
        <v>41</v>
      </c>
      <c r="I14" s="14" t="s">
        <v>42</v>
      </c>
      <c r="J14" s="14" t="s">
        <v>43</v>
      </c>
      <c r="K14" s="14"/>
      <c r="L14" s="15">
        <v>40513</v>
      </c>
      <c r="M14" s="1"/>
      <c r="N14" s="1"/>
      <c r="O14" s="1"/>
      <c r="P14" s="1"/>
    </row>
    <row r="15" spans="1:16" x14ac:dyDescent="0.25">
      <c r="A15" s="12">
        <v>14</v>
      </c>
      <c r="B15" s="13" t="s">
        <v>93</v>
      </c>
      <c r="C15" s="13" t="s">
        <v>94</v>
      </c>
      <c r="D15" s="14" t="s">
        <v>95</v>
      </c>
      <c r="E15" s="14" t="s">
        <v>96</v>
      </c>
      <c r="F15" s="13" t="s">
        <v>97</v>
      </c>
      <c r="G15" s="13" t="s">
        <v>98</v>
      </c>
      <c r="H15" s="14" t="s">
        <v>19</v>
      </c>
      <c r="I15" s="14"/>
      <c r="J15" s="14" t="s">
        <v>87</v>
      </c>
      <c r="K15" s="14"/>
      <c r="L15" s="15">
        <v>40513</v>
      </c>
      <c r="M15" s="1"/>
      <c r="N15" s="1"/>
      <c r="O15" s="1"/>
      <c r="P15" s="1"/>
    </row>
    <row r="16" spans="1:16" x14ac:dyDescent="0.25">
      <c r="A16" s="12">
        <v>15</v>
      </c>
      <c r="B16" s="13" t="s">
        <v>99</v>
      </c>
      <c r="C16" s="13" t="s">
        <v>100</v>
      </c>
      <c r="D16" s="14" t="s">
        <v>101</v>
      </c>
      <c r="E16" s="14" t="s">
        <v>102</v>
      </c>
      <c r="F16" s="13" t="s">
        <v>103</v>
      </c>
      <c r="G16" s="13" t="s">
        <v>104</v>
      </c>
      <c r="H16" s="14" t="s">
        <v>105</v>
      </c>
      <c r="I16" s="14" t="s">
        <v>55</v>
      </c>
      <c r="J16" s="14" t="s">
        <v>106</v>
      </c>
      <c r="K16" s="14">
        <v>60</v>
      </c>
      <c r="L16" s="15">
        <v>40513</v>
      </c>
      <c r="M16" s="1"/>
      <c r="N16" s="1"/>
      <c r="O16" s="1"/>
      <c r="P16" s="1"/>
    </row>
    <row r="17" spans="1:16" x14ac:dyDescent="0.25">
      <c r="A17" s="12">
        <v>16</v>
      </c>
      <c r="B17" s="13" t="s">
        <v>107</v>
      </c>
      <c r="C17" s="13" t="s">
        <v>108</v>
      </c>
      <c r="D17" s="14" t="s">
        <v>109</v>
      </c>
      <c r="E17" s="14"/>
      <c r="F17" s="13" t="s">
        <v>110</v>
      </c>
      <c r="G17" s="13" t="s">
        <v>111</v>
      </c>
      <c r="H17" s="14" t="s">
        <v>19</v>
      </c>
      <c r="I17" s="14"/>
      <c r="J17" s="14" t="s">
        <v>112</v>
      </c>
      <c r="K17" s="14"/>
      <c r="L17" s="15">
        <v>40513</v>
      </c>
      <c r="M17" s="1"/>
      <c r="N17" s="1"/>
      <c r="O17" s="1"/>
      <c r="P17" s="1"/>
    </row>
    <row r="18" spans="1:16" x14ac:dyDescent="0.25">
      <c r="A18" s="12">
        <v>18</v>
      </c>
      <c r="B18" s="13" t="s">
        <v>113</v>
      </c>
      <c r="C18" s="13" t="s">
        <v>114</v>
      </c>
      <c r="D18" s="14" t="s">
        <v>115</v>
      </c>
      <c r="E18" s="14"/>
      <c r="F18" s="13" t="s">
        <v>116</v>
      </c>
      <c r="G18" s="13" t="s">
        <v>117</v>
      </c>
      <c r="H18" s="14" t="s">
        <v>41</v>
      </c>
      <c r="I18" s="14" t="s">
        <v>42</v>
      </c>
      <c r="J18" s="14" t="s">
        <v>112</v>
      </c>
      <c r="K18" s="14"/>
      <c r="L18" s="15">
        <v>40513</v>
      </c>
      <c r="M18" s="1"/>
      <c r="N18" s="1"/>
      <c r="O18" s="1"/>
      <c r="P18" s="1"/>
    </row>
    <row r="19" spans="1:16" x14ac:dyDescent="0.25">
      <c r="A19" s="12">
        <v>19</v>
      </c>
      <c r="B19" s="13" t="s">
        <v>118</v>
      </c>
      <c r="C19" s="13" t="s">
        <v>119</v>
      </c>
      <c r="D19" s="14" t="s">
        <v>120</v>
      </c>
      <c r="E19" s="14"/>
      <c r="F19" s="13" t="s">
        <v>121</v>
      </c>
      <c r="G19" s="13" t="s">
        <v>40</v>
      </c>
      <c r="H19" s="14" t="s">
        <v>41</v>
      </c>
      <c r="I19" s="14" t="s">
        <v>55</v>
      </c>
      <c r="J19" s="14" t="s">
        <v>112</v>
      </c>
      <c r="K19" s="14"/>
      <c r="L19" s="15">
        <v>40513</v>
      </c>
      <c r="M19" s="1"/>
      <c r="N19" s="1"/>
      <c r="O19" s="1"/>
      <c r="P19" s="1"/>
    </row>
    <row r="20" spans="1:16" x14ac:dyDescent="0.25">
      <c r="A20" s="12">
        <v>20</v>
      </c>
      <c r="B20" s="13" t="s">
        <v>122</v>
      </c>
      <c r="C20" s="13" t="s">
        <v>123</v>
      </c>
      <c r="D20" s="14" t="s">
        <v>124</v>
      </c>
      <c r="E20" s="14"/>
      <c r="F20" s="13" t="s">
        <v>125</v>
      </c>
      <c r="G20" s="13" t="s">
        <v>126</v>
      </c>
      <c r="H20" s="14" t="s">
        <v>19</v>
      </c>
      <c r="I20" s="14"/>
      <c r="J20" s="14" t="s">
        <v>127</v>
      </c>
      <c r="K20" s="14"/>
      <c r="L20" s="15">
        <v>40513</v>
      </c>
      <c r="M20" s="1"/>
      <c r="N20" s="1"/>
      <c r="O20" s="1"/>
      <c r="P20" s="1"/>
    </row>
    <row r="21" spans="1:16" x14ac:dyDescent="0.25">
      <c r="A21" s="12">
        <v>22</v>
      </c>
      <c r="B21" s="13" t="s">
        <v>128</v>
      </c>
      <c r="C21" s="13" t="s">
        <v>129</v>
      </c>
      <c r="D21" s="14" t="s">
        <v>130</v>
      </c>
      <c r="E21" s="14"/>
      <c r="F21" s="13" t="s">
        <v>131</v>
      </c>
      <c r="G21" s="13" t="s">
        <v>132</v>
      </c>
      <c r="H21" s="14" t="s">
        <v>41</v>
      </c>
      <c r="I21" s="14" t="s">
        <v>55</v>
      </c>
      <c r="J21" s="14" t="s">
        <v>133</v>
      </c>
      <c r="K21" s="14"/>
      <c r="L21" s="15">
        <v>40513</v>
      </c>
      <c r="M21" s="1"/>
      <c r="N21" s="1"/>
      <c r="O21" s="1"/>
      <c r="P21" s="1"/>
    </row>
    <row r="22" spans="1:16" x14ac:dyDescent="0.25">
      <c r="A22" s="12">
        <v>23</v>
      </c>
      <c r="B22" s="13" t="s">
        <v>134</v>
      </c>
      <c r="C22" s="13" t="s">
        <v>135</v>
      </c>
      <c r="D22" s="14" t="s">
        <v>136</v>
      </c>
      <c r="E22" s="14"/>
      <c r="F22" s="13" t="s">
        <v>137</v>
      </c>
      <c r="G22" s="13" t="s">
        <v>74</v>
      </c>
      <c r="H22" s="14" t="s">
        <v>41</v>
      </c>
      <c r="I22" s="14" t="s">
        <v>42</v>
      </c>
      <c r="J22" s="14" t="s">
        <v>43</v>
      </c>
      <c r="K22" s="14">
        <v>100</v>
      </c>
      <c r="L22" s="15">
        <v>40513</v>
      </c>
      <c r="M22" s="1"/>
      <c r="N22" s="1"/>
      <c r="O22" s="1"/>
      <c r="P22" s="1"/>
    </row>
    <row r="23" spans="1:16" x14ac:dyDescent="0.25">
      <c r="A23" s="12">
        <v>24</v>
      </c>
      <c r="B23" s="13" t="s">
        <v>138</v>
      </c>
      <c r="C23" s="13" t="s">
        <v>139</v>
      </c>
      <c r="D23" s="14" t="s">
        <v>140</v>
      </c>
      <c r="E23" s="14"/>
      <c r="F23" s="13" t="s">
        <v>141</v>
      </c>
      <c r="G23" s="13" t="s">
        <v>142</v>
      </c>
      <c r="H23" s="14" t="s">
        <v>19</v>
      </c>
      <c r="I23" s="14"/>
      <c r="J23" s="14" t="s">
        <v>143</v>
      </c>
      <c r="K23" s="14">
        <v>80</v>
      </c>
      <c r="L23" s="15">
        <v>40513</v>
      </c>
      <c r="M23" s="1"/>
      <c r="N23" s="1"/>
      <c r="O23" s="1"/>
      <c r="P23" s="1"/>
    </row>
    <row r="24" spans="1:16" x14ac:dyDescent="0.25">
      <c r="A24" s="12">
        <v>26</v>
      </c>
      <c r="B24" s="13" t="s">
        <v>144</v>
      </c>
      <c r="C24" s="13" t="s">
        <v>145</v>
      </c>
      <c r="D24" s="14" t="s">
        <v>146</v>
      </c>
      <c r="E24" s="14"/>
      <c r="F24" s="13" t="s">
        <v>147</v>
      </c>
      <c r="G24" s="13" t="s">
        <v>148</v>
      </c>
      <c r="H24" s="14" t="s">
        <v>19</v>
      </c>
      <c r="I24" s="14"/>
      <c r="J24" s="14" t="s">
        <v>28</v>
      </c>
      <c r="K24" s="14">
        <v>100</v>
      </c>
      <c r="L24" s="15">
        <v>40513</v>
      </c>
      <c r="M24" s="1"/>
      <c r="N24" s="1"/>
      <c r="O24" s="1"/>
      <c r="P24" s="1"/>
    </row>
    <row r="25" spans="1:16" x14ac:dyDescent="0.25">
      <c r="A25" s="12">
        <v>27</v>
      </c>
      <c r="B25" s="13" t="s">
        <v>149</v>
      </c>
      <c r="C25" s="13" t="s">
        <v>150</v>
      </c>
      <c r="D25" s="14" t="s">
        <v>151</v>
      </c>
      <c r="E25" s="14" t="s">
        <v>152</v>
      </c>
      <c r="F25" s="13" t="s">
        <v>153</v>
      </c>
      <c r="G25" s="13" t="s">
        <v>154</v>
      </c>
      <c r="H25" s="14" t="s">
        <v>19</v>
      </c>
      <c r="I25" s="14"/>
      <c r="J25" s="14" t="s">
        <v>155</v>
      </c>
      <c r="K25" s="14">
        <v>100</v>
      </c>
      <c r="L25" s="15">
        <v>40513</v>
      </c>
      <c r="M25" s="1"/>
      <c r="N25" s="1"/>
      <c r="O25" s="1"/>
      <c r="P25" s="1"/>
    </row>
    <row r="26" spans="1:16" x14ac:dyDescent="0.25">
      <c r="A26" s="12">
        <v>29</v>
      </c>
      <c r="B26" s="13" t="s">
        <v>156</v>
      </c>
      <c r="C26" s="13" t="s">
        <v>157</v>
      </c>
      <c r="D26" s="14" t="s">
        <v>158</v>
      </c>
      <c r="E26" s="14"/>
      <c r="F26" s="13" t="s">
        <v>159</v>
      </c>
      <c r="G26" s="13" t="s">
        <v>148</v>
      </c>
      <c r="H26" s="14" t="s">
        <v>160</v>
      </c>
      <c r="I26" s="14" t="s">
        <v>55</v>
      </c>
      <c r="J26" s="14" t="s">
        <v>20</v>
      </c>
      <c r="K26" s="14"/>
      <c r="L26" s="15">
        <v>40513</v>
      </c>
      <c r="M26" s="1"/>
      <c r="N26" s="1"/>
      <c r="O26" s="1"/>
      <c r="P26" s="1"/>
    </row>
    <row r="27" spans="1:16" x14ac:dyDescent="0.25">
      <c r="A27" s="12">
        <v>30</v>
      </c>
      <c r="B27" s="13" t="s">
        <v>161</v>
      </c>
      <c r="C27" s="13" t="s">
        <v>123</v>
      </c>
      <c r="D27" s="14" t="s">
        <v>162</v>
      </c>
      <c r="E27" s="14"/>
      <c r="F27" s="13" t="s">
        <v>163</v>
      </c>
      <c r="G27" s="13" t="s">
        <v>164</v>
      </c>
      <c r="H27" s="14" t="s">
        <v>19</v>
      </c>
      <c r="I27" s="14"/>
      <c r="J27" s="14" t="s">
        <v>28</v>
      </c>
      <c r="K27" s="14"/>
      <c r="L27" s="15">
        <v>40513</v>
      </c>
      <c r="M27" s="1"/>
      <c r="N27" s="1"/>
      <c r="O27" s="1"/>
      <c r="P27" s="1"/>
    </row>
    <row r="28" spans="1:16" x14ac:dyDescent="0.25">
      <c r="A28" s="12">
        <v>32</v>
      </c>
      <c r="B28" s="13" t="s">
        <v>165</v>
      </c>
      <c r="C28" s="13" t="s">
        <v>166</v>
      </c>
      <c r="D28" s="14" t="s">
        <v>167</v>
      </c>
      <c r="E28" s="14"/>
      <c r="F28" s="13" t="s">
        <v>168</v>
      </c>
      <c r="G28" s="13" t="s">
        <v>169</v>
      </c>
      <c r="H28" s="14" t="s">
        <v>170</v>
      </c>
      <c r="I28" s="14" t="s">
        <v>55</v>
      </c>
      <c r="J28" s="14" t="s">
        <v>87</v>
      </c>
      <c r="K28" s="14"/>
      <c r="L28" s="15">
        <v>40513</v>
      </c>
      <c r="M28" s="1"/>
      <c r="N28" s="1"/>
      <c r="O28" s="1"/>
      <c r="P28" s="1"/>
    </row>
    <row r="29" spans="1:16" x14ac:dyDescent="0.25">
      <c r="A29" s="12">
        <v>33</v>
      </c>
      <c r="B29" s="13" t="s">
        <v>171</v>
      </c>
      <c r="C29" s="13" t="s">
        <v>172</v>
      </c>
      <c r="D29" s="14" t="s">
        <v>173</v>
      </c>
      <c r="E29" s="14"/>
      <c r="F29" s="13" t="s">
        <v>174</v>
      </c>
      <c r="G29" s="13" t="s">
        <v>175</v>
      </c>
      <c r="H29" s="14" t="s">
        <v>19</v>
      </c>
      <c r="I29" s="14"/>
      <c r="J29" s="14" t="s">
        <v>87</v>
      </c>
      <c r="K29" s="14"/>
      <c r="L29" s="15">
        <v>40513</v>
      </c>
      <c r="M29" s="1"/>
      <c r="N29" s="1"/>
      <c r="O29" s="1"/>
      <c r="P29" s="1"/>
    </row>
    <row r="30" spans="1:16" x14ac:dyDescent="0.25">
      <c r="A30" s="12">
        <v>35</v>
      </c>
      <c r="B30" s="13" t="s">
        <v>176</v>
      </c>
      <c r="C30" s="13" t="s">
        <v>177</v>
      </c>
      <c r="D30" s="14" t="s">
        <v>178</v>
      </c>
      <c r="E30" s="14"/>
      <c r="F30" s="13" t="s">
        <v>179</v>
      </c>
      <c r="G30" s="13" t="s">
        <v>180</v>
      </c>
      <c r="H30" s="14" t="s">
        <v>181</v>
      </c>
      <c r="I30" s="14" t="s">
        <v>55</v>
      </c>
      <c r="J30" s="14" t="s">
        <v>106</v>
      </c>
      <c r="K30" s="14"/>
      <c r="L30" s="15">
        <v>40513</v>
      </c>
      <c r="M30" s="1"/>
      <c r="N30" s="1"/>
      <c r="O30" s="1"/>
      <c r="P30" s="1"/>
    </row>
    <row r="31" spans="1:16" x14ac:dyDescent="0.25">
      <c r="A31" s="12">
        <v>36</v>
      </c>
      <c r="B31" s="13" t="s">
        <v>182</v>
      </c>
      <c r="C31" s="13" t="s">
        <v>183</v>
      </c>
      <c r="D31" s="14" t="s">
        <v>184</v>
      </c>
      <c r="E31" s="14"/>
      <c r="F31" s="13" t="s">
        <v>185</v>
      </c>
      <c r="G31" s="13" t="s">
        <v>104</v>
      </c>
      <c r="H31" s="14" t="s">
        <v>186</v>
      </c>
      <c r="I31" s="14" t="s">
        <v>55</v>
      </c>
      <c r="J31" s="14" t="s">
        <v>62</v>
      </c>
      <c r="K31" s="14">
        <v>100</v>
      </c>
      <c r="L31" s="15">
        <v>40513</v>
      </c>
      <c r="M31" s="1"/>
      <c r="N31" s="1"/>
      <c r="O31" s="1"/>
      <c r="P31" s="1"/>
    </row>
    <row r="32" spans="1:16" x14ac:dyDescent="0.25">
      <c r="A32" s="12">
        <v>38</v>
      </c>
      <c r="B32" s="13" t="s">
        <v>187</v>
      </c>
      <c r="C32" s="13" t="s">
        <v>188</v>
      </c>
      <c r="D32" s="14" t="s">
        <v>189</v>
      </c>
      <c r="E32" s="14"/>
      <c r="F32" s="13"/>
      <c r="G32" s="13"/>
      <c r="H32" s="14"/>
      <c r="I32" s="14" t="s">
        <v>55</v>
      </c>
      <c r="J32" s="14" t="s">
        <v>62</v>
      </c>
      <c r="K32" s="14"/>
      <c r="L32" s="15">
        <v>40513</v>
      </c>
      <c r="M32" s="1"/>
      <c r="N32" s="1"/>
      <c r="O32" s="1"/>
      <c r="P32" s="1"/>
    </row>
    <row r="33" spans="1:16" x14ac:dyDescent="0.25">
      <c r="A33" s="12">
        <v>39</v>
      </c>
      <c r="B33" s="13" t="s">
        <v>190</v>
      </c>
      <c r="C33" s="13" t="s">
        <v>191</v>
      </c>
      <c r="D33" s="14" t="s">
        <v>192</v>
      </c>
      <c r="E33" s="14"/>
      <c r="F33" s="13" t="s">
        <v>193</v>
      </c>
      <c r="G33" s="13" t="s">
        <v>92</v>
      </c>
      <c r="H33" s="14" t="s">
        <v>68</v>
      </c>
      <c r="I33" s="14" t="s">
        <v>42</v>
      </c>
      <c r="J33" s="14" t="s">
        <v>112</v>
      </c>
      <c r="K33" s="14">
        <v>60</v>
      </c>
      <c r="L33" s="15">
        <v>40513</v>
      </c>
      <c r="M33" s="1"/>
      <c r="N33" s="1"/>
      <c r="O33" s="1"/>
      <c r="P33" s="1"/>
    </row>
    <row r="34" spans="1:16" x14ac:dyDescent="0.25">
      <c r="A34" s="12">
        <v>41</v>
      </c>
      <c r="B34" s="13" t="s">
        <v>194</v>
      </c>
      <c r="C34" s="13" t="s">
        <v>195</v>
      </c>
      <c r="D34" s="14" t="s">
        <v>196</v>
      </c>
      <c r="E34" s="14"/>
      <c r="F34" s="13" t="s">
        <v>197</v>
      </c>
      <c r="G34" s="13" t="s">
        <v>164</v>
      </c>
      <c r="H34" s="14" t="s">
        <v>198</v>
      </c>
      <c r="I34" s="14" t="s">
        <v>27</v>
      </c>
      <c r="J34" s="14" t="s">
        <v>28</v>
      </c>
      <c r="K34" s="14">
        <v>100</v>
      </c>
      <c r="L34" s="15">
        <v>40513</v>
      </c>
      <c r="M34" s="1"/>
      <c r="N34" s="1"/>
      <c r="O34" s="1"/>
      <c r="P34" s="1"/>
    </row>
    <row r="35" spans="1:16" x14ac:dyDescent="0.25">
      <c r="A35" s="12">
        <v>42</v>
      </c>
      <c r="B35" s="13" t="s">
        <v>199</v>
      </c>
      <c r="C35" s="13" t="s">
        <v>200</v>
      </c>
      <c r="D35" s="14" t="s">
        <v>201</v>
      </c>
      <c r="E35" s="14"/>
      <c r="F35" s="13" t="s">
        <v>202</v>
      </c>
      <c r="G35" s="13" t="s">
        <v>203</v>
      </c>
      <c r="H35" s="14" t="s">
        <v>26</v>
      </c>
      <c r="I35" s="14" t="s">
        <v>27</v>
      </c>
      <c r="J35" s="14" t="s">
        <v>204</v>
      </c>
      <c r="K35" s="14">
        <v>80</v>
      </c>
      <c r="L35" s="15">
        <v>40513</v>
      </c>
      <c r="M35" s="1"/>
      <c r="N35" s="1"/>
      <c r="O35" s="1"/>
      <c r="P35" s="1"/>
    </row>
    <row r="36" spans="1:16" x14ac:dyDescent="0.25">
      <c r="A36" s="12">
        <v>43</v>
      </c>
      <c r="B36" s="13" t="s">
        <v>205</v>
      </c>
      <c r="C36" s="13" t="s">
        <v>206</v>
      </c>
      <c r="D36" s="14" t="s">
        <v>207</v>
      </c>
      <c r="E36" s="14"/>
      <c r="F36" s="13" t="s">
        <v>208</v>
      </c>
      <c r="G36" s="13" t="s">
        <v>209</v>
      </c>
      <c r="H36" s="14" t="s">
        <v>210</v>
      </c>
      <c r="I36" s="14" t="s">
        <v>55</v>
      </c>
      <c r="J36" s="14" t="s">
        <v>106</v>
      </c>
      <c r="K36" s="14">
        <v>80</v>
      </c>
      <c r="L36" s="15">
        <v>40513</v>
      </c>
      <c r="M36" s="1"/>
      <c r="N36" s="1"/>
      <c r="O36" s="1"/>
      <c r="P36" s="1"/>
    </row>
    <row r="37" spans="1:16" x14ac:dyDescent="0.25">
      <c r="A37" s="12">
        <v>44</v>
      </c>
      <c r="B37" s="13" t="s">
        <v>211</v>
      </c>
      <c r="C37" s="13" t="s">
        <v>212</v>
      </c>
      <c r="D37" s="14" t="s">
        <v>213</v>
      </c>
      <c r="E37" s="14"/>
      <c r="F37" s="13" t="s">
        <v>214</v>
      </c>
      <c r="G37" s="13" t="s">
        <v>215</v>
      </c>
      <c r="H37" s="14" t="s">
        <v>19</v>
      </c>
      <c r="I37" s="14"/>
      <c r="J37" s="14" t="s">
        <v>216</v>
      </c>
      <c r="K37" s="14"/>
      <c r="L37" s="15">
        <v>40513</v>
      </c>
      <c r="M37" s="1"/>
      <c r="N37" s="1"/>
      <c r="O37" s="1"/>
      <c r="P37" s="1"/>
    </row>
    <row r="38" spans="1:16" x14ac:dyDescent="0.25">
      <c r="A38" s="12">
        <v>45</v>
      </c>
      <c r="B38" s="13" t="s">
        <v>217</v>
      </c>
      <c r="C38" s="13" t="s">
        <v>218</v>
      </c>
      <c r="D38" s="14" t="s">
        <v>219</v>
      </c>
      <c r="E38" s="14"/>
      <c r="F38" s="13" t="s">
        <v>220</v>
      </c>
      <c r="G38" s="13" t="s">
        <v>221</v>
      </c>
      <c r="H38" s="14" t="s">
        <v>19</v>
      </c>
      <c r="I38" s="14"/>
      <c r="J38" s="14" t="s">
        <v>222</v>
      </c>
      <c r="K38" s="14"/>
      <c r="L38" s="15">
        <v>40513</v>
      </c>
      <c r="M38" s="1"/>
      <c r="N38" s="1"/>
      <c r="O38" s="1"/>
      <c r="P38" s="1"/>
    </row>
    <row r="39" spans="1:16" x14ac:dyDescent="0.25">
      <c r="A39" s="12">
        <v>47</v>
      </c>
      <c r="B39" s="13" t="s">
        <v>223</v>
      </c>
      <c r="C39" s="13" t="s">
        <v>224</v>
      </c>
      <c r="D39" s="14" t="s">
        <v>225</v>
      </c>
      <c r="E39" s="14"/>
      <c r="F39" s="13" t="s">
        <v>226</v>
      </c>
      <c r="G39" s="13" t="s">
        <v>221</v>
      </c>
      <c r="H39" s="14" t="s">
        <v>227</v>
      </c>
      <c r="I39" s="14" t="s">
        <v>55</v>
      </c>
      <c r="J39" s="14" t="s">
        <v>28</v>
      </c>
      <c r="K39" s="14">
        <v>80</v>
      </c>
      <c r="L39" s="15">
        <v>40513</v>
      </c>
      <c r="M39" s="1"/>
      <c r="N39" s="1"/>
      <c r="O39" s="1"/>
      <c r="P39" s="1"/>
    </row>
    <row r="40" spans="1:16" x14ac:dyDescent="0.25">
      <c r="A40" s="12">
        <v>48</v>
      </c>
      <c r="B40" s="13" t="s">
        <v>228</v>
      </c>
      <c r="C40" s="13" t="s">
        <v>229</v>
      </c>
      <c r="D40" s="14" t="s">
        <v>230</v>
      </c>
      <c r="E40" s="14"/>
      <c r="F40" s="13" t="s">
        <v>231</v>
      </c>
      <c r="G40" s="13" t="s">
        <v>232</v>
      </c>
      <c r="H40" s="14" t="s">
        <v>19</v>
      </c>
      <c r="I40" s="14"/>
      <c r="J40" s="14" t="s">
        <v>216</v>
      </c>
      <c r="K40" s="14"/>
      <c r="L40" s="15">
        <v>40513</v>
      </c>
      <c r="M40" s="1"/>
      <c r="N40" s="1"/>
      <c r="O40" s="1"/>
      <c r="P40" s="1"/>
    </row>
    <row r="41" spans="1:16" x14ac:dyDescent="0.25">
      <c r="A41" s="12">
        <v>49</v>
      </c>
      <c r="B41" s="13" t="s">
        <v>233</v>
      </c>
      <c r="C41" s="13" t="s">
        <v>234</v>
      </c>
      <c r="D41" s="16" t="s">
        <v>235</v>
      </c>
      <c r="E41" s="16"/>
      <c r="F41" s="13" t="s">
        <v>236</v>
      </c>
      <c r="G41" s="13" t="s">
        <v>237</v>
      </c>
      <c r="H41" s="14" t="s">
        <v>41</v>
      </c>
      <c r="I41" s="14" t="s">
        <v>42</v>
      </c>
      <c r="J41" s="14" t="s">
        <v>62</v>
      </c>
      <c r="K41" s="14"/>
      <c r="L41" s="15">
        <v>40513</v>
      </c>
      <c r="M41" s="1"/>
      <c r="N41" s="1"/>
      <c r="O41" s="1"/>
      <c r="P41" s="1"/>
    </row>
    <row r="42" spans="1:16" x14ac:dyDescent="0.25">
      <c r="A42" s="12">
        <v>50</v>
      </c>
      <c r="B42" s="13" t="s">
        <v>238</v>
      </c>
      <c r="C42" s="13" t="s">
        <v>239</v>
      </c>
      <c r="D42" s="14" t="s">
        <v>240</v>
      </c>
      <c r="E42" s="14"/>
      <c r="F42" s="13" t="s">
        <v>241</v>
      </c>
      <c r="G42" s="13" t="s">
        <v>18</v>
      </c>
      <c r="H42" s="14" t="s">
        <v>242</v>
      </c>
      <c r="I42" s="14" t="s">
        <v>27</v>
      </c>
      <c r="J42" s="14" t="s">
        <v>243</v>
      </c>
      <c r="K42" s="14"/>
      <c r="L42" s="15">
        <v>40513</v>
      </c>
      <c r="M42" s="1"/>
      <c r="N42" s="1"/>
      <c r="O42" s="1"/>
      <c r="P42" s="1"/>
    </row>
    <row r="43" spans="1:16" x14ac:dyDescent="0.25">
      <c r="A43" s="12">
        <v>51</v>
      </c>
      <c r="B43" s="13"/>
      <c r="C43" s="13"/>
      <c r="D43" s="14"/>
      <c r="E43" s="14"/>
      <c r="F43" s="13"/>
      <c r="G43" s="13"/>
      <c r="H43" s="14"/>
      <c r="I43" s="14"/>
      <c r="J43" s="14"/>
      <c r="K43" s="14"/>
      <c r="L43" s="13"/>
      <c r="M43" s="1"/>
      <c r="N43" s="1"/>
      <c r="O43" s="1"/>
      <c r="P43" s="1"/>
    </row>
    <row r="44" spans="1:16" x14ac:dyDescent="0.25">
      <c r="A44" s="12">
        <v>52</v>
      </c>
      <c r="B44" s="13"/>
      <c r="C44" s="13"/>
      <c r="D44" s="14"/>
      <c r="E44" s="14"/>
      <c r="F44" s="13"/>
      <c r="G44" s="13"/>
      <c r="H44" s="14"/>
      <c r="I44" s="14"/>
      <c r="J44" s="14"/>
      <c r="K44" s="14"/>
      <c r="L44" s="13"/>
      <c r="M44" s="1"/>
      <c r="N44" s="1"/>
      <c r="O44" s="1"/>
      <c r="P44" s="1"/>
    </row>
    <row r="45" spans="1:16" x14ac:dyDescent="0.25">
      <c r="A45" s="12">
        <v>53</v>
      </c>
      <c r="B45" s="13"/>
      <c r="C45" s="13"/>
      <c r="D45" s="14"/>
      <c r="E45" s="14"/>
      <c r="F45" s="13"/>
      <c r="G45" s="13"/>
      <c r="H45" s="14"/>
      <c r="I45" s="14"/>
      <c r="J45" s="14"/>
      <c r="K45" s="14"/>
      <c r="L45" s="13"/>
      <c r="M45" s="1"/>
      <c r="N45" s="1"/>
      <c r="O45" s="1"/>
      <c r="P45" s="1"/>
    </row>
    <row r="46" spans="1:16" x14ac:dyDescent="0.25">
      <c r="A46" s="12">
        <v>54</v>
      </c>
      <c r="B46" s="13"/>
      <c r="C46" s="13"/>
      <c r="D46" s="14"/>
      <c r="E46" s="14"/>
      <c r="F46" s="13"/>
      <c r="G46" s="13"/>
      <c r="H46" s="14"/>
      <c r="I46" s="14"/>
      <c r="J46" s="14"/>
      <c r="K46" s="14"/>
      <c r="L46" s="13"/>
      <c r="M46" s="1"/>
      <c r="N46" s="1"/>
      <c r="O46" s="1"/>
      <c r="P46" s="1"/>
    </row>
    <row r="47" spans="1:16" x14ac:dyDescent="0.25">
      <c r="A47" s="12">
        <v>55</v>
      </c>
      <c r="B47" s="13"/>
      <c r="C47" s="13"/>
      <c r="D47" s="14"/>
      <c r="E47" s="14"/>
      <c r="F47" s="13"/>
      <c r="G47" s="13"/>
      <c r="H47" s="14"/>
      <c r="I47" s="14"/>
      <c r="J47" s="14"/>
      <c r="K47" s="14"/>
      <c r="L47" s="13"/>
      <c r="M47" s="1"/>
      <c r="N47" s="1"/>
      <c r="O47" s="1"/>
      <c r="P47" s="1"/>
    </row>
    <row r="48" spans="1:16" x14ac:dyDescent="0.25">
      <c r="A48" s="12">
        <v>56</v>
      </c>
      <c r="B48" s="13"/>
      <c r="C48" s="13"/>
      <c r="D48" s="14"/>
      <c r="E48" s="14"/>
      <c r="F48" s="13"/>
      <c r="G48" s="13"/>
      <c r="H48" s="14"/>
      <c r="I48" s="14"/>
      <c r="J48" s="14"/>
      <c r="K48" s="14"/>
      <c r="L48" s="13"/>
      <c r="M48" s="1"/>
      <c r="N48" s="1"/>
      <c r="O48" s="1"/>
      <c r="P48" s="1"/>
    </row>
    <row r="49" spans="1:16" x14ac:dyDescent="0.25">
      <c r="A49" s="12">
        <v>57</v>
      </c>
      <c r="B49" s="13"/>
      <c r="C49" s="13"/>
      <c r="D49" s="14"/>
      <c r="E49" s="14"/>
      <c r="F49" s="13"/>
      <c r="G49" s="13"/>
      <c r="H49" s="14"/>
      <c r="I49" s="14"/>
      <c r="J49" s="14"/>
      <c r="K49" s="14"/>
      <c r="L49" s="13"/>
      <c r="M49" s="1"/>
      <c r="N49" s="1"/>
      <c r="O49" s="1"/>
      <c r="P49" s="1"/>
    </row>
    <row r="50" spans="1:16" x14ac:dyDescent="0.25">
      <c r="A50" s="12">
        <v>58</v>
      </c>
      <c r="B50" s="13"/>
      <c r="C50" s="13"/>
      <c r="D50" s="14"/>
      <c r="E50" s="14"/>
      <c r="F50" s="13"/>
      <c r="G50" s="13"/>
      <c r="H50" s="14"/>
      <c r="I50" s="14"/>
      <c r="J50" s="14"/>
      <c r="K50" s="14"/>
      <c r="L50" s="13"/>
      <c r="M50" s="1"/>
      <c r="N50" s="1"/>
      <c r="O50" s="1"/>
      <c r="P50" s="1"/>
    </row>
    <row r="51" spans="1:16" x14ac:dyDescent="0.25">
      <c r="A51" s="12">
        <v>59</v>
      </c>
      <c r="B51" s="13"/>
      <c r="C51" s="13"/>
      <c r="D51" s="14"/>
      <c r="E51" s="14"/>
      <c r="F51" s="13"/>
      <c r="G51" s="13"/>
      <c r="H51" s="14"/>
      <c r="I51" s="14"/>
      <c r="J51" s="14"/>
      <c r="K51" s="14"/>
      <c r="L51" s="13"/>
      <c r="M51" s="1"/>
      <c r="N51" s="1"/>
      <c r="O51" s="1"/>
      <c r="P51" s="1"/>
    </row>
    <row r="52" spans="1:16" x14ac:dyDescent="0.25">
      <c r="A52" s="12">
        <v>60</v>
      </c>
      <c r="B52" s="13"/>
      <c r="C52" s="13"/>
      <c r="D52" s="14"/>
      <c r="E52" s="14"/>
      <c r="F52" s="13"/>
      <c r="G52" s="13"/>
      <c r="H52" s="14"/>
      <c r="I52" s="14"/>
      <c r="J52" s="14"/>
      <c r="K52" s="14"/>
      <c r="L52" s="13"/>
      <c r="M52" s="1"/>
      <c r="N52" s="1"/>
      <c r="O52" s="1"/>
      <c r="P52" s="1"/>
    </row>
    <row r="53" spans="1:16" x14ac:dyDescent="0.25">
      <c r="A53" s="12">
        <v>61</v>
      </c>
      <c r="B53" s="13"/>
      <c r="C53" s="13"/>
      <c r="D53" s="14"/>
      <c r="E53" s="14"/>
      <c r="F53" s="13"/>
      <c r="G53" s="13"/>
      <c r="H53" s="14"/>
      <c r="I53" s="14"/>
      <c r="J53" s="14"/>
      <c r="K53" s="14"/>
      <c r="L53" s="13"/>
      <c r="M53" s="1"/>
      <c r="N53" s="1"/>
      <c r="O53" s="1"/>
      <c r="P53" s="1"/>
    </row>
    <row r="54" spans="1:16" x14ac:dyDescent="0.25">
      <c r="A54" s="12">
        <v>62</v>
      </c>
      <c r="B54" s="13"/>
      <c r="C54" s="13"/>
      <c r="D54" s="14"/>
      <c r="E54" s="14"/>
      <c r="F54" s="13"/>
      <c r="G54" s="13"/>
      <c r="H54" s="14"/>
      <c r="I54" s="14"/>
      <c r="J54" s="14"/>
      <c r="K54" s="14"/>
      <c r="L54" s="13"/>
      <c r="M54" s="1"/>
      <c r="N54" s="1"/>
      <c r="O54" s="1"/>
      <c r="P54" s="1"/>
    </row>
    <row r="55" spans="1:16" x14ac:dyDescent="0.25">
      <c r="A55" s="12">
        <v>63</v>
      </c>
      <c r="B55" s="13"/>
      <c r="C55" s="13"/>
      <c r="D55" s="14"/>
      <c r="E55" s="14"/>
      <c r="F55" s="13"/>
      <c r="G55" s="13"/>
      <c r="H55" s="14"/>
      <c r="I55" s="14"/>
      <c r="J55" s="14"/>
      <c r="K55" s="14"/>
      <c r="L55" s="13"/>
      <c r="M55" s="1"/>
      <c r="N55" s="1"/>
      <c r="O55" s="1"/>
      <c r="P55" s="1"/>
    </row>
    <row r="56" spans="1:16" x14ac:dyDescent="0.25">
      <c r="A56" s="12">
        <v>64</v>
      </c>
      <c r="B56" s="13"/>
      <c r="C56" s="13"/>
      <c r="D56" s="14"/>
      <c r="E56" s="14"/>
      <c r="F56" s="13"/>
      <c r="G56" s="13"/>
      <c r="H56" s="14"/>
      <c r="I56" s="14"/>
      <c r="J56" s="14"/>
      <c r="K56" s="14"/>
      <c r="L56" s="13"/>
      <c r="M56" s="1"/>
      <c r="N56" s="1"/>
      <c r="O56" s="1"/>
      <c r="P56" s="1"/>
    </row>
    <row r="57" spans="1:16" x14ac:dyDescent="0.25">
      <c r="A57" s="12">
        <v>65</v>
      </c>
      <c r="B57" s="13"/>
      <c r="C57" s="13"/>
      <c r="D57" s="14"/>
      <c r="E57" s="14"/>
      <c r="F57" s="13"/>
      <c r="G57" s="13"/>
      <c r="H57" s="14"/>
      <c r="I57" s="14"/>
      <c r="J57" s="14"/>
      <c r="K57" s="14"/>
      <c r="L57" s="13"/>
      <c r="M57" s="1"/>
      <c r="N57" s="1"/>
      <c r="O57" s="1"/>
      <c r="P57" s="1"/>
    </row>
    <row r="58" spans="1:16" x14ac:dyDescent="0.25">
      <c r="A58" s="12">
        <v>66</v>
      </c>
      <c r="B58" s="13"/>
      <c r="C58" s="13"/>
      <c r="D58" s="14"/>
      <c r="E58" s="14"/>
      <c r="F58" s="13"/>
      <c r="G58" s="13"/>
      <c r="H58" s="14"/>
      <c r="I58" s="14"/>
      <c r="J58" s="14"/>
      <c r="K58" s="14"/>
      <c r="L58" s="13"/>
      <c r="M58" s="1"/>
      <c r="N58" s="1"/>
      <c r="O58" s="1"/>
      <c r="P58" s="1"/>
    </row>
    <row r="59" spans="1:16" x14ac:dyDescent="0.25">
      <c r="A59" s="12">
        <v>67</v>
      </c>
      <c r="B59" s="13"/>
      <c r="C59" s="13"/>
      <c r="D59" s="14"/>
      <c r="E59" s="14"/>
      <c r="F59" s="13"/>
      <c r="G59" s="13"/>
      <c r="H59" s="14"/>
      <c r="I59" s="14"/>
      <c r="J59" s="14"/>
      <c r="K59" s="14"/>
      <c r="L59" s="13"/>
      <c r="M59" s="1"/>
      <c r="N59" s="1"/>
      <c r="O59" s="1"/>
      <c r="P59" s="1"/>
    </row>
    <row r="60" spans="1:16" x14ac:dyDescent="0.25">
      <c r="A60" s="17">
        <v>68</v>
      </c>
      <c r="B60" s="18"/>
      <c r="C60" s="18"/>
      <c r="D60" s="19"/>
      <c r="E60" s="19"/>
      <c r="F60" s="18"/>
      <c r="G60" s="18"/>
      <c r="H60" s="19"/>
      <c r="I60" s="19"/>
      <c r="J60" s="19"/>
      <c r="K60" s="19"/>
      <c r="L60" s="18"/>
      <c r="M60" s="1"/>
      <c r="N60" s="1"/>
      <c r="O60" s="1"/>
      <c r="P60" s="1"/>
    </row>
  </sheetData>
  <mergeCells count="2">
    <mergeCell ref="A1:I1"/>
    <mergeCell ref="J1:L1"/>
  </mergeCells>
  <pageMargins left="0.25" right="0.25" top="0.75" bottom="0.75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MK381"/>
  <sheetViews>
    <sheetView topLeftCell="A31" zoomScale="133" zoomScaleNormal="212" workbookViewId="0">
      <selection sqref="A1:XFD1048576"/>
    </sheetView>
  </sheetViews>
  <sheetFormatPr baseColWidth="10" defaultColWidth="8.85546875" defaultRowHeight="15" x14ac:dyDescent="0.25"/>
  <cols>
    <col min="1" max="1" width="2.28515625" style="20" customWidth="1"/>
    <col min="2" max="2" width="12.140625" style="21" customWidth="1"/>
    <col min="3" max="3" width="3.28515625" style="22" customWidth="1"/>
    <col min="4" max="5" width="3.42578125" style="22" customWidth="1"/>
    <col min="6" max="6" width="3.42578125" style="23" customWidth="1"/>
    <col min="7" max="9" width="3.42578125" style="22" customWidth="1"/>
    <col min="10" max="10" width="3.42578125" style="23" customWidth="1"/>
    <col min="11" max="13" width="3.42578125" style="22" customWidth="1"/>
    <col min="14" max="14" width="3.42578125" style="23" customWidth="1"/>
    <col min="15" max="17" width="3.42578125" style="22" customWidth="1"/>
    <col min="18" max="18" width="3.42578125" style="23" customWidth="1"/>
    <col min="19" max="21" width="3.42578125" style="22" customWidth="1"/>
    <col min="22" max="22" width="3.42578125" style="23" customWidth="1"/>
    <col min="23" max="25" width="3.42578125" style="22" customWidth="1"/>
    <col min="26" max="26" width="3.42578125" style="23" customWidth="1"/>
    <col min="27" max="29" width="3.42578125" style="22" customWidth="1"/>
    <col min="30" max="30" width="3.42578125" style="23" customWidth="1"/>
    <col min="31" max="31" width="11.28515625" style="24" customWidth="1"/>
    <col min="32" max="32" width="7.140625" style="24" customWidth="1"/>
    <col min="33" max="33" width="12.28515625" style="24" customWidth="1"/>
    <col min="34" max="47" width="9.140625" style="25" customWidth="1"/>
    <col min="48" max="48" width="13.7109375" style="26" customWidth="1"/>
    <col min="49" max="214" width="11.28515625" style="24" customWidth="1"/>
    <col min="215" max="215" width="11.140625" style="24" customWidth="1"/>
    <col min="216" max="1025" width="11.28515625" style="24" customWidth="1"/>
  </cols>
  <sheetData>
    <row r="1" spans="1:49" ht="14.25" customHeight="1" x14ac:dyDescent="0.25">
      <c r="A1" s="440" t="s">
        <v>366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27"/>
      <c r="AF1" s="27"/>
      <c r="AG1" s="28" t="s">
        <v>244</v>
      </c>
      <c r="AH1" s="422" t="s">
        <v>245</v>
      </c>
      <c r="AI1" s="422"/>
      <c r="AJ1" s="29">
        <v>28</v>
      </c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1"/>
    </row>
    <row r="2" spans="1:49" ht="14.25" customHeight="1" thickBot="1" x14ac:dyDescent="0.3">
      <c r="A2" s="441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27"/>
      <c r="AF2" s="27"/>
      <c r="AG2" s="32">
        <f>A3</f>
        <v>44</v>
      </c>
      <c r="AH2" s="423" t="s">
        <v>246</v>
      </c>
      <c r="AI2" s="423"/>
      <c r="AJ2" s="33">
        <v>42</v>
      </c>
      <c r="AK2" s="34">
        <f>AJ2/100</f>
        <v>0.42</v>
      </c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1"/>
    </row>
    <row r="3" spans="1:49" ht="14.25" customHeight="1" thickBot="1" x14ac:dyDescent="0.3">
      <c r="A3" s="424">
        <v>44</v>
      </c>
      <c r="B3" s="425" t="s">
        <v>247</v>
      </c>
      <c r="C3" s="428" t="s">
        <v>248</v>
      </c>
      <c r="D3" s="428"/>
      <c r="E3" s="428"/>
      <c r="F3" s="428"/>
      <c r="G3" s="429" t="s">
        <v>249</v>
      </c>
      <c r="H3" s="429"/>
      <c r="I3" s="429"/>
      <c r="J3" s="429"/>
      <c r="K3" s="428" t="s">
        <v>250</v>
      </c>
      <c r="L3" s="428"/>
      <c r="M3" s="428"/>
      <c r="N3" s="428"/>
      <c r="O3" s="428" t="s">
        <v>251</v>
      </c>
      <c r="P3" s="428"/>
      <c r="Q3" s="428"/>
      <c r="R3" s="428"/>
      <c r="S3" s="428" t="s">
        <v>252</v>
      </c>
      <c r="T3" s="428"/>
      <c r="U3" s="428"/>
      <c r="V3" s="428"/>
      <c r="W3" s="428" t="s">
        <v>253</v>
      </c>
      <c r="X3" s="428"/>
      <c r="Y3" s="428"/>
      <c r="Z3" s="428"/>
      <c r="AA3" s="428" t="s">
        <v>254</v>
      </c>
      <c r="AB3" s="428"/>
      <c r="AC3" s="428"/>
      <c r="AD3" s="428"/>
      <c r="AE3" s="430" t="s">
        <v>255</v>
      </c>
      <c r="AF3" s="431" t="s">
        <v>256</v>
      </c>
      <c r="AG3" s="432" t="s">
        <v>257</v>
      </c>
      <c r="AH3" s="433" t="str">
        <f>C3</f>
        <v>MONTAG</v>
      </c>
      <c r="AI3" s="433"/>
      <c r="AJ3" s="433" t="str">
        <f>G3</f>
        <v>DIENSTAG</v>
      </c>
      <c r="AK3" s="433"/>
      <c r="AL3" s="433" t="str">
        <f>K3</f>
        <v>MITTWOCH</v>
      </c>
      <c r="AM3" s="433"/>
      <c r="AN3" s="433" t="str">
        <f>O3</f>
        <v>DONNERSTAG</v>
      </c>
      <c r="AO3" s="433"/>
      <c r="AP3" s="433" t="str">
        <f>S3</f>
        <v>FREITAG</v>
      </c>
      <c r="AQ3" s="433"/>
      <c r="AR3" s="433" t="str">
        <f>W3</f>
        <v>SAMSTAG</v>
      </c>
      <c r="AS3" s="433"/>
      <c r="AT3" s="433" t="str">
        <f>AA3</f>
        <v>SONNTAG</v>
      </c>
      <c r="AU3" s="433"/>
      <c r="AV3" s="35"/>
    </row>
    <row r="4" spans="1:49" ht="14.25" customHeight="1" thickBot="1" x14ac:dyDescent="0.3">
      <c r="A4" s="424"/>
      <c r="B4" s="425"/>
      <c r="C4" s="429">
        <v>45957</v>
      </c>
      <c r="D4" s="429"/>
      <c r="E4" s="429"/>
      <c r="F4" s="429"/>
      <c r="G4" s="428">
        <f>C4+1</f>
        <v>45958</v>
      </c>
      <c r="H4" s="428"/>
      <c r="I4" s="428"/>
      <c r="J4" s="428"/>
      <c r="K4" s="442">
        <f>G4+1</f>
        <v>45959</v>
      </c>
      <c r="L4" s="429"/>
      <c r="M4" s="429"/>
      <c r="N4" s="429"/>
      <c r="O4" s="429">
        <f>K4+1</f>
        <v>45960</v>
      </c>
      <c r="P4" s="429"/>
      <c r="Q4" s="429"/>
      <c r="R4" s="429"/>
      <c r="S4" s="429">
        <f>O4+1</f>
        <v>45961</v>
      </c>
      <c r="T4" s="429"/>
      <c r="U4" s="429"/>
      <c r="V4" s="429"/>
      <c r="W4" s="429">
        <f>S4+1</f>
        <v>45962</v>
      </c>
      <c r="X4" s="429"/>
      <c r="Y4" s="429"/>
      <c r="Z4" s="429"/>
      <c r="AA4" s="429">
        <f>W4+1</f>
        <v>45963</v>
      </c>
      <c r="AB4" s="429"/>
      <c r="AC4" s="429"/>
      <c r="AD4" s="429"/>
      <c r="AE4" s="430"/>
      <c r="AF4" s="431"/>
      <c r="AG4" s="432"/>
      <c r="AH4" s="443">
        <f>C4</f>
        <v>45957</v>
      </c>
      <c r="AI4" s="443"/>
      <c r="AJ4" s="444">
        <f>C4+1</f>
        <v>45958</v>
      </c>
      <c r="AK4" s="445"/>
      <c r="AL4" s="444">
        <f>G4+1</f>
        <v>45959</v>
      </c>
      <c r="AM4" s="445"/>
      <c r="AN4" s="444">
        <f>K4+1</f>
        <v>45960</v>
      </c>
      <c r="AO4" s="445"/>
      <c r="AP4" s="444">
        <f>S4</f>
        <v>45961</v>
      </c>
      <c r="AQ4" s="445"/>
      <c r="AR4" s="444">
        <f>W4</f>
        <v>45962</v>
      </c>
      <c r="AS4" s="445"/>
      <c r="AT4" s="444">
        <f>AA4</f>
        <v>45963</v>
      </c>
      <c r="AU4" s="445"/>
      <c r="AV4" s="35"/>
    </row>
    <row r="5" spans="1:49" ht="14.25" customHeight="1" thickBot="1" x14ac:dyDescent="0.3">
      <c r="A5" s="424"/>
      <c r="B5" s="425"/>
      <c r="C5" s="434" t="s">
        <v>258</v>
      </c>
      <c r="D5" s="434"/>
      <c r="E5" s="435">
        <f>AH46</f>
        <v>0.35560000000000003</v>
      </c>
      <c r="F5" s="435"/>
      <c r="G5" s="436" t="s">
        <v>258</v>
      </c>
      <c r="H5" s="436"/>
      <c r="I5" s="437">
        <f>AJ46</f>
        <v>0.24966666666666676</v>
      </c>
      <c r="J5" s="437"/>
      <c r="K5" s="438" t="s">
        <v>258</v>
      </c>
      <c r="L5" s="436"/>
      <c r="M5" s="437">
        <f>AL46</f>
        <v>0.32433333333333331</v>
      </c>
      <c r="N5" s="437"/>
      <c r="O5" s="436" t="s">
        <v>258</v>
      </c>
      <c r="P5" s="436"/>
      <c r="Q5" s="437">
        <f>AN46</f>
        <v>0.25987499999999997</v>
      </c>
      <c r="R5" s="437"/>
      <c r="S5" s="436" t="s">
        <v>258</v>
      </c>
      <c r="T5" s="436"/>
      <c r="U5" s="437">
        <f>AP46</f>
        <v>0.21505555555555553</v>
      </c>
      <c r="V5" s="437"/>
      <c r="W5" s="436" t="s">
        <v>258</v>
      </c>
      <c r="X5" s="436"/>
      <c r="Y5" s="437">
        <f>AR46</f>
        <v>0.24383333333333329</v>
      </c>
      <c r="Z5" s="437"/>
      <c r="AA5" s="436" t="s">
        <v>258</v>
      </c>
      <c r="AB5" s="436"/>
      <c r="AC5" s="437">
        <f>AT46</f>
        <v>0.26599999999999996</v>
      </c>
      <c r="AD5" s="437"/>
      <c r="AE5" s="36">
        <f>AI47</f>
        <v>0.27348055555555562</v>
      </c>
      <c r="AF5" s="431"/>
      <c r="AG5" s="432"/>
      <c r="AH5" s="439">
        <v>5000</v>
      </c>
      <c r="AI5" s="439"/>
      <c r="AJ5" s="439">
        <v>6000</v>
      </c>
      <c r="AK5" s="439"/>
      <c r="AL5" s="439">
        <v>6000</v>
      </c>
      <c r="AM5" s="439"/>
      <c r="AN5" s="439">
        <v>8000</v>
      </c>
      <c r="AO5" s="439"/>
      <c r="AP5" s="439">
        <v>12000</v>
      </c>
      <c r="AQ5" s="439"/>
      <c r="AR5" s="439">
        <v>12000</v>
      </c>
      <c r="AS5" s="439"/>
      <c r="AT5" s="439">
        <v>7000</v>
      </c>
      <c r="AU5" s="439"/>
      <c r="AV5" s="35"/>
      <c r="AW5" s="37"/>
    </row>
    <row r="6" spans="1:49" ht="14.25" customHeight="1" thickBot="1" x14ac:dyDescent="0.3">
      <c r="A6" s="424"/>
      <c r="B6" s="426"/>
      <c r="C6" s="221"/>
      <c r="D6" s="222"/>
      <c r="E6" s="223"/>
      <c r="F6" s="224"/>
      <c r="G6" s="221"/>
      <c r="H6" s="222"/>
      <c r="I6" s="223"/>
      <c r="J6" s="224"/>
      <c r="K6" s="221"/>
      <c r="L6" s="222"/>
      <c r="M6" s="223"/>
      <c r="N6" s="224"/>
      <c r="O6" s="221"/>
      <c r="P6" s="222"/>
      <c r="Q6" s="223"/>
      <c r="R6" s="224"/>
      <c r="S6" s="221"/>
      <c r="T6" s="222"/>
      <c r="U6" s="223"/>
      <c r="V6" s="224"/>
      <c r="W6" s="221"/>
      <c r="X6" s="222"/>
      <c r="Y6" s="223"/>
      <c r="Z6" s="224"/>
      <c r="AA6" s="221"/>
      <c r="AB6" s="222"/>
      <c r="AC6" s="223"/>
      <c r="AD6" s="224"/>
      <c r="AE6" s="38"/>
      <c r="AF6" s="431"/>
      <c r="AG6" s="432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35"/>
      <c r="AW6" s="37"/>
    </row>
    <row r="7" spans="1:49" ht="14.25" customHeight="1" thickBot="1" x14ac:dyDescent="0.3">
      <c r="A7" s="424"/>
      <c r="B7" s="426"/>
      <c r="C7" s="225"/>
      <c r="D7" s="226"/>
      <c r="E7" s="227"/>
      <c r="F7" s="228"/>
      <c r="G7" s="221"/>
      <c r="H7" s="222"/>
      <c r="I7" s="223"/>
      <c r="J7" s="224"/>
      <c r="K7" s="229"/>
      <c r="L7" s="222"/>
      <c r="M7" s="223"/>
      <c r="N7" s="224"/>
      <c r="O7" s="221"/>
      <c r="P7" s="222"/>
      <c r="Q7" s="223"/>
      <c r="R7" s="224"/>
      <c r="S7" s="221"/>
      <c r="T7" s="222"/>
      <c r="U7" s="223"/>
      <c r="V7" s="224"/>
      <c r="W7" s="221"/>
      <c r="X7" s="222"/>
      <c r="Y7" s="223"/>
      <c r="Z7" s="224"/>
      <c r="AA7" s="221"/>
      <c r="AB7" s="222"/>
      <c r="AC7" s="223"/>
      <c r="AD7" s="224"/>
      <c r="AE7" s="38"/>
      <c r="AF7" s="431"/>
      <c r="AG7" s="432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35"/>
      <c r="AW7" s="37"/>
    </row>
    <row r="8" spans="1:49" ht="14.25" customHeight="1" thickBot="1" x14ac:dyDescent="0.3">
      <c r="A8" s="424"/>
      <c r="B8" s="426"/>
      <c r="C8" s="225"/>
      <c r="D8" s="226"/>
      <c r="E8" s="227"/>
      <c r="F8" s="228"/>
      <c r="G8" s="221"/>
      <c r="H8" s="222"/>
      <c r="I8" s="223"/>
      <c r="J8" s="224"/>
      <c r="K8" s="229"/>
      <c r="L8" s="222"/>
      <c r="M8" s="223"/>
      <c r="N8" s="224"/>
      <c r="O8" s="221"/>
      <c r="P8" s="222"/>
      <c r="Q8" s="223"/>
      <c r="R8" s="224"/>
      <c r="S8" s="221"/>
      <c r="T8" s="222"/>
      <c r="U8" s="223"/>
      <c r="V8" s="224"/>
      <c r="W8" s="221"/>
      <c r="X8" s="222"/>
      <c r="Y8" s="223"/>
      <c r="Z8" s="224"/>
      <c r="AA8" s="221"/>
      <c r="AB8" s="222"/>
      <c r="AC8" s="223"/>
      <c r="AD8" s="224"/>
      <c r="AE8" s="38"/>
      <c r="AF8" s="431"/>
      <c r="AG8" s="432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35"/>
      <c r="AW8" s="37"/>
    </row>
    <row r="9" spans="1:49" ht="14.25" customHeight="1" thickBot="1" x14ac:dyDescent="0.3">
      <c r="A9" s="424"/>
      <c r="B9" s="427"/>
      <c r="C9" s="447" t="s">
        <v>259</v>
      </c>
      <c r="D9" s="447"/>
      <c r="E9" s="448" t="s">
        <v>260</v>
      </c>
      <c r="F9" s="448"/>
      <c r="G9" s="449" t="s">
        <v>259</v>
      </c>
      <c r="H9" s="449"/>
      <c r="I9" s="450" t="s">
        <v>260</v>
      </c>
      <c r="J9" s="450"/>
      <c r="K9" s="451" t="s">
        <v>259</v>
      </c>
      <c r="L9" s="449"/>
      <c r="M9" s="450" t="s">
        <v>260</v>
      </c>
      <c r="N9" s="450"/>
      <c r="O9" s="449" t="s">
        <v>259</v>
      </c>
      <c r="P9" s="449"/>
      <c r="Q9" s="450" t="s">
        <v>260</v>
      </c>
      <c r="R9" s="450"/>
      <c r="S9" s="452" t="s">
        <v>259</v>
      </c>
      <c r="T9" s="452"/>
      <c r="U9" s="453" t="s">
        <v>260</v>
      </c>
      <c r="V9" s="453"/>
      <c r="W9" s="452" t="s">
        <v>259</v>
      </c>
      <c r="X9" s="452"/>
      <c r="Y9" s="453" t="s">
        <v>260</v>
      </c>
      <c r="Z9" s="453"/>
      <c r="AA9" s="449" t="s">
        <v>259</v>
      </c>
      <c r="AB9" s="449"/>
      <c r="AC9" s="450" t="s">
        <v>260</v>
      </c>
      <c r="AD9" s="450"/>
      <c r="AE9" s="38" t="s">
        <v>261</v>
      </c>
      <c r="AF9" s="431"/>
      <c r="AG9" s="432"/>
      <c r="AH9" s="39" t="s">
        <v>259</v>
      </c>
      <c r="AI9" s="40" t="s">
        <v>260</v>
      </c>
      <c r="AJ9" s="39" t="s">
        <v>259</v>
      </c>
      <c r="AK9" s="40" t="s">
        <v>260</v>
      </c>
      <c r="AL9" s="39" t="s">
        <v>259</v>
      </c>
      <c r="AM9" s="40" t="s">
        <v>260</v>
      </c>
      <c r="AN9" s="39" t="s">
        <v>259</v>
      </c>
      <c r="AO9" s="40" t="s">
        <v>260</v>
      </c>
      <c r="AP9" s="39" t="s">
        <v>259</v>
      </c>
      <c r="AQ9" s="40" t="s">
        <v>260</v>
      </c>
      <c r="AR9" s="39" t="s">
        <v>259</v>
      </c>
      <c r="AS9" s="40" t="s">
        <v>260</v>
      </c>
      <c r="AT9" s="39" t="s">
        <v>259</v>
      </c>
      <c r="AU9" s="40" t="s">
        <v>260</v>
      </c>
      <c r="AV9" s="31"/>
    </row>
    <row r="10" spans="1:49" x14ac:dyDescent="0.25">
      <c r="A10" s="213"/>
      <c r="B10" s="231" t="s">
        <v>397</v>
      </c>
      <c r="C10" s="243"/>
      <c r="D10" s="244"/>
      <c r="E10" s="244"/>
      <c r="F10" s="245"/>
      <c r="G10" s="243"/>
      <c r="H10" s="244"/>
      <c r="I10" s="244"/>
      <c r="J10" s="245"/>
      <c r="K10" s="243"/>
      <c r="L10" s="244"/>
      <c r="M10" s="244"/>
      <c r="N10" s="245"/>
      <c r="O10" s="243"/>
      <c r="P10" s="244"/>
      <c r="Q10" s="244"/>
      <c r="R10" s="245"/>
      <c r="S10" s="243"/>
      <c r="T10" s="244"/>
      <c r="U10" s="244"/>
      <c r="V10" s="245"/>
      <c r="W10" s="243"/>
      <c r="X10" s="244"/>
      <c r="Y10" s="244"/>
      <c r="Z10" s="245"/>
      <c r="AA10" s="217"/>
      <c r="AB10" s="214"/>
      <c r="AC10" s="214"/>
      <c r="AD10" s="215"/>
      <c r="AE10" s="237"/>
      <c r="AF10" s="193"/>
      <c r="AG10" s="432"/>
      <c r="AH10" s="191">
        <f t="shared" ref="AH10:AH18" si="0">IF(ISERROR(VALUE((MOD(D10-C10,1))))=TRUE,0,MOD(D10-C10,1))</f>
        <v>0</v>
      </c>
      <c r="AI10" s="191">
        <f t="shared" ref="AI10:AI18" si="1">IF(ISERROR(VALUE((MOD(F10-E10,1))))=TRUE,0,MOD(F10-E10,1))</f>
        <v>0</v>
      </c>
      <c r="AJ10" s="191">
        <f t="shared" ref="AJ10:AJ18" si="2">IF(ISERROR(VALUE((MOD(H10-G10,1))))=TRUE,0,MOD(H10-G10,1))</f>
        <v>0</v>
      </c>
      <c r="AK10" s="191">
        <f t="shared" ref="AK10:AK18" si="3">IF(ISERROR(VALUE((MOD(J10-I10,1))))=TRUE,0,MOD(J10-I10,1))</f>
        <v>0</v>
      </c>
      <c r="AL10" s="191">
        <f t="shared" ref="AL10:AL18" si="4">IF(ISERROR(VALUE((MOD(L10-K10,1))))=TRUE,0,MOD(L10-K10,1))</f>
        <v>0</v>
      </c>
      <c r="AM10" s="191">
        <f t="shared" ref="AM10:AM18" si="5">IF(ISERROR(VALUE((MOD(N10-M10,1))))=TRUE,0,MOD(N10-M10,1))</f>
        <v>0</v>
      </c>
      <c r="AN10" s="191">
        <f t="shared" ref="AN10:AN18" si="6">IF(ISERROR(VALUE((MOD(P10-O10,1))))=TRUE,0,MOD(P10-O10,1))</f>
        <v>0</v>
      </c>
      <c r="AO10" s="191">
        <f t="shared" ref="AO10:AO18" si="7">IF(ISERROR(VALUE((MOD(R10-Q10,1))))=TRUE,0,MOD(R10-Q10,1))</f>
        <v>0</v>
      </c>
      <c r="AP10" s="191">
        <f t="shared" ref="AP10:AP18" si="8">IF(ISERROR(VALUE((MOD(T10-S10,1))))=TRUE,0,MOD(T10-S10,1))</f>
        <v>0</v>
      </c>
      <c r="AQ10" s="191">
        <f t="shared" ref="AQ10:AQ18" si="9">IF(ISERROR(VALUE((MOD(V10-U10,1))))=TRUE,0,MOD(V10-U10,1))</f>
        <v>0</v>
      </c>
      <c r="AR10" s="191">
        <f t="shared" ref="AR10:AR18" si="10">IF(ISERROR(VALUE((MOD(X10-W10,1))))=TRUE,0,MOD(X10-W10,1))</f>
        <v>0</v>
      </c>
      <c r="AS10" s="191">
        <f t="shared" ref="AS10:AS18" si="11">IF(ISERROR(VALUE((MOD(Z10-Y10,1))))=TRUE,0,MOD(Z10-Y10,1))</f>
        <v>0</v>
      </c>
      <c r="AT10" s="191">
        <f t="shared" ref="AT10:AT18" si="12">IF(ISERROR(VALUE((MOD(AB10-AA10,1))))=TRUE,0,MOD(AB10-AA10,1))</f>
        <v>0</v>
      </c>
      <c r="AU10" s="191">
        <f t="shared" ref="AU10:AU18" si="13">IF(ISERROR(VALUE((MOD(AD10-AC10,1))))=TRUE,0,MOD(AD10-AC10,1))</f>
        <v>0</v>
      </c>
      <c r="AV10" s="31"/>
    </row>
    <row r="11" spans="1:49" x14ac:dyDescent="0.25">
      <c r="A11" s="213"/>
      <c r="B11" s="198" t="s">
        <v>377</v>
      </c>
      <c r="C11" s="217"/>
      <c r="D11" s="214"/>
      <c r="E11" s="214">
        <v>0.45833333333333331</v>
      </c>
      <c r="F11" s="215">
        <v>0.95833333333333337</v>
      </c>
      <c r="G11" s="217"/>
      <c r="H11" s="214"/>
      <c r="I11" s="214">
        <v>0.45833333333333331</v>
      </c>
      <c r="J11" s="215">
        <v>0.95833333333333337</v>
      </c>
      <c r="K11" s="217"/>
      <c r="L11" s="214"/>
      <c r="M11" s="214">
        <v>0.45833333333333331</v>
      </c>
      <c r="N11" s="215">
        <v>0.95833333333333337</v>
      </c>
      <c r="O11" s="217"/>
      <c r="P11" s="214"/>
      <c r="Q11" s="214">
        <v>0.45833333333333331</v>
      </c>
      <c r="R11" s="215">
        <v>0.95833333333333337</v>
      </c>
      <c r="S11" s="217">
        <v>0.45833333333333331</v>
      </c>
      <c r="T11" s="214">
        <v>0.95833333333333337</v>
      </c>
      <c r="U11" s="214"/>
      <c r="V11" s="215"/>
      <c r="W11" s="217"/>
      <c r="X11" s="214"/>
      <c r="Y11" s="214">
        <v>0.45833333333333331</v>
      </c>
      <c r="Z11" s="215">
        <v>0.97916666666666663</v>
      </c>
      <c r="AA11" s="217"/>
      <c r="AB11" s="214"/>
      <c r="AC11" s="214">
        <v>0.45833333333333331</v>
      </c>
      <c r="AD11" s="215">
        <v>0.95833333333333337</v>
      </c>
      <c r="AE11" s="238">
        <f t="shared" ref="AE11:AE27" si="14">AH11+AI11+AJ11+AK11++AL11+AM11+AN11+AO11+AP11++AQ11+AR11+AS11+AT11+AU11</f>
        <v>3.520833333333333</v>
      </c>
      <c r="AF11" s="193"/>
      <c r="AG11" s="432"/>
      <c r="AH11" s="191">
        <f t="shared" si="0"/>
        <v>0</v>
      </c>
      <c r="AI11" s="191">
        <f t="shared" si="1"/>
        <v>0.5</v>
      </c>
      <c r="AJ11" s="191">
        <f t="shared" si="2"/>
        <v>0</v>
      </c>
      <c r="AK11" s="191">
        <f t="shared" si="3"/>
        <v>0.5</v>
      </c>
      <c r="AL11" s="191">
        <f t="shared" si="4"/>
        <v>0</v>
      </c>
      <c r="AM11" s="191">
        <f t="shared" si="5"/>
        <v>0.5</v>
      </c>
      <c r="AN11" s="191">
        <f t="shared" si="6"/>
        <v>0</v>
      </c>
      <c r="AO11" s="191">
        <f t="shared" si="7"/>
        <v>0.5</v>
      </c>
      <c r="AP11" s="191">
        <f t="shared" si="8"/>
        <v>0.5</v>
      </c>
      <c r="AQ11" s="191">
        <f t="shared" si="9"/>
        <v>0</v>
      </c>
      <c r="AR11" s="191">
        <f t="shared" si="10"/>
        <v>0</v>
      </c>
      <c r="AS11" s="191">
        <f t="shared" si="11"/>
        <v>0.52083333333333326</v>
      </c>
      <c r="AT11" s="191">
        <f>IF(ISERROR(VALUE((MOD(AB11-AA11,1))))=TRUE,0,MOD(AB11-AA11,1))</f>
        <v>0</v>
      </c>
      <c r="AU11" s="191">
        <f>IF(ISERROR(VALUE((MOD(AD11-AC11,1))))=TRUE,0,MOD(AD11-AC11,1))</f>
        <v>0.5</v>
      </c>
      <c r="AV11" s="31"/>
    </row>
    <row r="12" spans="1:49" ht="22.5" x14ac:dyDescent="0.25">
      <c r="A12" s="213"/>
      <c r="B12" s="198" t="s">
        <v>370</v>
      </c>
      <c r="C12" s="236">
        <v>0.45833333333333331</v>
      </c>
      <c r="D12" s="218">
        <v>0.58333333333333337</v>
      </c>
      <c r="E12" s="216">
        <v>0.72916666666666663</v>
      </c>
      <c r="F12" s="215">
        <v>0.95833333333333337</v>
      </c>
      <c r="G12" s="236" t="s">
        <v>42</v>
      </c>
      <c r="H12" s="218" t="s">
        <v>42</v>
      </c>
      <c r="I12" s="216" t="s">
        <v>42</v>
      </c>
      <c r="J12" s="215" t="s">
        <v>42</v>
      </c>
      <c r="K12" s="236"/>
      <c r="L12" s="218"/>
      <c r="M12" s="216">
        <v>0.625</v>
      </c>
      <c r="N12" s="215">
        <v>0.97916666666666663</v>
      </c>
      <c r="O12" s="236" t="s">
        <v>42</v>
      </c>
      <c r="P12" s="218" t="s">
        <v>42</v>
      </c>
      <c r="Q12" s="216" t="s">
        <v>42</v>
      </c>
      <c r="R12" s="215" t="s">
        <v>42</v>
      </c>
      <c r="S12" s="236">
        <v>0.45833333333333331</v>
      </c>
      <c r="T12" s="218">
        <v>0.58333333333333337</v>
      </c>
      <c r="U12" s="216">
        <v>0.70833333333333337</v>
      </c>
      <c r="V12" s="215">
        <v>2.0833333333333332E-2</v>
      </c>
      <c r="W12" s="217"/>
      <c r="X12" s="214"/>
      <c r="Y12" s="214">
        <v>0.45833333333333331</v>
      </c>
      <c r="Z12" s="215">
        <v>2.0833333333333332E-2</v>
      </c>
      <c r="AA12" s="217"/>
      <c r="AB12" s="214"/>
      <c r="AC12" s="214">
        <v>0.54166666666666663</v>
      </c>
      <c r="AD12" s="215">
        <v>0.97916666666666663</v>
      </c>
      <c r="AE12" s="238">
        <f t="shared" si="14"/>
        <v>2.0208333333333335</v>
      </c>
      <c r="AF12" s="240" t="s">
        <v>385</v>
      </c>
      <c r="AG12" s="432"/>
      <c r="AH12" s="191">
        <f>IF(ISERROR(VALUE((MOD(D12-#REF!,1))))=TRUE,0,MOD(D12-#REF!,1))</f>
        <v>0</v>
      </c>
      <c r="AI12" s="191">
        <f t="shared" si="1"/>
        <v>0.22916666666666674</v>
      </c>
      <c r="AJ12" s="191">
        <f t="shared" si="2"/>
        <v>0</v>
      </c>
      <c r="AK12" s="191">
        <f t="shared" si="3"/>
        <v>0</v>
      </c>
      <c r="AL12" s="191">
        <f t="shared" si="4"/>
        <v>0</v>
      </c>
      <c r="AM12" s="191">
        <f t="shared" si="5"/>
        <v>0.35416666666666663</v>
      </c>
      <c r="AN12" s="191">
        <f t="shared" si="6"/>
        <v>0</v>
      </c>
      <c r="AO12" s="191">
        <f t="shared" si="7"/>
        <v>0</v>
      </c>
      <c r="AP12" s="191">
        <f t="shared" si="8"/>
        <v>0.12500000000000006</v>
      </c>
      <c r="AQ12" s="191">
        <f t="shared" si="9"/>
        <v>0.3125</v>
      </c>
      <c r="AR12" s="191">
        <f t="shared" si="10"/>
        <v>0</v>
      </c>
      <c r="AS12" s="191">
        <f t="shared" si="11"/>
        <v>0.5625</v>
      </c>
      <c r="AT12" s="191">
        <f t="shared" si="12"/>
        <v>0</v>
      </c>
      <c r="AU12" s="191">
        <f t="shared" si="13"/>
        <v>0.4375</v>
      </c>
      <c r="AV12" s="31"/>
    </row>
    <row r="13" spans="1:49" x14ac:dyDescent="0.25">
      <c r="A13" s="213"/>
      <c r="B13" s="199" t="s">
        <v>375</v>
      </c>
      <c r="C13" s="217" t="s">
        <v>42</v>
      </c>
      <c r="D13" s="214" t="s">
        <v>42</v>
      </c>
      <c r="E13" s="214" t="s">
        <v>42</v>
      </c>
      <c r="F13" s="215" t="s">
        <v>42</v>
      </c>
      <c r="G13" s="217"/>
      <c r="H13" s="214"/>
      <c r="I13" s="214">
        <v>0.45833333333333331</v>
      </c>
      <c r="J13" s="215">
        <v>0.9375</v>
      </c>
      <c r="K13" s="217">
        <v>0.45833333333333331</v>
      </c>
      <c r="L13" s="214">
        <v>0.875</v>
      </c>
      <c r="M13" s="214"/>
      <c r="N13" s="215"/>
      <c r="O13" s="217" t="s">
        <v>42</v>
      </c>
      <c r="P13" s="214" t="s">
        <v>42</v>
      </c>
      <c r="Q13" s="214" t="s">
        <v>42</v>
      </c>
      <c r="R13" s="215" t="s">
        <v>42</v>
      </c>
      <c r="S13" s="217"/>
      <c r="T13" s="214"/>
      <c r="U13" s="216">
        <v>0.58333333333333337</v>
      </c>
      <c r="V13" s="235">
        <v>2.0833333333333332E-2</v>
      </c>
      <c r="W13" s="217"/>
      <c r="X13" s="214"/>
      <c r="Y13" s="214">
        <v>0.70833333333333337</v>
      </c>
      <c r="Z13" s="215">
        <v>0.9375</v>
      </c>
      <c r="AA13" s="217">
        <v>0.375</v>
      </c>
      <c r="AB13" s="214">
        <v>0.875</v>
      </c>
      <c r="AC13" s="218" t="s">
        <v>42</v>
      </c>
      <c r="AD13" s="219" t="s">
        <v>42</v>
      </c>
      <c r="AE13" s="238">
        <f t="shared" si="14"/>
        <v>2.0625</v>
      </c>
      <c r="AF13" s="238"/>
      <c r="AG13" s="432"/>
      <c r="AH13" s="191">
        <f>IF(ISERROR(VALUE((MOD(D13-C12,1))))=TRUE,0,MOD(D13-C12,1))</f>
        <v>0</v>
      </c>
      <c r="AI13" s="191">
        <f t="shared" si="1"/>
        <v>0</v>
      </c>
      <c r="AJ13" s="191">
        <f t="shared" si="2"/>
        <v>0</v>
      </c>
      <c r="AK13" s="191">
        <f t="shared" si="3"/>
        <v>0.47916666666666669</v>
      </c>
      <c r="AL13" s="191">
        <f t="shared" si="4"/>
        <v>0.41666666666666669</v>
      </c>
      <c r="AM13" s="191">
        <f t="shared" si="5"/>
        <v>0</v>
      </c>
      <c r="AN13" s="191">
        <f t="shared" si="6"/>
        <v>0</v>
      </c>
      <c r="AO13" s="191">
        <f t="shared" si="7"/>
        <v>0</v>
      </c>
      <c r="AP13" s="191">
        <f t="shared" si="8"/>
        <v>0</v>
      </c>
      <c r="AQ13" s="191">
        <f t="shared" si="9"/>
        <v>0.4375</v>
      </c>
      <c r="AR13" s="191">
        <f t="shared" si="10"/>
        <v>0</v>
      </c>
      <c r="AS13" s="191">
        <f t="shared" si="11"/>
        <v>0.22916666666666663</v>
      </c>
      <c r="AT13" s="191">
        <f t="shared" si="12"/>
        <v>0.5</v>
      </c>
      <c r="AU13" s="191">
        <f t="shared" si="13"/>
        <v>0</v>
      </c>
      <c r="AV13" s="31"/>
    </row>
    <row r="14" spans="1:49" x14ac:dyDescent="0.25">
      <c r="A14" s="213"/>
      <c r="B14" s="248" t="s">
        <v>388</v>
      </c>
      <c r="C14" s="217">
        <v>0.41666666666666669</v>
      </c>
      <c r="D14" s="214">
        <v>0.58333333333333337</v>
      </c>
      <c r="E14" s="214">
        <v>0.72916666666666663</v>
      </c>
      <c r="F14" s="215">
        <v>0.97916666666666663</v>
      </c>
      <c r="G14" s="216" t="s">
        <v>42</v>
      </c>
      <c r="H14" s="216" t="s">
        <v>42</v>
      </c>
      <c r="I14" s="216" t="s">
        <v>42</v>
      </c>
      <c r="J14" s="235" t="s">
        <v>42</v>
      </c>
      <c r="K14" s="216">
        <v>0.41666666666666669</v>
      </c>
      <c r="L14" s="216">
        <v>0.58333333333333337</v>
      </c>
      <c r="M14" s="216">
        <v>0.72916666666666663</v>
      </c>
      <c r="N14" s="235">
        <v>0.97916666666666663</v>
      </c>
      <c r="O14" s="217"/>
      <c r="P14" s="214"/>
      <c r="Q14" s="214">
        <v>0.45833333333333331</v>
      </c>
      <c r="R14" s="215">
        <v>0.9375</v>
      </c>
      <c r="S14" s="216">
        <v>0.45833333333333331</v>
      </c>
      <c r="T14" s="216">
        <v>0.58333333333333337</v>
      </c>
      <c r="U14" s="214">
        <v>0.70833333333333337</v>
      </c>
      <c r="V14" s="215">
        <v>0.97916666666666663</v>
      </c>
      <c r="W14" s="217"/>
      <c r="X14" s="214"/>
      <c r="Y14" s="214">
        <v>0.54166666666666663</v>
      </c>
      <c r="Z14" s="215">
        <v>2.0833333333333332E-2</v>
      </c>
      <c r="AA14" s="217" t="s">
        <v>42</v>
      </c>
      <c r="AB14" s="214" t="s">
        <v>42</v>
      </c>
      <c r="AC14" s="218" t="s">
        <v>42</v>
      </c>
      <c r="AD14" s="219" t="s">
        <v>42</v>
      </c>
      <c r="AE14" s="249">
        <f t="shared" si="14"/>
        <v>2.1875</v>
      </c>
      <c r="AF14" s="238">
        <v>0</v>
      </c>
      <c r="AG14" s="41"/>
      <c r="AH14" s="191">
        <f t="shared" si="0"/>
        <v>0.16666666666666669</v>
      </c>
      <c r="AI14" s="191">
        <f t="shared" si="1"/>
        <v>0.25</v>
      </c>
      <c r="AJ14" s="191">
        <f t="shared" si="2"/>
        <v>0</v>
      </c>
      <c r="AK14" s="191">
        <f t="shared" si="3"/>
        <v>0</v>
      </c>
      <c r="AL14" s="191">
        <f t="shared" si="4"/>
        <v>0.16666666666666669</v>
      </c>
      <c r="AM14" s="191">
        <f t="shared" si="5"/>
        <v>0.25</v>
      </c>
      <c r="AN14" s="191">
        <f t="shared" si="6"/>
        <v>0</v>
      </c>
      <c r="AO14" s="191">
        <f t="shared" si="7"/>
        <v>0.47916666666666669</v>
      </c>
      <c r="AP14" s="191">
        <f t="shared" si="8"/>
        <v>0.12500000000000006</v>
      </c>
      <c r="AQ14" s="191">
        <f t="shared" si="9"/>
        <v>0.27083333333333326</v>
      </c>
      <c r="AR14" s="191">
        <f t="shared" si="10"/>
        <v>0</v>
      </c>
      <c r="AS14" s="191">
        <f t="shared" si="11"/>
        <v>0.47916666666666674</v>
      </c>
      <c r="AT14" s="191">
        <f t="shared" si="12"/>
        <v>0</v>
      </c>
      <c r="AU14" s="191">
        <f t="shared" si="13"/>
        <v>0</v>
      </c>
      <c r="AV14" s="31"/>
    </row>
    <row r="15" spans="1:49" ht="15" customHeight="1" x14ac:dyDescent="0.25">
      <c r="A15" s="446"/>
      <c r="B15" s="250" t="s">
        <v>374</v>
      </c>
      <c r="C15" s="217" t="s">
        <v>42</v>
      </c>
      <c r="D15" s="214" t="s">
        <v>42</v>
      </c>
      <c r="E15" s="214" t="s">
        <v>42</v>
      </c>
      <c r="F15" s="215" t="s">
        <v>42</v>
      </c>
      <c r="G15" s="217">
        <v>0.41666666666666669</v>
      </c>
      <c r="H15" s="214">
        <v>0.58333333333333337</v>
      </c>
      <c r="I15" s="214">
        <v>0.72916666666666663</v>
      </c>
      <c r="J15" s="215">
        <v>0.95833333333333337</v>
      </c>
      <c r="K15" s="216"/>
      <c r="L15" s="216"/>
      <c r="M15" s="216">
        <v>0.70833333333333337</v>
      </c>
      <c r="N15" s="235">
        <v>0.97916666666666663</v>
      </c>
      <c r="O15" s="217" t="s">
        <v>42</v>
      </c>
      <c r="P15" s="214" t="s">
        <v>42</v>
      </c>
      <c r="Q15" s="214" t="s">
        <v>42</v>
      </c>
      <c r="R15" s="215" t="s">
        <v>42</v>
      </c>
      <c r="S15" s="217">
        <v>0.41666666666666669</v>
      </c>
      <c r="T15" s="214">
        <v>0.58333333333333337</v>
      </c>
      <c r="U15" s="214">
        <v>0.70833333333333337</v>
      </c>
      <c r="V15" s="215">
        <v>0.97916666666666663</v>
      </c>
      <c r="W15" s="217">
        <v>0.41666666666666669</v>
      </c>
      <c r="X15" s="214">
        <v>0.58333333333333337</v>
      </c>
      <c r="Y15" s="214">
        <v>0.70833333333333337</v>
      </c>
      <c r="Z15" s="215">
        <v>0.97916666666666663</v>
      </c>
      <c r="AA15" s="217"/>
      <c r="AB15" s="214"/>
      <c r="AC15" s="218">
        <v>0.45833333333333331</v>
      </c>
      <c r="AD15" s="219">
        <v>0.97916666666666663</v>
      </c>
      <c r="AE15" s="249">
        <f t="shared" si="14"/>
        <v>2.0625</v>
      </c>
      <c r="AF15" s="238">
        <v>0.64097222222222228</v>
      </c>
      <c r="AG15" s="41"/>
      <c r="AH15" s="191">
        <f t="shared" si="0"/>
        <v>0</v>
      </c>
      <c r="AI15" s="191">
        <f t="shared" si="1"/>
        <v>0</v>
      </c>
      <c r="AJ15" s="191">
        <f>IF(ISERROR(VALUE((MOD(H15-G15,1))))=TRUE,0,MOD(H15-G15,1))</f>
        <v>0.16666666666666669</v>
      </c>
      <c r="AK15" s="191">
        <f>IF(ISERROR(VALUE((MOD(J15-I15,1))))=TRUE,0,MOD(J15-I15,1))</f>
        <v>0.22916666666666674</v>
      </c>
      <c r="AL15" s="191">
        <f t="shared" si="4"/>
        <v>0</v>
      </c>
      <c r="AM15" s="191">
        <f t="shared" si="5"/>
        <v>0.27083333333333326</v>
      </c>
      <c r="AN15" s="191">
        <f t="shared" si="6"/>
        <v>0</v>
      </c>
      <c r="AO15" s="191">
        <f t="shared" si="7"/>
        <v>0</v>
      </c>
      <c r="AP15" s="191">
        <f t="shared" si="8"/>
        <v>0.16666666666666669</v>
      </c>
      <c r="AQ15" s="191">
        <f t="shared" si="9"/>
        <v>0.27083333333333326</v>
      </c>
      <c r="AR15" s="191">
        <f t="shared" si="10"/>
        <v>0.16666666666666669</v>
      </c>
      <c r="AS15" s="191">
        <f t="shared" si="11"/>
        <v>0.27083333333333326</v>
      </c>
      <c r="AT15" s="191">
        <f>IF(ISERROR(VALUE((MOD(AB15-AA15,1))))=TRUE,0,MOD(AB15-AA15,1))</f>
        <v>0</v>
      </c>
      <c r="AU15" s="191">
        <f>IF(ISERROR(VALUE((MOD(AD15-AC15,1))))=TRUE,0,MOD(AD15-AC15,1))</f>
        <v>0.52083333333333326</v>
      </c>
      <c r="AV15" s="31"/>
    </row>
    <row r="16" spans="1:49" ht="23.25" thickBot="1" x14ac:dyDescent="0.3">
      <c r="A16" s="446"/>
      <c r="B16" s="251" t="s">
        <v>381</v>
      </c>
      <c r="C16" s="217"/>
      <c r="D16" s="214"/>
      <c r="E16" s="214">
        <v>0.45833333333333331</v>
      </c>
      <c r="F16" s="215">
        <v>0.9375</v>
      </c>
      <c r="G16" s="216" t="s">
        <v>42</v>
      </c>
      <c r="H16" s="216" t="s">
        <v>42</v>
      </c>
      <c r="I16" s="216" t="s">
        <v>42</v>
      </c>
      <c r="J16" s="235" t="s">
        <v>42</v>
      </c>
      <c r="K16" s="216" t="s">
        <v>42</v>
      </c>
      <c r="L16" s="216" t="s">
        <v>42</v>
      </c>
      <c r="M16" s="216" t="s">
        <v>42</v>
      </c>
      <c r="N16" s="235" t="s">
        <v>42</v>
      </c>
      <c r="O16" s="217">
        <v>0.41666666666666669</v>
      </c>
      <c r="P16" s="214">
        <v>0.58333333333333337</v>
      </c>
      <c r="Q16" s="214">
        <v>0.72916666666666663</v>
      </c>
      <c r="R16" s="215">
        <v>0.97916666666666663</v>
      </c>
      <c r="S16" s="216" t="s">
        <v>42</v>
      </c>
      <c r="T16" s="216" t="s">
        <v>42</v>
      </c>
      <c r="U16" s="216" t="s">
        <v>42</v>
      </c>
      <c r="V16" s="235" t="s">
        <v>42</v>
      </c>
      <c r="W16" s="217"/>
      <c r="X16" s="216"/>
      <c r="Y16" s="216">
        <v>0.58333333333333337</v>
      </c>
      <c r="Z16" s="235">
        <v>2.0833333333333332E-2</v>
      </c>
      <c r="AA16" s="216" t="s">
        <v>42</v>
      </c>
      <c r="AB16" s="216" t="s">
        <v>42</v>
      </c>
      <c r="AC16" s="264" t="s">
        <v>42</v>
      </c>
      <c r="AD16" s="265" t="s">
        <v>42</v>
      </c>
      <c r="AE16" s="249">
        <f t="shared" si="14"/>
        <v>1.3333333333333335</v>
      </c>
      <c r="AF16" s="239" t="s">
        <v>386</v>
      </c>
      <c r="AG16" s="41"/>
      <c r="AH16" s="191">
        <f t="shared" si="0"/>
        <v>0</v>
      </c>
      <c r="AI16" s="191">
        <f t="shared" si="1"/>
        <v>0.47916666666666669</v>
      </c>
      <c r="AJ16" s="191">
        <f t="shared" si="2"/>
        <v>0</v>
      </c>
      <c r="AK16" s="191">
        <f t="shared" si="3"/>
        <v>0</v>
      </c>
      <c r="AL16" s="191">
        <f t="shared" si="4"/>
        <v>0</v>
      </c>
      <c r="AM16" s="191">
        <f t="shared" si="5"/>
        <v>0</v>
      </c>
      <c r="AN16" s="191">
        <f t="shared" si="6"/>
        <v>0.16666666666666669</v>
      </c>
      <c r="AO16" s="191">
        <f t="shared" si="7"/>
        <v>0.25</v>
      </c>
      <c r="AP16" s="191">
        <f t="shared" si="8"/>
        <v>0</v>
      </c>
      <c r="AQ16" s="191">
        <f t="shared" si="9"/>
        <v>0</v>
      </c>
      <c r="AR16" s="191">
        <f t="shared" si="10"/>
        <v>0</v>
      </c>
      <c r="AS16" s="191">
        <f t="shared" si="11"/>
        <v>0.4375</v>
      </c>
      <c r="AT16" s="191">
        <f t="shared" si="12"/>
        <v>0</v>
      </c>
      <c r="AU16" s="191">
        <f t="shared" si="13"/>
        <v>0</v>
      </c>
      <c r="AV16" s="31"/>
    </row>
    <row r="17" spans="1:48" x14ac:dyDescent="0.25">
      <c r="A17" s="446"/>
      <c r="B17" s="253" t="s">
        <v>389</v>
      </c>
      <c r="C17" s="217" t="s">
        <v>42</v>
      </c>
      <c r="D17" s="214" t="s">
        <v>42</v>
      </c>
      <c r="E17" s="214" t="s">
        <v>42</v>
      </c>
      <c r="F17" s="215" t="s">
        <v>42</v>
      </c>
      <c r="G17" s="217">
        <v>0.45833333333333331</v>
      </c>
      <c r="H17" s="214">
        <v>0.58333333333333337</v>
      </c>
      <c r="I17" s="214">
        <v>0.72916666666666663</v>
      </c>
      <c r="J17" s="215">
        <v>0.97916666666666663</v>
      </c>
      <c r="K17" s="217" t="s">
        <v>42</v>
      </c>
      <c r="L17" s="214" t="s">
        <v>42</v>
      </c>
      <c r="M17" s="214" t="s">
        <v>42</v>
      </c>
      <c r="N17" s="215" t="s">
        <v>42</v>
      </c>
      <c r="O17" s="217">
        <v>8</v>
      </c>
      <c r="P17" s="214">
        <v>0.58333333333333337</v>
      </c>
      <c r="Q17" s="214">
        <v>0.70833333333333337</v>
      </c>
      <c r="R17" s="215">
        <v>0.97916666666666663</v>
      </c>
      <c r="S17" s="217"/>
      <c r="T17" s="214"/>
      <c r="U17" s="214">
        <v>0.66666666666666663</v>
      </c>
      <c r="V17" s="215">
        <v>0.97916666666666663</v>
      </c>
      <c r="W17" s="217"/>
      <c r="X17" s="214"/>
      <c r="Y17" s="214">
        <v>0.6875</v>
      </c>
      <c r="Z17" s="215">
        <v>0.9375</v>
      </c>
      <c r="AA17" s="217">
        <v>0.41666666666666669</v>
      </c>
      <c r="AB17" s="214">
        <v>0.58333333333333337</v>
      </c>
      <c r="AC17" s="214">
        <v>0.70833333333333337</v>
      </c>
      <c r="AD17" s="215">
        <v>0.97916666666666663</v>
      </c>
      <c r="AE17" s="249">
        <f t="shared" si="14"/>
        <v>2.2291666666666661</v>
      </c>
      <c r="AF17" s="238"/>
      <c r="AG17" s="41"/>
      <c r="AH17" s="191">
        <f t="shared" si="0"/>
        <v>0</v>
      </c>
      <c r="AI17" s="191">
        <f t="shared" si="1"/>
        <v>0</v>
      </c>
      <c r="AJ17" s="191">
        <f t="shared" si="2"/>
        <v>0.12500000000000006</v>
      </c>
      <c r="AK17" s="191">
        <f t="shared" si="3"/>
        <v>0.25</v>
      </c>
      <c r="AL17" s="191">
        <f t="shared" si="4"/>
        <v>0</v>
      </c>
      <c r="AM17" s="191">
        <f t="shared" si="5"/>
        <v>0</v>
      </c>
      <c r="AN17" s="191">
        <f t="shared" si="6"/>
        <v>0.58333333333333304</v>
      </c>
      <c r="AO17" s="191">
        <f t="shared" si="7"/>
        <v>0.27083333333333326</v>
      </c>
      <c r="AP17" s="191">
        <f t="shared" si="8"/>
        <v>0</v>
      </c>
      <c r="AQ17" s="191">
        <f t="shared" si="9"/>
        <v>0.3125</v>
      </c>
      <c r="AR17" s="191">
        <f t="shared" si="10"/>
        <v>0</v>
      </c>
      <c r="AS17" s="191">
        <f t="shared" si="11"/>
        <v>0.25</v>
      </c>
      <c r="AT17" s="191">
        <f t="shared" si="12"/>
        <v>0.16666666666666669</v>
      </c>
      <c r="AU17" s="191">
        <f t="shared" si="13"/>
        <v>0.27083333333333326</v>
      </c>
      <c r="AV17" s="31"/>
    </row>
    <row r="18" spans="1:48" x14ac:dyDescent="0.25">
      <c r="A18" s="446"/>
      <c r="B18" s="252" t="s">
        <v>382</v>
      </c>
      <c r="C18" s="236">
        <v>0.45833333333333331</v>
      </c>
      <c r="D18" s="218">
        <v>0.58333333333333337</v>
      </c>
      <c r="E18" s="216">
        <v>0.70833333333333337</v>
      </c>
      <c r="F18" s="215">
        <v>0.9375</v>
      </c>
      <c r="G18" s="236" t="s">
        <v>42</v>
      </c>
      <c r="H18" s="218" t="s">
        <v>42</v>
      </c>
      <c r="I18" s="216" t="s">
        <v>42</v>
      </c>
      <c r="J18" s="215" t="s">
        <v>42</v>
      </c>
      <c r="K18" s="236">
        <v>0.45833333333333331</v>
      </c>
      <c r="L18" s="218">
        <v>0.58333333333333337</v>
      </c>
      <c r="M18" s="216">
        <v>0.72916666666666663</v>
      </c>
      <c r="N18" s="215">
        <v>0.9375</v>
      </c>
      <c r="O18" s="236" t="s">
        <v>42</v>
      </c>
      <c r="P18" s="218" t="s">
        <v>42</v>
      </c>
      <c r="Q18" s="216" t="s">
        <v>42</v>
      </c>
      <c r="R18" s="215" t="s">
        <v>42</v>
      </c>
      <c r="S18" s="236">
        <v>0.45833333333333331</v>
      </c>
      <c r="T18" s="218">
        <v>0.58333333333333337</v>
      </c>
      <c r="U18" s="216">
        <v>0.70833333333333337</v>
      </c>
      <c r="V18" s="215">
        <v>0.97916666666666663</v>
      </c>
      <c r="W18" s="236">
        <v>0.45833333333333331</v>
      </c>
      <c r="X18" s="218">
        <v>0.58333333333333337</v>
      </c>
      <c r="Y18" s="216">
        <v>0.70833333333333337</v>
      </c>
      <c r="Z18" s="215">
        <v>0.97916666666666663</v>
      </c>
      <c r="AA18" s="236" t="s">
        <v>42</v>
      </c>
      <c r="AB18" s="218" t="s">
        <v>42</v>
      </c>
      <c r="AC18" s="216" t="s">
        <v>42</v>
      </c>
      <c r="AD18" s="215" t="s">
        <v>42</v>
      </c>
      <c r="AE18" s="249">
        <f t="shared" si="14"/>
        <v>1.4791666666666667</v>
      </c>
      <c r="AF18" s="239">
        <v>0.86111111111111116</v>
      </c>
      <c r="AG18" s="41"/>
      <c r="AH18" s="191">
        <f t="shared" si="0"/>
        <v>0.12500000000000006</v>
      </c>
      <c r="AI18" s="191">
        <f t="shared" si="1"/>
        <v>0.22916666666666663</v>
      </c>
      <c r="AJ18" s="191">
        <f t="shared" si="2"/>
        <v>0</v>
      </c>
      <c r="AK18" s="191">
        <f t="shared" si="3"/>
        <v>0</v>
      </c>
      <c r="AL18" s="191">
        <f t="shared" si="4"/>
        <v>0.12500000000000006</v>
      </c>
      <c r="AM18" s="191">
        <f t="shared" si="5"/>
        <v>0.20833333333333337</v>
      </c>
      <c r="AN18" s="191">
        <f t="shared" si="6"/>
        <v>0</v>
      </c>
      <c r="AO18" s="191">
        <f t="shared" si="7"/>
        <v>0</v>
      </c>
      <c r="AP18" s="191">
        <f t="shared" si="8"/>
        <v>0.12500000000000006</v>
      </c>
      <c r="AQ18" s="191">
        <f t="shared" si="9"/>
        <v>0.27083333333333326</v>
      </c>
      <c r="AR18" s="191">
        <f t="shared" si="10"/>
        <v>0.12500000000000006</v>
      </c>
      <c r="AS18" s="191">
        <f t="shared" si="11"/>
        <v>0.27083333333333326</v>
      </c>
      <c r="AT18" s="191">
        <f t="shared" si="12"/>
        <v>0</v>
      </c>
      <c r="AU18" s="191">
        <f t="shared" si="13"/>
        <v>0</v>
      </c>
      <c r="AV18" s="31"/>
    </row>
    <row r="19" spans="1:48" hidden="1" x14ac:dyDescent="0.25">
      <c r="A19" s="446"/>
      <c r="B19" s="252" t="s">
        <v>382</v>
      </c>
      <c r="C19" s="217"/>
      <c r="D19" s="214"/>
      <c r="E19" s="214">
        <v>0.45833333333333331</v>
      </c>
      <c r="F19" s="215">
        <v>0.97916666666666663</v>
      </c>
      <c r="G19" s="217" t="s">
        <v>42</v>
      </c>
      <c r="H19" s="214" t="s">
        <v>42</v>
      </c>
      <c r="I19" s="214" t="s">
        <v>42</v>
      </c>
      <c r="J19" s="215" t="s">
        <v>42</v>
      </c>
      <c r="K19" s="217" t="s">
        <v>42</v>
      </c>
      <c r="L19" s="214" t="s">
        <v>42</v>
      </c>
      <c r="M19" s="214" t="s">
        <v>42</v>
      </c>
      <c r="N19" s="215" t="s">
        <v>42</v>
      </c>
      <c r="O19" s="217">
        <v>0.45833333333333331</v>
      </c>
      <c r="P19" s="214">
        <v>0.58333333333333337</v>
      </c>
      <c r="Q19" s="214">
        <v>0.70833333333333337</v>
      </c>
      <c r="R19" s="215">
        <v>0.97916666666666663</v>
      </c>
      <c r="S19" s="217"/>
      <c r="T19" s="214"/>
      <c r="U19" s="214">
        <v>0.58333333333333337</v>
      </c>
      <c r="V19" s="215">
        <v>0.875</v>
      </c>
      <c r="W19" s="217"/>
      <c r="X19" s="214"/>
      <c r="Y19" s="214">
        <v>0.45833333333333331</v>
      </c>
      <c r="Z19" s="215">
        <v>0.97916666666666663</v>
      </c>
      <c r="AA19" s="217" t="s">
        <v>42</v>
      </c>
      <c r="AB19" s="214" t="s">
        <v>42</v>
      </c>
      <c r="AC19" s="214" t="s">
        <v>42</v>
      </c>
      <c r="AD19" s="235" t="s">
        <v>42</v>
      </c>
      <c r="AE19" s="249">
        <f t="shared" si="14"/>
        <v>1.7291666666666663</v>
      </c>
      <c r="AF19" s="238"/>
      <c r="AG19" s="41"/>
      <c r="AH19" s="191">
        <f>IF(ISERROR(VALUE((MOD(D19-C19,1))))=TRUE,0,MOD(D19-C19,1))</f>
        <v>0</v>
      </c>
      <c r="AI19" s="191">
        <f>IF(ISERROR(VALUE((MOD(F19-E19,1))))=TRUE,0,MOD(F19-E19,1))</f>
        <v>0.52083333333333326</v>
      </c>
      <c r="AJ19" s="191">
        <f>IF(ISERROR(VALUE((MOD(H19-G19,1))))=TRUE,0,MOD(H19-G19,1))</f>
        <v>0</v>
      </c>
      <c r="AK19" s="191">
        <f>IF(ISERROR(VALUE((MOD(J19-I19,1))))=TRUE,0,MOD(J19-I19,1))</f>
        <v>0</v>
      </c>
      <c r="AL19" s="191">
        <f>IF(ISERROR(VALUE((MOD(L19-K19,1))))=TRUE,0,MOD(L19-K19,1))</f>
        <v>0</v>
      </c>
      <c r="AM19" s="191">
        <f>IF(ISERROR(VALUE((MOD(N19-M19,1))))=TRUE,0,MOD(N19-M19,1))</f>
        <v>0</v>
      </c>
      <c r="AN19" s="191">
        <f>IF(ISERROR(VALUE((MOD(P19-O19,1))))=TRUE,0,MOD(P19-O19,1))</f>
        <v>0.12500000000000006</v>
      </c>
      <c r="AO19" s="191">
        <f>IF(ISERROR(VALUE((MOD(R19-Q19,1))))=TRUE,0,MOD(R19-Q19,1))</f>
        <v>0.27083333333333326</v>
      </c>
      <c r="AP19" s="191">
        <f>IF(ISERROR(VALUE((MOD(T19-S19,1))))=TRUE,0,MOD(T19-S19,1))</f>
        <v>0</v>
      </c>
      <c r="AQ19" s="191">
        <f>IF(ISERROR(VALUE((MOD(V19-U19,1))))=TRUE,0,MOD(V19-U19,1))</f>
        <v>0.29166666666666663</v>
      </c>
      <c r="AR19" s="191">
        <f>IF(ISERROR(VALUE((MOD(X19-W19,1))))=TRUE,0,MOD(X19-W19,1))</f>
        <v>0</v>
      </c>
      <c r="AS19" s="191">
        <f>IF(ISERROR(VALUE((MOD(Z19-Y19,1))))=TRUE,0,MOD(Z19-Y19,1))</f>
        <v>0.52083333333333326</v>
      </c>
      <c r="AT19" s="191">
        <f>IF(ISERROR(VALUE((MOD(AB19-AA19,1))))=TRUE,0,MOD(AB19-AA19,1))</f>
        <v>0</v>
      </c>
      <c r="AU19" s="191">
        <f>IF(ISERROR(VALUE((MOD(AD19-AC19,1))))=TRUE,0,MOD(AD19-AC19,1))</f>
        <v>0</v>
      </c>
      <c r="AV19" s="31"/>
    </row>
    <row r="20" spans="1:48" x14ac:dyDescent="0.25">
      <c r="A20" s="446"/>
      <c r="B20" s="253" t="s">
        <v>380</v>
      </c>
      <c r="C20" s="236" t="s">
        <v>42</v>
      </c>
      <c r="D20" s="218" t="s">
        <v>42</v>
      </c>
      <c r="E20" s="216" t="s">
        <v>42</v>
      </c>
      <c r="F20" s="215" t="s">
        <v>42</v>
      </c>
      <c r="G20" s="236">
        <v>0.45833333333333331</v>
      </c>
      <c r="H20" s="218">
        <v>0.58333333333333337</v>
      </c>
      <c r="I20" s="216">
        <v>0.72916666666666663</v>
      </c>
      <c r="J20" s="215">
        <v>0.9375</v>
      </c>
      <c r="K20" s="236"/>
      <c r="L20" s="218"/>
      <c r="M20" s="216">
        <v>0.625</v>
      </c>
      <c r="N20" s="215">
        <v>0.97916666666666663</v>
      </c>
      <c r="O20" s="236" t="s">
        <v>42</v>
      </c>
      <c r="P20" s="218" t="s">
        <v>42</v>
      </c>
      <c r="Q20" s="216" t="s">
        <v>42</v>
      </c>
      <c r="R20" s="215" t="s">
        <v>42</v>
      </c>
      <c r="S20" s="236"/>
      <c r="T20" s="218"/>
      <c r="U20" s="216">
        <v>0.66666666666666663</v>
      </c>
      <c r="V20" s="215">
        <v>2.0833333333333332E-2</v>
      </c>
      <c r="W20" s="236"/>
      <c r="X20" s="218"/>
      <c r="Y20" s="216">
        <v>0.58333333333333337</v>
      </c>
      <c r="Z20" s="215">
        <v>2.0833333333333332E-2</v>
      </c>
      <c r="AA20" s="217" t="s">
        <v>42</v>
      </c>
      <c r="AB20" s="214" t="s">
        <v>42</v>
      </c>
      <c r="AC20" s="218" t="s">
        <v>42</v>
      </c>
      <c r="AD20" s="219" t="s">
        <v>42</v>
      </c>
      <c r="AE20" s="249">
        <f t="shared" si="14"/>
        <v>1.4791666666666667</v>
      </c>
      <c r="AF20" s="238"/>
      <c r="AG20" s="41"/>
      <c r="AH20" s="191">
        <f t="shared" ref="AH20:AH26" si="15">IF(ISERROR(VALUE((MOD(D20-C20,1))))=TRUE,0,MOD(D20-C20,1))</f>
        <v>0</v>
      </c>
      <c r="AI20" s="191">
        <f t="shared" ref="AI20:AI26" si="16">IF(ISERROR(VALUE((MOD(F20-E20,1))))=TRUE,0,MOD(F20-E20,1))</f>
        <v>0</v>
      </c>
      <c r="AJ20" s="191">
        <f t="shared" ref="AJ20:AJ26" si="17">IF(ISERROR(VALUE((MOD(H20-G20,1))))=TRUE,0,MOD(H20-G20,1))</f>
        <v>0.12500000000000006</v>
      </c>
      <c r="AK20" s="191">
        <f t="shared" ref="AK20:AK26" si="18">IF(ISERROR(VALUE((MOD(J20-I20,1))))=TRUE,0,MOD(J20-I20,1))</f>
        <v>0.20833333333333337</v>
      </c>
      <c r="AL20" s="191">
        <f t="shared" ref="AL20:AL26" si="19">IF(ISERROR(VALUE((MOD(L20-K20,1))))=TRUE,0,MOD(L20-K20,1))</f>
        <v>0</v>
      </c>
      <c r="AM20" s="191">
        <f t="shared" ref="AM20:AM26" si="20">IF(ISERROR(VALUE((MOD(N20-M20,1))))=TRUE,0,MOD(N20-M20,1))</f>
        <v>0.35416666666666663</v>
      </c>
      <c r="AN20" s="191">
        <f t="shared" ref="AN20:AN26" si="21">IF(ISERROR(VALUE((MOD(P20-O20,1))))=TRUE,0,MOD(P20-O20,1))</f>
        <v>0</v>
      </c>
      <c r="AO20" s="191">
        <f t="shared" ref="AO20:AO26" si="22">IF(ISERROR(VALUE((MOD(R20-Q20,1))))=TRUE,0,MOD(R20-Q20,1))</f>
        <v>0</v>
      </c>
      <c r="AP20" s="191">
        <f t="shared" ref="AP20:AP26" si="23">IF(ISERROR(VALUE((MOD(T20-S20,1))))=TRUE,0,MOD(T20-S20,1))</f>
        <v>0</v>
      </c>
      <c r="AQ20" s="191">
        <f t="shared" ref="AQ20:AQ26" si="24">IF(ISERROR(VALUE((MOD(V20-U20,1))))=TRUE,0,MOD(V20-U20,1))</f>
        <v>0.35416666666666674</v>
      </c>
      <c r="AR20" s="191">
        <f t="shared" ref="AR20:AR26" si="25">IF(ISERROR(VALUE((MOD(X20-W20,1))))=TRUE,0,MOD(X20-W20,1))</f>
        <v>0</v>
      </c>
      <c r="AS20" s="191">
        <f t="shared" ref="AS20:AS26" si="26">IF(ISERROR(VALUE((MOD(Z20-Y20,1))))=TRUE,0,MOD(Z20-Y20,1))</f>
        <v>0.4375</v>
      </c>
      <c r="AT20" s="191">
        <f t="shared" ref="AT20:AT26" si="27">IF(ISERROR(VALUE((MOD(AB20-AA20,1))))=TRUE,0,MOD(AB20-AA20,1))</f>
        <v>0</v>
      </c>
      <c r="AU20" s="191">
        <f t="shared" ref="AU20:AU26" si="28">IF(ISERROR(VALUE((MOD(AD20-AC20,1))))=TRUE,0,MOD(AD20-AC20,1))</f>
        <v>0</v>
      </c>
      <c r="AV20" s="31"/>
    </row>
    <row r="21" spans="1:48" x14ac:dyDescent="0.25">
      <c r="A21" s="446"/>
      <c r="B21" s="248" t="s">
        <v>376</v>
      </c>
      <c r="C21" s="217" t="s">
        <v>42</v>
      </c>
      <c r="D21" s="214" t="s">
        <v>42</v>
      </c>
      <c r="E21" s="214" t="s">
        <v>42</v>
      </c>
      <c r="F21" s="215" t="s">
        <v>42</v>
      </c>
      <c r="G21" s="217" t="s">
        <v>42</v>
      </c>
      <c r="H21" s="214" t="s">
        <v>42</v>
      </c>
      <c r="I21" s="214" t="s">
        <v>42</v>
      </c>
      <c r="J21" s="215" t="s">
        <v>42</v>
      </c>
      <c r="K21" s="217" t="s">
        <v>42</v>
      </c>
      <c r="L21" s="214" t="s">
        <v>42</v>
      </c>
      <c r="M21" s="214" t="s">
        <v>42</v>
      </c>
      <c r="N21" s="215" t="s">
        <v>42</v>
      </c>
      <c r="O21" s="217">
        <v>0.45833333333333331</v>
      </c>
      <c r="P21" s="214">
        <v>0.58333333333333337</v>
      </c>
      <c r="Q21" s="216">
        <v>0.70833333333333337</v>
      </c>
      <c r="R21" s="215">
        <v>0.9375</v>
      </c>
      <c r="S21" s="217" t="s">
        <v>42</v>
      </c>
      <c r="T21" s="214" t="s">
        <v>42</v>
      </c>
      <c r="U21" s="214" t="s">
        <v>42</v>
      </c>
      <c r="V21" s="215" t="s">
        <v>42</v>
      </c>
      <c r="W21" s="217" t="s">
        <v>42</v>
      </c>
      <c r="X21" s="214" t="s">
        <v>42</v>
      </c>
      <c r="Y21" s="214" t="s">
        <v>42</v>
      </c>
      <c r="Z21" s="215" t="s">
        <v>42</v>
      </c>
      <c r="AA21" s="217">
        <v>0.375</v>
      </c>
      <c r="AB21" s="214">
        <v>0.875</v>
      </c>
      <c r="AC21" s="214"/>
      <c r="AD21" s="215"/>
      <c r="AE21" s="249">
        <f t="shared" si="14"/>
        <v>0.85416666666666674</v>
      </c>
      <c r="AF21" s="238"/>
      <c r="AG21" s="41"/>
      <c r="AH21" s="191">
        <f t="shared" si="15"/>
        <v>0</v>
      </c>
      <c r="AI21" s="191">
        <f t="shared" si="16"/>
        <v>0</v>
      </c>
      <c r="AJ21" s="191">
        <f t="shared" si="17"/>
        <v>0</v>
      </c>
      <c r="AK21" s="191">
        <f t="shared" si="18"/>
        <v>0</v>
      </c>
      <c r="AL21" s="191">
        <f t="shared" si="19"/>
        <v>0</v>
      </c>
      <c r="AM21" s="191">
        <f t="shared" si="20"/>
        <v>0</v>
      </c>
      <c r="AN21" s="191">
        <f t="shared" si="21"/>
        <v>0.12500000000000006</v>
      </c>
      <c r="AO21" s="191">
        <f t="shared" si="22"/>
        <v>0.22916666666666663</v>
      </c>
      <c r="AP21" s="191">
        <f t="shared" si="23"/>
        <v>0</v>
      </c>
      <c r="AQ21" s="191">
        <f t="shared" si="24"/>
        <v>0</v>
      </c>
      <c r="AR21" s="191">
        <f t="shared" si="25"/>
        <v>0</v>
      </c>
      <c r="AS21" s="191">
        <f t="shared" si="26"/>
        <v>0</v>
      </c>
      <c r="AT21" s="191">
        <f t="shared" si="27"/>
        <v>0.5</v>
      </c>
      <c r="AU21" s="191">
        <f t="shared" si="28"/>
        <v>0</v>
      </c>
      <c r="AV21" s="31"/>
    </row>
    <row r="22" spans="1:48" x14ac:dyDescent="0.25">
      <c r="A22" s="446"/>
      <c r="B22" s="248" t="s">
        <v>399</v>
      </c>
      <c r="C22" s="217"/>
      <c r="D22" s="214"/>
      <c r="E22" s="214">
        <v>0.70833333333333337</v>
      </c>
      <c r="F22" s="215">
        <v>0.95833333333333337</v>
      </c>
      <c r="G22" s="217"/>
      <c r="H22" s="214"/>
      <c r="I22" s="214">
        <v>0.70833333333333337</v>
      </c>
      <c r="J22" s="215">
        <v>0.95833333333333337</v>
      </c>
      <c r="K22" s="217"/>
      <c r="L22" s="214"/>
      <c r="M22" s="214">
        <v>0.625</v>
      </c>
      <c r="N22" s="215">
        <v>0.97916666666666663</v>
      </c>
      <c r="O22" s="236"/>
      <c r="P22" s="218"/>
      <c r="Q22" s="216">
        <v>0.70833333333333337</v>
      </c>
      <c r="R22" s="215">
        <v>0.97916666666666663</v>
      </c>
      <c r="S22" s="217"/>
      <c r="T22" s="214"/>
      <c r="U22" s="214">
        <v>0.66666666666666663</v>
      </c>
      <c r="V22" s="215">
        <v>2.0833333333333332E-2</v>
      </c>
      <c r="W22" s="217">
        <v>0.45833333333333331</v>
      </c>
      <c r="X22" s="214">
        <v>0.625</v>
      </c>
      <c r="Y22" s="214" t="s">
        <v>42</v>
      </c>
      <c r="Z22" s="215" t="s">
        <v>42</v>
      </c>
      <c r="AA22" s="217" t="s">
        <v>42</v>
      </c>
      <c r="AB22" s="214" t="s">
        <v>42</v>
      </c>
      <c r="AC22" s="214" t="s">
        <v>42</v>
      </c>
      <c r="AD22" s="215" t="s">
        <v>42</v>
      </c>
      <c r="AE22" s="249">
        <f>AH22+AI22+AJ22+AK22++AL22+AM22+AN22+AO22+AP22++AQ22+AR22+AS22+AT22+AU22</f>
        <v>1.6458333333333335</v>
      </c>
      <c r="AF22" s="238"/>
      <c r="AG22" s="41"/>
      <c r="AH22" s="191">
        <f t="shared" si="15"/>
        <v>0</v>
      </c>
      <c r="AI22" s="191">
        <f t="shared" si="16"/>
        <v>0.25</v>
      </c>
      <c r="AJ22" s="191">
        <f t="shared" si="17"/>
        <v>0</v>
      </c>
      <c r="AK22" s="191">
        <f t="shared" si="18"/>
        <v>0.25</v>
      </c>
      <c r="AL22" s="191">
        <f t="shared" si="19"/>
        <v>0</v>
      </c>
      <c r="AM22" s="191">
        <f t="shared" si="20"/>
        <v>0.35416666666666663</v>
      </c>
      <c r="AN22" s="191">
        <f t="shared" si="21"/>
        <v>0</v>
      </c>
      <c r="AO22" s="191">
        <f t="shared" si="22"/>
        <v>0.27083333333333326</v>
      </c>
      <c r="AP22" s="191">
        <f t="shared" si="23"/>
        <v>0</v>
      </c>
      <c r="AQ22" s="191">
        <f t="shared" si="24"/>
        <v>0.35416666666666674</v>
      </c>
      <c r="AR22" s="191">
        <f t="shared" si="25"/>
        <v>0.16666666666666669</v>
      </c>
      <c r="AS22" s="191">
        <f t="shared" si="26"/>
        <v>0</v>
      </c>
      <c r="AT22" s="191">
        <f t="shared" si="27"/>
        <v>0</v>
      </c>
      <c r="AU22" s="191">
        <f t="shared" si="28"/>
        <v>0</v>
      </c>
      <c r="AV22" s="31"/>
    </row>
    <row r="23" spans="1:48" x14ac:dyDescent="0.25">
      <c r="A23" s="446"/>
      <c r="B23" s="253"/>
      <c r="C23" s="217"/>
      <c r="D23" s="214"/>
      <c r="E23" s="214"/>
      <c r="F23" s="215"/>
      <c r="G23" s="236"/>
      <c r="H23" s="218"/>
      <c r="I23" s="216"/>
      <c r="J23" s="215"/>
      <c r="K23" s="236"/>
      <c r="L23" s="218"/>
      <c r="M23" s="216"/>
      <c r="N23" s="215"/>
      <c r="O23" s="217"/>
      <c r="P23" s="214"/>
      <c r="Q23" s="214"/>
      <c r="R23" s="215"/>
      <c r="S23" s="217"/>
      <c r="T23" s="214"/>
      <c r="U23" s="216"/>
      <c r="V23" s="235"/>
      <c r="W23" s="230"/>
      <c r="X23" s="218"/>
      <c r="Y23" s="214"/>
      <c r="Z23" s="215"/>
      <c r="AA23" s="236"/>
      <c r="AB23" s="218"/>
      <c r="AC23" s="216"/>
      <c r="AD23" s="215"/>
      <c r="AE23" s="249">
        <f t="shared" si="14"/>
        <v>0</v>
      </c>
      <c r="AF23" s="238"/>
      <c r="AG23" s="41"/>
      <c r="AH23" s="191">
        <f t="shared" si="15"/>
        <v>0</v>
      </c>
      <c r="AI23" s="191">
        <f t="shared" si="16"/>
        <v>0</v>
      </c>
      <c r="AJ23" s="191">
        <f t="shared" si="17"/>
        <v>0</v>
      </c>
      <c r="AK23" s="191">
        <f t="shared" si="18"/>
        <v>0</v>
      </c>
      <c r="AL23" s="191">
        <f t="shared" si="19"/>
        <v>0</v>
      </c>
      <c r="AM23" s="191">
        <f t="shared" si="20"/>
        <v>0</v>
      </c>
      <c r="AN23" s="191">
        <f t="shared" si="21"/>
        <v>0</v>
      </c>
      <c r="AO23" s="191">
        <f t="shared" si="22"/>
        <v>0</v>
      </c>
      <c r="AP23" s="191">
        <f t="shared" si="23"/>
        <v>0</v>
      </c>
      <c r="AQ23" s="191">
        <f t="shared" si="24"/>
        <v>0</v>
      </c>
      <c r="AR23" s="191">
        <f t="shared" si="25"/>
        <v>0</v>
      </c>
      <c r="AS23" s="191">
        <f t="shared" si="26"/>
        <v>0</v>
      </c>
      <c r="AT23" s="191">
        <f t="shared" si="27"/>
        <v>0</v>
      </c>
      <c r="AU23" s="191">
        <f t="shared" si="28"/>
        <v>0</v>
      </c>
      <c r="AV23" s="31"/>
    </row>
    <row r="24" spans="1:48" x14ac:dyDescent="0.25">
      <c r="A24" s="446"/>
      <c r="B24" s="253"/>
      <c r="C24" s="217"/>
      <c r="D24" s="214"/>
      <c r="E24" s="214"/>
      <c r="F24" s="215"/>
      <c r="G24" s="217"/>
      <c r="H24" s="214"/>
      <c r="I24" s="214"/>
      <c r="J24" s="215"/>
      <c r="K24" s="217"/>
      <c r="L24" s="214"/>
      <c r="M24" s="214"/>
      <c r="N24" s="215"/>
      <c r="O24" s="217"/>
      <c r="P24" s="214"/>
      <c r="Q24" s="214"/>
      <c r="R24" s="215"/>
      <c r="S24" s="217"/>
      <c r="T24" s="214"/>
      <c r="U24" s="214"/>
      <c r="V24" s="215"/>
      <c r="W24" s="217"/>
      <c r="X24" s="214"/>
      <c r="Y24" s="214"/>
      <c r="Z24" s="215"/>
      <c r="AA24" s="230"/>
      <c r="AB24" s="218"/>
      <c r="AC24" s="218"/>
      <c r="AD24" s="219"/>
      <c r="AE24" s="249">
        <f t="shared" si="14"/>
        <v>0</v>
      </c>
      <c r="AF24" s="238"/>
      <c r="AG24" s="41"/>
      <c r="AH24" s="191">
        <f t="shared" si="15"/>
        <v>0</v>
      </c>
      <c r="AI24" s="191">
        <f t="shared" si="16"/>
        <v>0</v>
      </c>
      <c r="AJ24" s="191">
        <f t="shared" si="17"/>
        <v>0</v>
      </c>
      <c r="AK24" s="191">
        <f t="shared" si="18"/>
        <v>0</v>
      </c>
      <c r="AL24" s="191">
        <f t="shared" si="19"/>
        <v>0</v>
      </c>
      <c r="AM24" s="191">
        <f t="shared" si="20"/>
        <v>0</v>
      </c>
      <c r="AN24" s="191">
        <f t="shared" si="21"/>
        <v>0</v>
      </c>
      <c r="AO24" s="191">
        <f t="shared" si="22"/>
        <v>0</v>
      </c>
      <c r="AP24" s="191">
        <f t="shared" si="23"/>
        <v>0</v>
      </c>
      <c r="AQ24" s="191">
        <f t="shared" si="24"/>
        <v>0</v>
      </c>
      <c r="AR24" s="191">
        <f t="shared" si="25"/>
        <v>0</v>
      </c>
      <c r="AS24" s="191">
        <f t="shared" si="26"/>
        <v>0</v>
      </c>
      <c r="AT24" s="191">
        <f t="shared" si="27"/>
        <v>0</v>
      </c>
      <c r="AU24" s="191">
        <f t="shared" si="28"/>
        <v>0</v>
      </c>
      <c r="AV24" s="31"/>
    </row>
    <row r="25" spans="1:48" x14ac:dyDescent="0.25">
      <c r="A25" s="446"/>
      <c r="B25" s="255" t="s">
        <v>398</v>
      </c>
      <c r="C25" s="256"/>
      <c r="D25" s="257"/>
      <c r="E25" s="258"/>
      <c r="F25" s="259"/>
      <c r="G25" s="256"/>
      <c r="H25" s="257"/>
      <c r="I25" s="258"/>
      <c r="J25" s="259"/>
      <c r="K25" s="256"/>
      <c r="L25" s="257"/>
      <c r="M25" s="258"/>
      <c r="N25" s="259"/>
      <c r="O25" s="260"/>
      <c r="P25" s="261"/>
      <c r="Q25" s="261"/>
      <c r="R25" s="259"/>
      <c r="S25" s="260"/>
      <c r="T25" s="261"/>
      <c r="U25" s="261">
        <v>0.75</v>
      </c>
      <c r="V25" s="262">
        <v>0.91666666666666663</v>
      </c>
      <c r="W25" s="263"/>
      <c r="X25" s="257"/>
      <c r="Y25" s="261">
        <v>0.72916666666666663</v>
      </c>
      <c r="Z25" s="259">
        <v>0.91666666666666663</v>
      </c>
      <c r="AA25" s="256"/>
      <c r="AB25" s="257"/>
      <c r="AC25" s="258"/>
      <c r="AD25" s="259"/>
      <c r="AE25" s="249">
        <f t="shared" si="14"/>
        <v>0.35416666666666663</v>
      </c>
      <c r="AF25" s="238"/>
      <c r="AG25" s="41"/>
      <c r="AH25" s="191">
        <f t="shared" si="15"/>
        <v>0</v>
      </c>
      <c r="AI25" s="191">
        <f t="shared" si="16"/>
        <v>0</v>
      </c>
      <c r="AJ25" s="191">
        <f t="shared" si="17"/>
        <v>0</v>
      </c>
      <c r="AK25" s="191">
        <f t="shared" si="18"/>
        <v>0</v>
      </c>
      <c r="AL25" s="191">
        <f t="shared" si="19"/>
        <v>0</v>
      </c>
      <c r="AM25" s="191">
        <f t="shared" si="20"/>
        <v>0</v>
      </c>
      <c r="AN25" s="191">
        <f t="shared" si="21"/>
        <v>0</v>
      </c>
      <c r="AO25" s="191">
        <f t="shared" si="22"/>
        <v>0</v>
      </c>
      <c r="AP25" s="191">
        <f t="shared" si="23"/>
        <v>0</v>
      </c>
      <c r="AQ25" s="191">
        <f t="shared" si="24"/>
        <v>0.16666666666666663</v>
      </c>
      <c r="AR25" s="191">
        <f t="shared" si="25"/>
        <v>0</v>
      </c>
      <c r="AS25" s="191">
        <f t="shared" si="26"/>
        <v>0.1875</v>
      </c>
      <c r="AT25" s="191">
        <f t="shared" si="27"/>
        <v>0</v>
      </c>
      <c r="AU25" s="191">
        <f t="shared" si="28"/>
        <v>0</v>
      </c>
      <c r="AV25" s="31"/>
    </row>
    <row r="26" spans="1:48" x14ac:dyDescent="0.25">
      <c r="A26" s="446"/>
      <c r="B26" s="253"/>
      <c r="C26" s="217"/>
      <c r="D26" s="214"/>
      <c r="E26" s="214"/>
      <c r="F26" s="215"/>
      <c r="G26" s="217"/>
      <c r="H26" s="214"/>
      <c r="I26" s="214"/>
      <c r="J26" s="215"/>
      <c r="K26" s="217"/>
      <c r="L26" s="214"/>
      <c r="M26" s="214"/>
      <c r="N26" s="215"/>
      <c r="O26" s="217"/>
      <c r="P26" s="214"/>
      <c r="Q26" s="214"/>
      <c r="R26" s="215"/>
      <c r="S26" s="217"/>
      <c r="T26" s="214"/>
      <c r="U26" s="214"/>
      <c r="V26" s="215"/>
      <c r="W26" s="217"/>
      <c r="X26" s="214"/>
      <c r="Y26" s="214"/>
      <c r="Z26" s="215"/>
      <c r="AA26" s="230"/>
      <c r="AB26" s="218"/>
      <c r="AC26" s="218"/>
      <c r="AD26" s="219"/>
      <c r="AE26" s="238">
        <f t="shared" si="14"/>
        <v>0</v>
      </c>
      <c r="AF26" s="238">
        <v>0</v>
      </c>
      <c r="AG26" s="41"/>
      <c r="AH26" s="191">
        <f t="shared" si="15"/>
        <v>0</v>
      </c>
      <c r="AI26" s="191">
        <f t="shared" si="16"/>
        <v>0</v>
      </c>
      <c r="AJ26" s="191">
        <f t="shared" si="17"/>
        <v>0</v>
      </c>
      <c r="AK26" s="191">
        <f t="shared" si="18"/>
        <v>0</v>
      </c>
      <c r="AL26" s="191">
        <f t="shared" si="19"/>
        <v>0</v>
      </c>
      <c r="AM26" s="191">
        <f t="shared" si="20"/>
        <v>0</v>
      </c>
      <c r="AN26" s="191">
        <f t="shared" si="21"/>
        <v>0</v>
      </c>
      <c r="AO26" s="191">
        <f t="shared" si="22"/>
        <v>0</v>
      </c>
      <c r="AP26" s="191">
        <f t="shared" si="23"/>
        <v>0</v>
      </c>
      <c r="AQ26" s="191">
        <f t="shared" si="24"/>
        <v>0</v>
      </c>
      <c r="AR26" s="191">
        <f t="shared" si="25"/>
        <v>0</v>
      </c>
      <c r="AS26" s="191">
        <f t="shared" si="26"/>
        <v>0</v>
      </c>
      <c r="AT26" s="191">
        <f t="shared" si="27"/>
        <v>0</v>
      </c>
      <c r="AU26" s="191">
        <f t="shared" si="28"/>
        <v>0</v>
      </c>
      <c r="AV26" s="31"/>
    </row>
    <row r="27" spans="1:48" ht="15.95" customHeight="1" thickBot="1" x14ac:dyDescent="0.3">
      <c r="A27" s="446"/>
      <c r="B27" s="232"/>
      <c r="C27" s="216"/>
      <c r="D27" s="214"/>
      <c r="E27" s="214"/>
      <c r="F27" s="215"/>
      <c r="G27" s="217"/>
      <c r="H27" s="214"/>
      <c r="I27" s="214"/>
      <c r="J27" s="215"/>
      <c r="K27" s="217"/>
      <c r="L27" s="214"/>
      <c r="M27" s="214"/>
      <c r="N27" s="215"/>
      <c r="O27" s="217"/>
      <c r="P27" s="214"/>
      <c r="Q27" s="214"/>
      <c r="R27" s="215"/>
      <c r="S27" s="217"/>
      <c r="T27" s="214"/>
      <c r="U27" s="214"/>
      <c r="V27" s="215"/>
      <c r="W27" s="217"/>
      <c r="X27" s="214"/>
      <c r="Y27" s="214"/>
      <c r="Z27" s="215"/>
      <c r="AA27" s="217"/>
      <c r="AB27" s="214"/>
      <c r="AC27" s="214"/>
      <c r="AD27" s="215"/>
      <c r="AE27" s="238">
        <f t="shared" si="14"/>
        <v>0</v>
      </c>
      <c r="AF27" s="238"/>
      <c r="AG27" s="41"/>
      <c r="AH27" s="191">
        <f>IF(ISERROR(VALUE((MOD(D27-C27,1))))=TRUE,0,MOD(D27-C27,1))</f>
        <v>0</v>
      </c>
      <c r="AI27" s="191">
        <f>IF(ISERROR(VALUE((MOD(F27-E27,1))))=TRUE,0,MOD(F27-E27,1))</f>
        <v>0</v>
      </c>
      <c r="AJ27" s="191">
        <f>IF(ISERROR(VALUE((MOD(H27-G27,1))))=TRUE,0,MOD(H27-G27,1))</f>
        <v>0</v>
      </c>
      <c r="AK27" s="191">
        <f>IF(ISERROR(VALUE((MOD(J27-I27,1))))=TRUE,0,MOD(J27-I27,1))</f>
        <v>0</v>
      </c>
      <c r="AL27" s="191">
        <f>IF(ISERROR(VALUE((MOD(L27-K27,1))))=TRUE,0,MOD(L27-K27,1))</f>
        <v>0</v>
      </c>
      <c r="AM27" s="191">
        <f>IF(ISERROR(VALUE((MOD(N27-M27,1))))=TRUE,0,MOD(N27-M27,1))</f>
        <v>0</v>
      </c>
      <c r="AN27" s="191">
        <f>IF(ISERROR(VALUE((MOD(P27-O27,1))))=TRUE,0,MOD(P27-O27,1))</f>
        <v>0</v>
      </c>
      <c r="AO27" s="191">
        <f>IF(ISERROR(VALUE((MOD(R27-Q27,1))))=TRUE,0,MOD(R27-Q27,1))</f>
        <v>0</v>
      </c>
      <c r="AP27" s="191">
        <f>IF(ISERROR(VALUE((MOD(T27-S27,1))))=TRUE,0,MOD(T27-S27,1))</f>
        <v>0</v>
      </c>
      <c r="AQ27" s="191">
        <f>IF(ISERROR(VALUE((MOD(V27-U27,1))))=TRUE,0,MOD(V27-U27,1))</f>
        <v>0</v>
      </c>
      <c r="AR27" s="191">
        <f>IF(ISERROR(VALUE((MOD(X27-W27,1))))=TRUE,0,MOD(X27-W27,1))</f>
        <v>0</v>
      </c>
      <c r="AS27" s="191">
        <f>IF(ISERROR(VALUE((MOD(Z27-Y27,1))))=TRUE,0,MOD(Z27-Y27,1))</f>
        <v>0</v>
      </c>
      <c r="AT27" s="191">
        <f>IF(ISERROR(VALUE((MOD(AB27-AA27,1))))=TRUE,0,MOD(AB27-AA27,1))</f>
        <v>0</v>
      </c>
      <c r="AU27" s="191">
        <f>IF(ISERROR(VALUE((MOD(AD27-AC27,1))))=TRUE,0,MOD(AD27-AC27,1))</f>
        <v>0</v>
      </c>
      <c r="AV27" s="31"/>
    </row>
    <row r="28" spans="1:48" ht="11.45" customHeight="1" thickBot="1" x14ac:dyDescent="0.3">
      <c r="A28" s="45"/>
      <c r="B28" s="210"/>
      <c r="C28" s="469" t="s">
        <v>369</v>
      </c>
      <c r="D28" s="470"/>
      <c r="E28" s="470"/>
      <c r="F28" s="471"/>
      <c r="G28" s="472" t="s">
        <v>378</v>
      </c>
      <c r="H28" s="473"/>
      <c r="I28" s="473"/>
      <c r="J28" s="474"/>
      <c r="K28" s="475" t="s">
        <v>379</v>
      </c>
      <c r="L28" s="476"/>
      <c r="M28" s="476"/>
      <c r="N28" s="476"/>
      <c r="O28" s="477" t="s">
        <v>390</v>
      </c>
      <c r="P28" s="478"/>
      <c r="Q28" s="478"/>
      <c r="R28" s="478"/>
      <c r="S28" s="479"/>
      <c r="T28" s="479"/>
      <c r="U28" s="479"/>
      <c r="V28" s="479"/>
      <c r="W28" s="479"/>
      <c r="X28" s="479"/>
      <c r="Y28" s="479"/>
      <c r="Z28" s="479"/>
      <c r="AA28" s="480" t="s">
        <v>400</v>
      </c>
      <c r="AB28" s="480"/>
      <c r="AC28" s="480"/>
      <c r="AD28" s="480"/>
      <c r="AE28" s="44"/>
      <c r="AF28" s="44"/>
      <c r="AG28" s="44"/>
      <c r="AH28" s="42"/>
      <c r="AI28" s="43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31"/>
    </row>
    <row r="29" spans="1:48" ht="15.75" thickBot="1" x14ac:dyDescent="0.3">
      <c r="A29" s="454" t="s">
        <v>363</v>
      </c>
      <c r="B29" s="208" t="s">
        <v>387</v>
      </c>
      <c r="C29" s="217"/>
      <c r="D29" s="214"/>
      <c r="E29" s="214"/>
      <c r="F29" s="215"/>
      <c r="G29" s="217"/>
      <c r="H29" s="214"/>
      <c r="I29" s="214"/>
      <c r="J29" s="215"/>
      <c r="K29" s="217"/>
      <c r="L29" s="214"/>
      <c r="M29" s="214"/>
      <c r="N29" s="215"/>
      <c r="O29" s="217"/>
      <c r="P29" s="214"/>
      <c r="Q29" s="214"/>
      <c r="R29" s="215"/>
      <c r="S29" s="217"/>
      <c r="T29" s="214"/>
      <c r="U29" s="214"/>
      <c r="V29" s="215"/>
      <c r="W29" s="217"/>
      <c r="X29" s="214"/>
      <c r="Y29" s="214"/>
      <c r="Z29" s="215"/>
      <c r="AA29" s="217"/>
      <c r="AB29" s="216"/>
      <c r="AC29" s="216"/>
      <c r="AD29" s="235"/>
      <c r="AE29" s="44"/>
      <c r="AF29" s="44"/>
      <c r="AG29" s="44"/>
      <c r="AH29" s="191">
        <f>IF(ISERROR(VALUE((MOD(D29-C29,1))))=TRUE,0,MOD(D29-C29,1))</f>
        <v>0</v>
      </c>
      <c r="AI29" s="191">
        <f>IF(ISERROR(VALUE((MOD(F29-E29,1))))=TRUE,0,MOD(F29-E29,1))</f>
        <v>0</v>
      </c>
      <c r="AJ29" s="191">
        <f>IF(ISERROR(VALUE((MOD(H29-G29,1))))=TRUE,0,MOD(H29-G29,1))</f>
        <v>0</v>
      </c>
      <c r="AK29" s="191">
        <f>IF(ISERROR(VALUE((MOD(J29-I29,1))))=TRUE,0,MOD(J29-I29,1))</f>
        <v>0</v>
      </c>
      <c r="AL29" s="191">
        <f>IF(ISERROR(VALUE((MOD(L29-K29,1))))=TRUE,0,MOD(L29-K29,1))</f>
        <v>0</v>
      </c>
      <c r="AM29" s="191">
        <f>IF(ISERROR(VALUE((MOD(N29-M29,1))))=TRUE,0,MOD(N29-M29,1))</f>
        <v>0</v>
      </c>
      <c r="AN29" s="191">
        <f>IF(ISERROR(VALUE((MOD(P29-O29,1))))=TRUE,0,MOD(P29-O29,1))</f>
        <v>0</v>
      </c>
      <c r="AO29" s="191">
        <f>IF(ISERROR(VALUE((MOD(R29-Q29,1))))=TRUE,0,MOD(R29-Q29,1))</f>
        <v>0</v>
      </c>
      <c r="AP29" s="191">
        <f>IF(ISERROR(VALUE((MOD(T29-S29,1))))=TRUE,0,MOD(T29-S29,1))</f>
        <v>0</v>
      </c>
      <c r="AQ29" s="191">
        <f>IF(ISERROR(VALUE((MOD(V29-U29,1))))=TRUE,0,MOD(V29-U29,1))</f>
        <v>0</v>
      </c>
      <c r="AR29" s="191">
        <f>IF(ISERROR(VALUE((MOD(X29-W29,1))))=TRUE,0,MOD(X29-W29,1))</f>
        <v>0</v>
      </c>
      <c r="AS29" s="191">
        <f>IF(ISERROR(VALUE((MOD(Z29-Y29,1))))=TRUE,0,MOD(Z29-Y29,1))</f>
        <v>0</v>
      </c>
      <c r="AT29" s="191">
        <f>IF(ISERROR(VALUE((MOD(AB29-AA29,1))))=TRUE,0,MOD(AB29-AA29,1))</f>
        <v>0</v>
      </c>
      <c r="AU29" s="191">
        <f>IF(ISERROR(VALUE((MOD(AD29-AC29,1))))=TRUE,0,MOD(AD29-AC29,1))</f>
        <v>0</v>
      </c>
      <c r="AV29" s="31"/>
    </row>
    <row r="30" spans="1:48" ht="15.75" thickBot="1" x14ac:dyDescent="0.3">
      <c r="A30" s="454"/>
      <c r="B30" s="198" t="s">
        <v>391</v>
      </c>
      <c r="C30" s="216"/>
      <c r="D30" s="214"/>
      <c r="E30" s="214"/>
      <c r="F30" s="215"/>
      <c r="G30" s="217"/>
      <c r="H30" s="214"/>
      <c r="I30" s="214"/>
      <c r="J30" s="215"/>
      <c r="K30" s="217"/>
      <c r="L30" s="214"/>
      <c r="M30" s="214"/>
      <c r="N30" s="215"/>
      <c r="O30" s="217"/>
      <c r="P30" s="214"/>
      <c r="Q30" s="214"/>
      <c r="R30" s="215"/>
      <c r="S30" s="217"/>
      <c r="T30" s="214"/>
      <c r="U30" s="214"/>
      <c r="V30" s="215"/>
      <c r="W30" s="217"/>
      <c r="X30" s="214"/>
      <c r="Y30" s="214"/>
      <c r="Z30" s="215"/>
      <c r="AA30" s="217"/>
      <c r="AB30" s="214"/>
      <c r="AC30" s="214"/>
      <c r="AD30" s="215"/>
      <c r="AE30" s="44"/>
      <c r="AF30" s="44"/>
      <c r="AG30" s="44"/>
      <c r="AH30" s="191">
        <f t="shared" ref="AH30:AH40" si="29">IF(ISERROR(VALUE((MOD(D30-C30,1))))=TRUE,0,MOD(D30-C30,1))</f>
        <v>0</v>
      </c>
      <c r="AI30" s="191">
        <f t="shared" ref="AI30:AI40" si="30">IF(ISERROR(VALUE((MOD(F30-E30,1))))=TRUE,0,MOD(F30-E30,1))</f>
        <v>0</v>
      </c>
      <c r="AJ30" s="191">
        <f t="shared" ref="AJ30:AJ40" si="31">IF(ISERROR(VALUE((MOD(H30-G30,1))))=TRUE,0,MOD(H30-G30,1))</f>
        <v>0</v>
      </c>
      <c r="AK30" s="191">
        <f t="shared" ref="AK30:AK40" si="32">IF(ISERROR(VALUE((MOD(J30-I30,1))))=TRUE,0,MOD(J30-I30,1))</f>
        <v>0</v>
      </c>
      <c r="AL30" s="191">
        <f t="shared" ref="AL30:AL40" si="33">IF(ISERROR(VALUE((MOD(L30-K30,1))))=TRUE,0,MOD(L30-K30,1))</f>
        <v>0</v>
      </c>
      <c r="AM30" s="191">
        <f t="shared" ref="AM30:AM40" si="34">IF(ISERROR(VALUE((MOD(N30-M30,1))))=TRUE,0,MOD(N30-M30,1))</f>
        <v>0</v>
      </c>
      <c r="AN30" s="191">
        <f t="shared" ref="AN30:AN40" si="35">IF(ISERROR(VALUE((MOD(P30-O30,1))))=TRUE,0,MOD(P30-O30,1))</f>
        <v>0</v>
      </c>
      <c r="AO30" s="191">
        <f t="shared" ref="AO30:AO40" si="36">IF(ISERROR(VALUE((MOD(R30-Q30,1))))=TRUE,0,MOD(R30-Q30,1))</f>
        <v>0</v>
      </c>
      <c r="AP30" s="191">
        <f t="shared" ref="AP30:AP40" si="37">IF(ISERROR(VALUE((MOD(T30-S30,1))))=TRUE,0,MOD(T30-S30,1))</f>
        <v>0</v>
      </c>
      <c r="AQ30" s="191">
        <f t="shared" ref="AQ30:AQ40" si="38">IF(ISERROR(VALUE((MOD(V30-U30,1))))=TRUE,0,MOD(V30-U30,1))</f>
        <v>0</v>
      </c>
      <c r="AR30" s="191">
        <f t="shared" ref="AR30:AR40" si="39">IF(ISERROR(VALUE((MOD(X30-W30,1))))=TRUE,0,MOD(X30-W30,1))</f>
        <v>0</v>
      </c>
      <c r="AS30" s="191">
        <f t="shared" ref="AS30:AS40" si="40">IF(ISERROR(VALUE((MOD(Z30-Y30,1))))=TRUE,0,MOD(Z30-Y30,1))</f>
        <v>0</v>
      </c>
      <c r="AT30" s="191">
        <f t="shared" ref="AT30:AT40" si="41">IF(ISERROR(VALUE((MOD(AB30-AA30,1))))=TRUE,0,MOD(AB30-AA30,1))</f>
        <v>0</v>
      </c>
      <c r="AU30" s="191">
        <f t="shared" ref="AU30:AU40" si="42">IF(ISERROR(VALUE((MOD(AD30-AC30,1))))=TRUE,0,MOD(AD30-AC30,1))</f>
        <v>0</v>
      </c>
      <c r="AV30" s="31"/>
    </row>
    <row r="31" spans="1:48" ht="15.75" thickBot="1" x14ac:dyDescent="0.3">
      <c r="A31" s="454"/>
      <c r="B31" s="211" t="s">
        <v>365</v>
      </c>
      <c r="C31" s="216"/>
      <c r="D31" s="214"/>
      <c r="E31" s="214"/>
      <c r="F31" s="215"/>
      <c r="G31" s="216"/>
      <c r="H31" s="214"/>
      <c r="I31" s="214"/>
      <c r="J31" s="215"/>
      <c r="K31" s="217"/>
      <c r="L31" s="214"/>
      <c r="M31" s="214"/>
      <c r="N31" s="215"/>
      <c r="O31" s="217"/>
      <c r="P31" s="214"/>
      <c r="Q31" s="214"/>
      <c r="R31" s="215"/>
      <c r="S31" s="217"/>
      <c r="T31" s="214"/>
      <c r="U31" s="214"/>
      <c r="V31" s="215"/>
      <c r="W31" s="217"/>
      <c r="X31" s="214"/>
      <c r="Y31" s="214"/>
      <c r="Z31" s="215"/>
      <c r="AA31" s="217"/>
      <c r="AB31" s="214"/>
      <c r="AC31" s="214"/>
      <c r="AD31" s="215"/>
      <c r="AE31" s="44"/>
      <c r="AF31" s="44"/>
      <c r="AG31" s="44"/>
      <c r="AH31" s="191">
        <f t="shared" si="29"/>
        <v>0</v>
      </c>
      <c r="AI31" s="191">
        <f t="shared" si="30"/>
        <v>0</v>
      </c>
      <c r="AJ31" s="191">
        <f t="shared" si="31"/>
        <v>0</v>
      </c>
      <c r="AK31" s="191">
        <f t="shared" si="32"/>
        <v>0</v>
      </c>
      <c r="AL31" s="191">
        <f t="shared" si="33"/>
        <v>0</v>
      </c>
      <c r="AM31" s="191">
        <f>IF(ISERROR(VALUE((MOD(N31-M31,1))))=TRUE,0,MOD(N31-M31,1))</f>
        <v>0</v>
      </c>
      <c r="AN31" s="191">
        <f t="shared" si="35"/>
        <v>0</v>
      </c>
      <c r="AO31" s="191">
        <f t="shared" si="36"/>
        <v>0</v>
      </c>
      <c r="AP31" s="191">
        <f t="shared" si="37"/>
        <v>0</v>
      </c>
      <c r="AQ31" s="191">
        <f t="shared" si="38"/>
        <v>0</v>
      </c>
      <c r="AR31" s="191">
        <f t="shared" si="39"/>
        <v>0</v>
      </c>
      <c r="AS31" s="191">
        <f t="shared" si="40"/>
        <v>0</v>
      </c>
      <c r="AT31" s="191">
        <f t="shared" si="41"/>
        <v>0</v>
      </c>
      <c r="AU31" s="191">
        <f t="shared" si="42"/>
        <v>0</v>
      </c>
      <c r="AV31" s="31"/>
    </row>
    <row r="32" spans="1:48" ht="15.75" thickBot="1" x14ac:dyDescent="0.3">
      <c r="A32" s="454"/>
      <c r="B32" s="211" t="s">
        <v>392</v>
      </c>
      <c r="C32" s="217"/>
      <c r="D32" s="216"/>
      <c r="E32" s="216"/>
      <c r="F32" s="235"/>
      <c r="G32" s="217"/>
      <c r="H32" s="216"/>
      <c r="I32" s="216"/>
      <c r="J32" s="235"/>
      <c r="K32" s="216"/>
      <c r="L32" s="214"/>
      <c r="M32" s="214"/>
      <c r="N32" s="215"/>
      <c r="O32" s="216"/>
      <c r="P32" s="214"/>
      <c r="Q32" s="214"/>
      <c r="R32" s="215"/>
      <c r="S32" s="216"/>
      <c r="T32" s="214"/>
      <c r="U32" s="214"/>
      <c r="V32" s="215"/>
      <c r="W32" s="216"/>
      <c r="X32" s="214"/>
      <c r="Y32" s="214"/>
      <c r="Z32" s="215"/>
      <c r="AA32" s="214"/>
      <c r="AB32" s="246"/>
      <c r="AC32" s="247"/>
      <c r="AD32" s="235"/>
      <c r="AE32" s="44"/>
      <c r="AF32" s="44"/>
      <c r="AG32" s="44"/>
      <c r="AH32" s="191">
        <f t="shared" si="29"/>
        <v>0</v>
      </c>
      <c r="AI32" s="191">
        <f t="shared" si="30"/>
        <v>0</v>
      </c>
      <c r="AJ32" s="191">
        <f t="shared" si="31"/>
        <v>0</v>
      </c>
      <c r="AK32" s="191">
        <f t="shared" si="32"/>
        <v>0</v>
      </c>
      <c r="AL32" s="191">
        <f t="shared" si="33"/>
        <v>0</v>
      </c>
      <c r="AM32" s="191">
        <f>IF(ISERROR(VALUE((MOD(N32-M32,1))))=TRUE,0,MOD(N32-M32,1))</f>
        <v>0</v>
      </c>
      <c r="AN32" s="191">
        <f t="shared" si="35"/>
        <v>0</v>
      </c>
      <c r="AO32" s="191">
        <f t="shared" si="36"/>
        <v>0</v>
      </c>
      <c r="AP32" s="191">
        <f t="shared" si="37"/>
        <v>0</v>
      </c>
      <c r="AQ32" s="191">
        <f t="shared" si="38"/>
        <v>0</v>
      </c>
      <c r="AR32" s="191">
        <f t="shared" si="39"/>
        <v>0</v>
      </c>
      <c r="AS32" s="191">
        <f t="shared" si="40"/>
        <v>0</v>
      </c>
      <c r="AT32" s="191">
        <f t="shared" si="41"/>
        <v>0</v>
      </c>
      <c r="AU32" s="191">
        <f t="shared" si="42"/>
        <v>0</v>
      </c>
      <c r="AV32" s="31"/>
    </row>
    <row r="33" spans="1:220" ht="15.75" thickBot="1" x14ac:dyDescent="0.3">
      <c r="A33" s="454"/>
      <c r="B33" s="211" t="s">
        <v>393</v>
      </c>
      <c r="C33" s="216"/>
      <c r="D33" s="214"/>
      <c r="E33" s="214"/>
      <c r="F33" s="215"/>
      <c r="G33" s="217"/>
      <c r="H33" s="216"/>
      <c r="I33" s="216"/>
      <c r="J33" s="235"/>
      <c r="K33" s="217"/>
      <c r="L33" s="216"/>
      <c r="M33" s="216"/>
      <c r="N33" s="235"/>
      <c r="O33" s="217"/>
      <c r="P33" s="214"/>
      <c r="Q33" s="214"/>
      <c r="R33" s="215"/>
      <c r="S33" s="217"/>
      <c r="T33" s="216"/>
      <c r="U33" s="214"/>
      <c r="V33" s="215"/>
      <c r="W33" s="217"/>
      <c r="X33" s="216"/>
      <c r="Y33" s="214"/>
      <c r="Z33" s="215"/>
      <c r="AA33" s="217"/>
      <c r="AB33" s="214"/>
      <c r="AC33" s="244"/>
      <c r="AD33" s="215"/>
      <c r="AE33" s="44"/>
      <c r="AF33" s="44"/>
      <c r="AG33" s="44"/>
      <c r="AH33" s="191">
        <f t="shared" si="29"/>
        <v>0</v>
      </c>
      <c r="AI33" s="191">
        <f t="shared" si="30"/>
        <v>0</v>
      </c>
      <c r="AJ33" s="191">
        <f t="shared" si="31"/>
        <v>0</v>
      </c>
      <c r="AK33" s="191">
        <f t="shared" si="32"/>
        <v>0</v>
      </c>
      <c r="AL33" s="191">
        <f t="shared" si="33"/>
        <v>0</v>
      </c>
      <c r="AM33" s="191">
        <f t="shared" si="34"/>
        <v>0</v>
      </c>
      <c r="AN33" s="191">
        <f t="shared" si="35"/>
        <v>0</v>
      </c>
      <c r="AO33" s="191">
        <f t="shared" si="36"/>
        <v>0</v>
      </c>
      <c r="AP33" s="191">
        <f t="shared" si="37"/>
        <v>0</v>
      </c>
      <c r="AQ33" s="191">
        <f t="shared" si="38"/>
        <v>0</v>
      </c>
      <c r="AR33" s="191">
        <f t="shared" si="39"/>
        <v>0</v>
      </c>
      <c r="AS33" s="191">
        <f t="shared" si="40"/>
        <v>0</v>
      </c>
      <c r="AT33" s="191">
        <f t="shared" si="41"/>
        <v>0</v>
      </c>
      <c r="AU33" s="191">
        <f t="shared" si="42"/>
        <v>0</v>
      </c>
      <c r="AV33" s="31"/>
    </row>
    <row r="34" spans="1:220" ht="15.75" thickBot="1" x14ac:dyDescent="0.3">
      <c r="A34" s="454"/>
      <c r="B34" s="254" t="s">
        <v>396</v>
      </c>
      <c r="C34" s="216"/>
      <c r="D34" s="214"/>
      <c r="E34" s="214"/>
      <c r="F34" s="215"/>
      <c r="G34" s="217"/>
      <c r="H34" s="214"/>
      <c r="I34" s="214"/>
      <c r="J34" s="215"/>
      <c r="K34" s="217"/>
      <c r="L34" s="214"/>
      <c r="M34" s="214"/>
      <c r="N34" s="215"/>
      <c r="O34" s="217"/>
      <c r="P34" s="214"/>
      <c r="Q34" s="214"/>
      <c r="R34" s="215"/>
      <c r="S34" s="217"/>
      <c r="T34" s="214"/>
      <c r="U34" s="214"/>
      <c r="V34" s="215"/>
      <c r="W34" s="217"/>
      <c r="X34" s="214"/>
      <c r="Y34" s="214"/>
      <c r="Z34" s="215"/>
      <c r="AA34" s="217"/>
      <c r="AB34" s="214"/>
      <c r="AC34" s="214"/>
      <c r="AD34" s="215"/>
      <c r="AE34" s="44"/>
      <c r="AF34" s="44"/>
      <c r="AG34" s="44"/>
      <c r="AH34" s="191">
        <f t="shared" si="29"/>
        <v>0</v>
      </c>
      <c r="AI34" s="191">
        <f t="shared" si="30"/>
        <v>0</v>
      </c>
      <c r="AJ34" s="191">
        <f t="shared" si="31"/>
        <v>0</v>
      </c>
      <c r="AK34" s="191">
        <f t="shared" si="32"/>
        <v>0</v>
      </c>
      <c r="AL34" s="191">
        <f t="shared" si="33"/>
        <v>0</v>
      </c>
      <c r="AM34" s="191">
        <f t="shared" si="34"/>
        <v>0</v>
      </c>
      <c r="AN34" s="191">
        <f t="shared" si="35"/>
        <v>0</v>
      </c>
      <c r="AO34" s="191">
        <f t="shared" si="36"/>
        <v>0</v>
      </c>
      <c r="AP34" s="191">
        <f t="shared" si="37"/>
        <v>0</v>
      </c>
      <c r="AQ34" s="191">
        <f t="shared" si="38"/>
        <v>0</v>
      </c>
      <c r="AR34" s="191">
        <f t="shared" si="39"/>
        <v>0</v>
      </c>
      <c r="AS34" s="191">
        <f t="shared" si="40"/>
        <v>0</v>
      </c>
      <c r="AT34" s="191">
        <f t="shared" si="41"/>
        <v>0</v>
      </c>
      <c r="AU34" s="191">
        <f t="shared" si="42"/>
        <v>0</v>
      </c>
      <c r="AV34" s="31"/>
    </row>
    <row r="35" spans="1:220" ht="15.75" thickBot="1" x14ac:dyDescent="0.3">
      <c r="A35" s="454"/>
      <c r="B35" s="248"/>
      <c r="C35" s="217"/>
      <c r="D35" s="216"/>
      <c r="E35" s="216"/>
      <c r="F35" s="235"/>
      <c r="G35" s="217"/>
      <c r="H35" s="216"/>
      <c r="I35" s="216"/>
      <c r="J35" s="235"/>
      <c r="K35" s="217"/>
      <c r="L35" s="214"/>
      <c r="M35" s="214"/>
      <c r="N35" s="215"/>
      <c r="O35" s="217"/>
      <c r="P35" s="214"/>
      <c r="Q35" s="214"/>
      <c r="R35" s="215"/>
      <c r="S35" s="217"/>
      <c r="T35" s="214"/>
      <c r="U35" s="214"/>
      <c r="V35" s="215"/>
      <c r="W35" s="217"/>
      <c r="X35" s="214"/>
      <c r="Y35" s="214"/>
      <c r="Z35" s="215"/>
      <c r="AA35" s="217"/>
      <c r="AB35" s="214"/>
      <c r="AC35" s="214"/>
      <c r="AD35" s="215"/>
      <c r="AE35" s="44"/>
      <c r="AF35" s="44"/>
      <c r="AG35" s="44"/>
      <c r="AH35" s="191">
        <f t="shared" si="29"/>
        <v>0</v>
      </c>
      <c r="AI35" s="191">
        <f t="shared" si="30"/>
        <v>0</v>
      </c>
      <c r="AJ35" s="191">
        <f t="shared" si="31"/>
        <v>0</v>
      </c>
      <c r="AK35" s="191">
        <f t="shared" si="32"/>
        <v>0</v>
      </c>
      <c r="AL35" s="191">
        <f t="shared" si="33"/>
        <v>0</v>
      </c>
      <c r="AM35" s="191">
        <f t="shared" si="34"/>
        <v>0</v>
      </c>
      <c r="AN35" s="191">
        <f t="shared" si="35"/>
        <v>0</v>
      </c>
      <c r="AO35" s="191">
        <f t="shared" si="36"/>
        <v>0</v>
      </c>
      <c r="AP35" s="191">
        <f t="shared" si="37"/>
        <v>0</v>
      </c>
      <c r="AQ35" s="191">
        <f t="shared" si="38"/>
        <v>0</v>
      </c>
      <c r="AR35" s="191">
        <f t="shared" si="39"/>
        <v>0</v>
      </c>
      <c r="AS35" s="191">
        <f t="shared" si="40"/>
        <v>0</v>
      </c>
      <c r="AT35" s="191">
        <f t="shared" si="41"/>
        <v>0</v>
      </c>
      <c r="AU35" s="191">
        <f t="shared" si="42"/>
        <v>0</v>
      </c>
      <c r="AV35" s="31"/>
    </row>
    <row r="36" spans="1:220" ht="15.75" thickBot="1" x14ac:dyDescent="0.3">
      <c r="A36" s="454"/>
      <c r="B36" s="211" t="s">
        <v>394</v>
      </c>
      <c r="C36" s="216"/>
      <c r="D36" s="214"/>
      <c r="E36" s="214"/>
      <c r="F36" s="215"/>
      <c r="G36" s="216"/>
      <c r="H36" s="214"/>
      <c r="I36" s="214"/>
      <c r="J36" s="215"/>
      <c r="K36" s="216"/>
      <c r="L36" s="214"/>
      <c r="M36" s="214"/>
      <c r="N36" s="215"/>
      <c r="O36" s="216"/>
      <c r="P36" s="214"/>
      <c r="Q36" s="214"/>
      <c r="R36" s="215"/>
      <c r="S36" s="216"/>
      <c r="T36" s="214"/>
      <c r="U36" s="214"/>
      <c r="V36" s="215"/>
      <c r="W36" s="217"/>
      <c r="X36" s="214"/>
      <c r="Y36" s="216"/>
      <c r="Z36" s="235"/>
      <c r="AA36" s="217"/>
      <c r="AB36" s="214"/>
      <c r="AC36" s="216"/>
      <c r="AD36" s="235"/>
      <c r="AE36" s="44"/>
      <c r="AF36" s="44"/>
      <c r="AG36" s="44"/>
      <c r="AH36" s="191">
        <f t="shared" si="29"/>
        <v>0</v>
      </c>
      <c r="AI36" s="191">
        <f t="shared" si="30"/>
        <v>0</v>
      </c>
      <c r="AJ36" s="191">
        <f t="shared" si="31"/>
        <v>0</v>
      </c>
      <c r="AK36" s="191">
        <f t="shared" si="32"/>
        <v>0</v>
      </c>
      <c r="AL36" s="191">
        <f t="shared" si="33"/>
        <v>0</v>
      </c>
      <c r="AM36" s="191">
        <f t="shared" si="34"/>
        <v>0</v>
      </c>
      <c r="AN36" s="191">
        <f t="shared" si="35"/>
        <v>0</v>
      </c>
      <c r="AO36" s="191">
        <f t="shared" si="36"/>
        <v>0</v>
      </c>
      <c r="AP36" s="191">
        <f t="shared" si="37"/>
        <v>0</v>
      </c>
      <c r="AQ36" s="191">
        <f t="shared" si="38"/>
        <v>0</v>
      </c>
      <c r="AR36" s="191">
        <f t="shared" si="39"/>
        <v>0</v>
      </c>
      <c r="AS36" s="191">
        <f t="shared" si="40"/>
        <v>0</v>
      </c>
      <c r="AT36" s="191">
        <f t="shared" si="41"/>
        <v>0</v>
      </c>
      <c r="AU36" s="191">
        <f t="shared" si="42"/>
        <v>0</v>
      </c>
      <c r="AV36" s="31"/>
    </row>
    <row r="37" spans="1:220" ht="15.75" thickBot="1" x14ac:dyDescent="0.3">
      <c r="A37" s="454"/>
      <c r="B37" s="212" t="s">
        <v>395</v>
      </c>
      <c r="C37" s="216"/>
      <c r="D37" s="214"/>
      <c r="E37" s="214"/>
      <c r="F37" s="215"/>
      <c r="G37" s="217"/>
      <c r="H37" s="214"/>
      <c r="I37" s="214"/>
      <c r="J37" s="215"/>
      <c r="K37" s="217"/>
      <c r="L37" s="214"/>
      <c r="M37" s="214"/>
      <c r="N37" s="215"/>
      <c r="O37" s="217"/>
      <c r="P37" s="214"/>
      <c r="Q37" s="214"/>
      <c r="R37" s="215"/>
      <c r="S37" s="217"/>
      <c r="T37" s="214"/>
      <c r="U37" s="214"/>
      <c r="V37" s="215"/>
      <c r="W37" s="216"/>
      <c r="X37" s="216"/>
      <c r="Y37" s="216"/>
      <c r="Z37" s="235"/>
      <c r="AA37" s="216"/>
      <c r="AB37" s="216"/>
      <c r="AC37" s="216"/>
      <c r="AD37" s="235"/>
      <c r="AE37" s="44"/>
      <c r="AF37" s="44"/>
      <c r="AG37" s="44"/>
      <c r="AH37" s="191">
        <f t="shared" si="29"/>
        <v>0</v>
      </c>
      <c r="AI37" s="191">
        <f t="shared" si="30"/>
        <v>0</v>
      </c>
      <c r="AJ37" s="191">
        <f t="shared" si="31"/>
        <v>0</v>
      </c>
      <c r="AK37" s="191">
        <f t="shared" si="32"/>
        <v>0</v>
      </c>
      <c r="AL37" s="191">
        <f t="shared" si="33"/>
        <v>0</v>
      </c>
      <c r="AM37" s="191">
        <f t="shared" si="34"/>
        <v>0</v>
      </c>
      <c r="AN37" s="191">
        <f t="shared" si="35"/>
        <v>0</v>
      </c>
      <c r="AO37" s="191">
        <f t="shared" si="36"/>
        <v>0</v>
      </c>
      <c r="AP37" s="191">
        <f t="shared" si="37"/>
        <v>0</v>
      </c>
      <c r="AQ37" s="191">
        <f t="shared" si="38"/>
        <v>0</v>
      </c>
      <c r="AR37" s="191">
        <f t="shared" si="39"/>
        <v>0</v>
      </c>
      <c r="AS37" s="191">
        <f t="shared" si="40"/>
        <v>0</v>
      </c>
      <c r="AT37" s="191">
        <f t="shared" si="41"/>
        <v>0</v>
      </c>
      <c r="AU37" s="191">
        <f t="shared" si="42"/>
        <v>0</v>
      </c>
      <c r="AV37" s="31"/>
    </row>
    <row r="38" spans="1:220" ht="12.75" customHeight="1" thickBot="1" x14ac:dyDescent="0.3">
      <c r="A38" s="455"/>
      <c r="B38" s="201"/>
      <c r="C38" s="202"/>
      <c r="D38" s="203"/>
      <c r="E38" s="203"/>
      <c r="F38" s="204"/>
      <c r="G38" s="202"/>
      <c r="H38" s="203"/>
      <c r="I38" s="203"/>
      <c r="J38" s="204"/>
      <c r="K38" s="202"/>
      <c r="L38" s="203"/>
      <c r="M38" s="203"/>
      <c r="N38" s="204"/>
      <c r="O38" s="202"/>
      <c r="P38" s="203"/>
      <c r="Q38" s="203"/>
      <c r="R38" s="204"/>
      <c r="S38" s="202"/>
      <c r="T38" s="203"/>
      <c r="U38" s="203"/>
      <c r="V38" s="204"/>
      <c r="W38" s="202"/>
      <c r="X38" s="203"/>
      <c r="Y38" s="203"/>
      <c r="Z38" s="204"/>
      <c r="AA38" s="205"/>
      <c r="AB38" s="206"/>
      <c r="AC38" s="206"/>
      <c r="AD38" s="207"/>
      <c r="AE38" s="44"/>
      <c r="AF38" s="44"/>
      <c r="AG38" s="44"/>
      <c r="AH38" s="191">
        <f>IF(ISERROR(VALUE((MOD(D38-C38,1))))=TRUE,0,MOD(D38-C38,1))</f>
        <v>0</v>
      </c>
      <c r="AI38" s="191">
        <f>IF(ISERROR(VALUE((MOD(F38-E38,1))))=TRUE,0,MOD(F38-E38,1))</f>
        <v>0</v>
      </c>
      <c r="AJ38" s="191">
        <f>IF(ISERROR(VALUE((MOD(H38-G38,1))))=TRUE,0,MOD(H38-G38,1))</f>
        <v>0</v>
      </c>
      <c r="AK38" s="191">
        <f>IF(ISERROR(VALUE((MOD(J38-I38,1))))=TRUE,0,MOD(J38-I38,1))</f>
        <v>0</v>
      </c>
      <c r="AL38" s="191">
        <f>IF(ISERROR(VALUE((MOD(L38-K38,1))))=TRUE,0,MOD(L38-K38,1))</f>
        <v>0</v>
      </c>
      <c r="AM38" s="191">
        <f>IF(ISERROR(VALUE((MOD(N38-M38,1))))=TRUE,0,MOD(N38-M38,1))</f>
        <v>0</v>
      </c>
      <c r="AN38" s="191">
        <f>IF(ISERROR(VALUE((MOD(P38-O38,1))))=TRUE,0,MOD(P38-O38,1))</f>
        <v>0</v>
      </c>
      <c r="AO38" s="191">
        <f>IF(ISERROR(VALUE((MOD(R38-Q38,1))))=TRUE,0,MOD(R38-Q38,1))</f>
        <v>0</v>
      </c>
      <c r="AP38" s="191">
        <f>IF(ISERROR(VALUE((MOD(T38-S38,1))))=TRUE,0,MOD(T38-S38,1))</f>
        <v>0</v>
      </c>
      <c r="AQ38" s="191">
        <f>IF(ISERROR(VALUE((MOD(V38-U38,1))))=TRUE,0,MOD(V38-U38,1))</f>
        <v>0</v>
      </c>
      <c r="AR38" s="191">
        <f>IF(ISERROR(VALUE((MOD(X38-W38,1))))=TRUE,0,MOD(X38-W38,1))</f>
        <v>0</v>
      </c>
      <c r="AS38" s="191">
        <f>IF(ISERROR(VALUE((MOD(Z38-Y38,1))))=TRUE,0,MOD(Z38-Y38,1))</f>
        <v>0</v>
      </c>
      <c r="AT38" s="191">
        <f>IF(ISERROR(VALUE((MOD(AB38-AA38,1))))=TRUE,0,MOD(AB38-AA38,1))</f>
        <v>0</v>
      </c>
      <c r="AU38" s="191">
        <f>IF(ISERROR(VALUE((MOD(AD38-AC38,1))))=TRUE,0,MOD(AD38-AC38,1))</f>
        <v>0</v>
      </c>
      <c r="AV38" s="31"/>
    </row>
    <row r="39" spans="1:220" ht="15.75" thickBot="1" x14ac:dyDescent="0.3">
      <c r="A39" s="455"/>
      <c r="B39" s="194" t="s">
        <v>364</v>
      </c>
      <c r="C39" s="216"/>
      <c r="D39" s="214"/>
      <c r="E39" s="195"/>
      <c r="F39" s="196"/>
      <c r="G39" s="217"/>
      <c r="H39" s="214"/>
      <c r="I39" s="195"/>
      <c r="J39" s="196"/>
      <c r="K39" s="217"/>
      <c r="L39" s="214"/>
      <c r="M39" s="195"/>
      <c r="N39" s="196"/>
      <c r="O39" s="233"/>
      <c r="P39" s="234"/>
      <c r="Q39" s="195"/>
      <c r="R39" s="196"/>
      <c r="S39" s="217"/>
      <c r="T39" s="214"/>
      <c r="U39" s="195"/>
      <c r="V39" s="196"/>
      <c r="W39" s="200"/>
      <c r="X39" s="197"/>
      <c r="Y39" s="241"/>
      <c r="Z39" s="242"/>
      <c r="AA39" s="209"/>
      <c r="AB39" s="195"/>
      <c r="AC39" s="195"/>
      <c r="AD39" s="196"/>
      <c r="AE39" s="44"/>
      <c r="AF39" s="44"/>
      <c r="AG39" s="44"/>
      <c r="AH39" s="191">
        <f>IF(ISERROR(VALUE((MOD(D39-C39,1))))=TRUE,0,MOD(D39-C39,1))</f>
        <v>0</v>
      </c>
      <c r="AI39" s="191">
        <f>IF(ISERROR(VALUE((MOD(F39-E39,1))))=TRUE,0,MOD(F39-E39,1))</f>
        <v>0</v>
      </c>
      <c r="AJ39" s="191">
        <f>IF(ISERROR(VALUE((MOD(H39-G39,1))))=TRUE,0,MOD(H39-G39,1))</f>
        <v>0</v>
      </c>
      <c r="AK39" s="191">
        <f>IF(ISERROR(VALUE((MOD(J39-I39,1))))=TRUE,0,MOD(J39-I39,1))</f>
        <v>0</v>
      </c>
      <c r="AL39" s="191">
        <f>IF(ISERROR(VALUE((MOD(L39-K39,1))))=TRUE,0,MOD(L39-K39,1))</f>
        <v>0</v>
      </c>
      <c r="AM39" s="191">
        <f>IF(ISERROR(VALUE((MOD(N39-M39,1))))=TRUE,0,MOD(N39-M39,1))</f>
        <v>0</v>
      </c>
      <c r="AN39" s="191">
        <f>IF(ISERROR(VALUE((MOD(P39-O39,1))))=TRUE,0,MOD(P39-O39,1))</f>
        <v>0</v>
      </c>
      <c r="AO39" s="191">
        <f>IF(ISERROR(VALUE((MOD(R39-Q39,1))))=TRUE,0,MOD(R39-Q39,1))</f>
        <v>0</v>
      </c>
      <c r="AP39" s="191">
        <f>IF(ISERROR(VALUE((MOD(T39-S39,1))))=TRUE,0,MOD(T39-S39,1))</f>
        <v>0</v>
      </c>
      <c r="AQ39" s="191">
        <f>IF(ISERROR(VALUE((MOD(V39-U39,1))))=TRUE,0,MOD(V39-U39,1))</f>
        <v>0</v>
      </c>
      <c r="AR39" s="191">
        <f>IF(ISERROR(VALUE((MOD(X39-W39,1))))=TRUE,0,MOD(X39-W39,1))</f>
        <v>0</v>
      </c>
      <c r="AS39" s="191">
        <f>IF(ISERROR(VALUE((MOD(Z39-Y39,1))))=TRUE,0,MOD(Z39-Y39,1))</f>
        <v>0</v>
      </c>
      <c r="AT39" s="191">
        <f>IF(ISERROR(VALUE((MOD(AB39-AA39,1))))=TRUE,0,MOD(AB39-AA39,1))</f>
        <v>0</v>
      </c>
      <c r="AU39" s="191">
        <f>IF(ISERROR(VALUE((MOD(AD39-AC39,1))))=TRUE,0,MOD(AD39-AC39,1))</f>
        <v>0</v>
      </c>
      <c r="AV39" s="31"/>
    </row>
    <row r="40" spans="1:220" ht="11.45" customHeight="1" thickBot="1" x14ac:dyDescent="0.3">
      <c r="A40" s="455"/>
      <c r="B40" s="46"/>
      <c r="C40" s="456" t="s">
        <v>367</v>
      </c>
      <c r="D40" s="457"/>
      <c r="E40" s="457"/>
      <c r="F40" s="458"/>
      <c r="G40" s="459" t="s">
        <v>62</v>
      </c>
      <c r="H40" s="460"/>
      <c r="I40" s="460"/>
      <c r="J40" s="461"/>
      <c r="K40" s="462" t="s">
        <v>368</v>
      </c>
      <c r="L40" s="462"/>
      <c r="M40" s="462"/>
      <c r="N40" s="462"/>
      <c r="O40" s="463" t="s">
        <v>372</v>
      </c>
      <c r="P40" s="463"/>
      <c r="Q40" s="463"/>
      <c r="R40" s="463"/>
      <c r="S40" s="464" t="s">
        <v>43</v>
      </c>
      <c r="T40" s="465"/>
      <c r="U40" s="465"/>
      <c r="V40" s="466"/>
      <c r="W40" s="467" t="s">
        <v>373</v>
      </c>
      <c r="X40" s="467"/>
      <c r="Y40" s="467"/>
      <c r="Z40" s="467"/>
      <c r="AA40" s="468" t="s">
        <v>371</v>
      </c>
      <c r="AB40" s="468"/>
      <c r="AC40" s="468"/>
      <c r="AD40" s="468"/>
      <c r="AE40" s="44"/>
      <c r="AF40" s="44"/>
      <c r="AG40" s="44"/>
      <c r="AH40" s="191">
        <f t="shared" si="29"/>
        <v>0</v>
      </c>
      <c r="AI40" s="191">
        <f t="shared" si="30"/>
        <v>0</v>
      </c>
      <c r="AJ40" s="191">
        <f t="shared" si="31"/>
        <v>0</v>
      </c>
      <c r="AK40" s="191">
        <f t="shared" si="32"/>
        <v>0</v>
      </c>
      <c r="AL40" s="191">
        <f t="shared" si="33"/>
        <v>0</v>
      </c>
      <c r="AM40" s="191">
        <f t="shared" si="34"/>
        <v>0</v>
      </c>
      <c r="AN40" s="191">
        <f t="shared" si="35"/>
        <v>0</v>
      </c>
      <c r="AO40" s="191">
        <f t="shared" si="36"/>
        <v>0</v>
      </c>
      <c r="AP40" s="191">
        <f t="shared" si="37"/>
        <v>0</v>
      </c>
      <c r="AQ40" s="191">
        <f t="shared" si="38"/>
        <v>0</v>
      </c>
      <c r="AR40" s="191">
        <f t="shared" si="39"/>
        <v>0</v>
      </c>
      <c r="AS40" s="191">
        <f t="shared" si="40"/>
        <v>0</v>
      </c>
      <c r="AT40" s="191">
        <f t="shared" si="41"/>
        <v>0</v>
      </c>
      <c r="AU40" s="191">
        <f t="shared" si="42"/>
        <v>0</v>
      </c>
      <c r="AV40" s="31"/>
    </row>
    <row r="41" spans="1:220" s="23" customFormat="1" ht="12.75" customHeight="1" thickBot="1" x14ac:dyDescent="0.25">
      <c r="A41" s="47"/>
      <c r="B41" s="48" t="s">
        <v>262</v>
      </c>
      <c r="C41" s="484">
        <v>0.10416666666666667</v>
      </c>
      <c r="D41" s="484"/>
      <c r="E41" s="484"/>
      <c r="F41" s="484"/>
      <c r="G41" s="484">
        <v>0.10416666666666667</v>
      </c>
      <c r="H41" s="484"/>
      <c r="I41" s="484"/>
      <c r="J41" s="484"/>
      <c r="K41" s="484">
        <v>0.10416666666666667</v>
      </c>
      <c r="L41" s="484"/>
      <c r="M41" s="484"/>
      <c r="N41" s="484"/>
      <c r="O41" s="484">
        <v>0.17708333333333334</v>
      </c>
      <c r="P41" s="484"/>
      <c r="Q41" s="484"/>
      <c r="R41" s="484"/>
      <c r="S41" s="484">
        <v>0.24305555555555555</v>
      </c>
      <c r="T41" s="484"/>
      <c r="U41" s="484"/>
      <c r="V41" s="484"/>
      <c r="W41" s="484">
        <v>0.27083333333333331</v>
      </c>
      <c r="X41" s="484"/>
      <c r="Y41" s="484"/>
      <c r="Z41" s="484"/>
      <c r="AA41" s="484">
        <v>0.125</v>
      </c>
      <c r="AB41" s="484"/>
      <c r="AC41" s="484"/>
      <c r="AD41" s="484"/>
      <c r="AE41" s="27"/>
      <c r="AF41" s="27"/>
      <c r="AG41" s="27"/>
      <c r="AH41" s="42"/>
      <c r="AI41" s="43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31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</row>
    <row r="42" spans="1:220" s="23" customFormat="1" ht="14.25" customHeight="1" x14ac:dyDescent="0.2">
      <c r="B42" s="49"/>
      <c r="C42" s="49"/>
      <c r="D42" s="49"/>
      <c r="E42" s="49"/>
      <c r="F42" s="49"/>
      <c r="G42" s="49"/>
      <c r="H42" s="49"/>
      <c r="I42" s="49"/>
      <c r="J42" s="49"/>
      <c r="K42" s="50"/>
      <c r="L42" s="51"/>
      <c r="M42" s="51"/>
      <c r="N42" s="51"/>
      <c r="O42" s="51"/>
      <c r="P42" s="51"/>
      <c r="Q42" s="51"/>
      <c r="R42" s="51"/>
      <c r="S42" s="483"/>
      <c r="T42" s="483"/>
      <c r="U42" s="483"/>
      <c r="V42" s="483"/>
      <c r="W42" s="52"/>
      <c r="X42" s="52"/>
      <c r="Y42" s="52"/>
      <c r="Z42" s="52"/>
      <c r="AA42" s="483"/>
      <c r="AB42" s="483"/>
      <c r="AC42" s="483"/>
      <c r="AD42" s="483"/>
      <c r="AE42" s="27"/>
      <c r="AF42" s="27"/>
      <c r="AG42" s="27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31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</row>
    <row r="43" spans="1:220" s="23" customFormat="1" ht="14.25" customHeight="1" x14ac:dyDescent="0.2">
      <c r="A43" s="54"/>
      <c r="B43" s="55" t="s">
        <v>263</v>
      </c>
      <c r="C43" s="56"/>
      <c r="D43" s="56" t="s">
        <v>264</v>
      </c>
      <c r="E43" s="56"/>
      <c r="F43" s="56"/>
      <c r="G43" s="56"/>
      <c r="H43" s="56"/>
      <c r="I43" s="56"/>
      <c r="J43" s="57"/>
      <c r="K43" s="487"/>
      <c r="L43" s="487"/>
      <c r="M43" s="487"/>
      <c r="N43" s="487"/>
      <c r="O43" s="487"/>
      <c r="P43" s="487"/>
      <c r="Q43" s="487"/>
      <c r="R43" s="487"/>
      <c r="S43" s="487"/>
      <c r="T43" s="52"/>
      <c r="U43" s="52"/>
      <c r="V43" s="52"/>
      <c r="W43" s="52" t="s">
        <v>383</v>
      </c>
      <c r="X43" s="52"/>
      <c r="Y43" s="52" t="s">
        <v>384</v>
      </c>
      <c r="Z43" s="52"/>
      <c r="AA43" s="52"/>
      <c r="AB43" s="52"/>
      <c r="AC43" s="52"/>
      <c r="AD43" s="58"/>
      <c r="AE43" s="27"/>
      <c r="AF43" s="27"/>
      <c r="AG43" s="59" t="s">
        <v>265</v>
      </c>
      <c r="AH43" s="60">
        <f>SUM(AH10:AH41)</f>
        <v>0.29166666666666674</v>
      </c>
      <c r="AI43" s="60">
        <f>SUM(AI10:AI40)</f>
        <v>2.458333333333333</v>
      </c>
      <c r="AJ43" s="60">
        <f t="shared" ref="AJ43:AU43" si="43">SUM(AJ10:AJ41)</f>
        <v>0.4166666666666668</v>
      </c>
      <c r="AK43" s="60">
        <f t="shared" si="43"/>
        <v>1.916666666666667</v>
      </c>
      <c r="AL43" s="60">
        <f t="shared" si="43"/>
        <v>0.70833333333333348</v>
      </c>
      <c r="AM43" s="60">
        <f t="shared" si="43"/>
        <v>2.2916666666666661</v>
      </c>
      <c r="AN43" s="60">
        <f t="shared" si="43"/>
        <v>0.99999999999999978</v>
      </c>
      <c r="AO43" s="60">
        <f t="shared" si="43"/>
        <v>2.270833333333333</v>
      </c>
      <c r="AP43" s="60">
        <f t="shared" si="43"/>
        <v>1.0416666666666667</v>
      </c>
      <c r="AQ43" s="60">
        <f t="shared" si="43"/>
        <v>3.0416666666666665</v>
      </c>
      <c r="AR43" s="60">
        <f t="shared" si="43"/>
        <v>0.45833333333333343</v>
      </c>
      <c r="AS43" s="60">
        <f t="shared" si="43"/>
        <v>4.1666666666666661</v>
      </c>
      <c r="AT43" s="60">
        <f t="shared" si="43"/>
        <v>1.1666666666666667</v>
      </c>
      <c r="AU43" s="60">
        <f t="shared" si="43"/>
        <v>1.7291666666666665</v>
      </c>
      <c r="AV43" s="31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</row>
    <row r="44" spans="1:220" s="23" customFormat="1" ht="14.25" customHeight="1" x14ac:dyDescent="0.2">
      <c r="A44" s="54"/>
      <c r="B44" s="61" t="s">
        <v>266</v>
      </c>
      <c r="C44" s="62"/>
      <c r="D44" s="62" t="s">
        <v>267</v>
      </c>
      <c r="E44" s="62"/>
      <c r="F44" s="62"/>
      <c r="G44" s="62"/>
      <c r="H44" s="62"/>
      <c r="I44" s="62"/>
      <c r="J44" s="63"/>
      <c r="K44" s="487"/>
      <c r="L44" s="487"/>
      <c r="M44" s="487"/>
      <c r="N44" s="487"/>
      <c r="O44" s="487"/>
      <c r="P44" s="487"/>
      <c r="Q44" s="487"/>
      <c r="R44" s="487"/>
      <c r="S44" s="487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8"/>
      <c r="AE44" s="27"/>
      <c r="AF44" s="27"/>
      <c r="AG44" s="64" t="s">
        <v>268</v>
      </c>
      <c r="AH44" s="488">
        <f>SUM(AH43:AI43)-C41</f>
        <v>2.6458333333333335</v>
      </c>
      <c r="AI44" s="488"/>
      <c r="AJ44" s="488">
        <f>SUM(AJ43:AK43)-G41</f>
        <v>2.2291666666666674</v>
      </c>
      <c r="AK44" s="488"/>
      <c r="AL44" s="488">
        <f>SUM(AL43:AM43)-K41</f>
        <v>2.895833333333333</v>
      </c>
      <c r="AM44" s="488"/>
      <c r="AN44" s="488">
        <f>SUM(AN43:AO43)-O41</f>
        <v>3.0937499999999996</v>
      </c>
      <c r="AO44" s="488"/>
      <c r="AP44" s="488">
        <f>SUM(AP43:AQ43)-S41</f>
        <v>3.8402777777777777</v>
      </c>
      <c r="AQ44" s="488"/>
      <c r="AR44" s="488">
        <f>SUM(AR43:AS43)-W41</f>
        <v>4.3541666666666661</v>
      </c>
      <c r="AS44" s="488"/>
      <c r="AT44" s="488">
        <f>SUM(AT43:AU43)-AA41</f>
        <v>2.770833333333333</v>
      </c>
      <c r="AU44" s="488"/>
      <c r="AV44" s="65">
        <f>SUM(AH44:AU44)</f>
        <v>21.829861111111111</v>
      </c>
      <c r="AW44" s="24">
        <v>1362</v>
      </c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</row>
    <row r="45" spans="1:220" s="23" customFormat="1" ht="14.25" customHeight="1" x14ac:dyDescent="0.2">
      <c r="A45" s="54"/>
      <c r="B45" s="66" t="s">
        <v>269</v>
      </c>
      <c r="C45" s="67"/>
      <c r="D45" s="67" t="s">
        <v>270</v>
      </c>
      <c r="E45" s="67"/>
      <c r="F45" s="67"/>
      <c r="G45" s="67"/>
      <c r="H45" s="67"/>
      <c r="I45" s="67"/>
      <c r="J45" s="68"/>
      <c r="K45" s="489"/>
      <c r="L45" s="489"/>
      <c r="M45" s="489"/>
      <c r="N45" s="489"/>
      <c r="O45" s="489"/>
      <c r="P45" s="489"/>
      <c r="Q45" s="489"/>
      <c r="R45" s="489"/>
      <c r="S45" s="489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8"/>
      <c r="AE45" s="27"/>
      <c r="AF45" s="27"/>
      <c r="AG45" s="69">
        <f>AJ1</f>
        <v>28</v>
      </c>
      <c r="AH45" s="490">
        <f>AH44*24*AG45</f>
        <v>1778</v>
      </c>
      <c r="AI45" s="490"/>
      <c r="AJ45" s="490">
        <f>AJ44*24*AG45</f>
        <v>1498.0000000000005</v>
      </c>
      <c r="AK45" s="490"/>
      <c r="AL45" s="490">
        <f>AL44*24*AG45</f>
        <v>1946</v>
      </c>
      <c r="AM45" s="490"/>
      <c r="AN45" s="490">
        <f>AN44*24*AG45</f>
        <v>2078.9999999999995</v>
      </c>
      <c r="AO45" s="490"/>
      <c r="AP45" s="490">
        <f>AP44*24*AG45</f>
        <v>2580.6666666666665</v>
      </c>
      <c r="AQ45" s="490"/>
      <c r="AR45" s="490">
        <f>AR44*24*AG45</f>
        <v>2925.9999999999995</v>
      </c>
      <c r="AS45" s="490"/>
      <c r="AT45" s="490">
        <f>AT44*24*AG45</f>
        <v>1862</v>
      </c>
      <c r="AU45" s="490"/>
      <c r="AV45" s="31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</row>
    <row r="46" spans="1:220" s="23" customFormat="1" ht="14.25" customHeight="1" x14ac:dyDescent="0.2">
      <c r="A46" s="54"/>
      <c r="B46" s="61" t="s">
        <v>271</v>
      </c>
      <c r="C46" s="71"/>
      <c r="D46" s="71" t="s">
        <v>272</v>
      </c>
      <c r="E46" s="71"/>
      <c r="F46" s="71"/>
      <c r="G46" s="71"/>
      <c r="H46" s="71"/>
      <c r="I46" s="71"/>
      <c r="J46" s="72"/>
      <c r="K46" s="482"/>
      <c r="L46" s="482"/>
      <c r="M46" s="482"/>
      <c r="N46" s="482"/>
      <c r="O46" s="482"/>
      <c r="P46" s="482"/>
      <c r="Q46" s="482"/>
      <c r="R46" s="482"/>
      <c r="S46" s="48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8"/>
      <c r="AE46" s="27"/>
      <c r="AF46" s="27"/>
      <c r="AG46" s="28" t="s">
        <v>258</v>
      </c>
      <c r="AH46" s="485">
        <f>100/AH5*AH45/100</f>
        <v>0.35560000000000003</v>
      </c>
      <c r="AI46" s="485"/>
      <c r="AJ46" s="485">
        <f>100/AJ5*AJ45/100</f>
        <v>0.24966666666666676</v>
      </c>
      <c r="AK46" s="485"/>
      <c r="AL46" s="485">
        <f>100/AL5*AL45/100</f>
        <v>0.32433333333333331</v>
      </c>
      <c r="AM46" s="485"/>
      <c r="AN46" s="485">
        <f>100/AN5*AN45/100</f>
        <v>0.25987499999999997</v>
      </c>
      <c r="AO46" s="485"/>
      <c r="AP46" s="485">
        <f>100/AP5*AP45/100</f>
        <v>0.21505555555555553</v>
      </c>
      <c r="AQ46" s="485"/>
      <c r="AR46" s="485">
        <f>100/AR5*AR45/100</f>
        <v>0.24383333333333329</v>
      </c>
      <c r="AS46" s="485"/>
      <c r="AT46" s="485">
        <f>100/AT5*AT45/100</f>
        <v>0.26599999999999996</v>
      </c>
      <c r="AU46" s="485"/>
      <c r="AV46" s="31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</row>
    <row r="47" spans="1:220" s="23" customFormat="1" ht="14.25" customHeight="1" x14ac:dyDescent="0.2">
      <c r="A47" s="73"/>
      <c r="B47" s="74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E47" s="27"/>
      <c r="AF47" s="27"/>
      <c r="AG47" s="28" t="s">
        <v>273</v>
      </c>
      <c r="AH47" s="70">
        <f>SUM(AH46:AU46)</f>
        <v>1.9143638888888892</v>
      </c>
      <c r="AI47" s="76">
        <f>AH47/7</f>
        <v>0.27348055555555562</v>
      </c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31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</row>
    <row r="48" spans="1:220" s="23" customFormat="1" ht="14.25" customHeight="1" x14ac:dyDescent="0.2">
      <c r="A48" s="20"/>
      <c r="B48" s="74"/>
      <c r="C48" s="486"/>
      <c r="D48" s="486"/>
      <c r="E48" s="486"/>
      <c r="F48" s="486"/>
      <c r="G48" s="486"/>
      <c r="H48" s="486"/>
      <c r="I48" s="486"/>
      <c r="J48" s="486"/>
      <c r="K48" s="486"/>
      <c r="L48" s="486"/>
      <c r="M48" s="486"/>
      <c r="N48" s="486"/>
      <c r="O48" s="486"/>
      <c r="P48" s="486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E48" s="192"/>
      <c r="AF48" s="24"/>
      <c r="AG48" s="24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25"/>
      <c r="AV48" s="26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</row>
    <row r="49" spans="1:200" s="23" customFormat="1" ht="14.25" customHeight="1" x14ac:dyDescent="0.2">
      <c r="A49" s="20"/>
      <c r="B49" s="74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E49" s="24"/>
      <c r="AF49" s="24"/>
      <c r="AG49" s="24"/>
      <c r="AH49" s="78"/>
      <c r="AI49" s="25"/>
      <c r="AJ49" s="78"/>
      <c r="AK49" s="25"/>
      <c r="AL49" s="78"/>
      <c r="AM49" s="25"/>
      <c r="AN49" s="78"/>
      <c r="AO49" s="25"/>
      <c r="AP49" s="78"/>
      <c r="AQ49" s="25"/>
      <c r="AR49" s="78"/>
      <c r="AS49" s="25"/>
      <c r="AT49" s="78"/>
      <c r="AU49" s="25"/>
      <c r="AV49" s="26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</row>
    <row r="50" spans="1:200" s="23" customFormat="1" ht="14.25" customHeight="1" x14ac:dyDescent="0.2">
      <c r="A50" s="20"/>
      <c r="B50" s="80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E50" s="24"/>
      <c r="AF50" s="24"/>
      <c r="AG50" s="24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6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</row>
    <row r="51" spans="1:200" s="23" customFormat="1" ht="14.25" customHeight="1" x14ac:dyDescent="0.2">
      <c r="A51" s="20"/>
      <c r="B51" s="81"/>
      <c r="C51" s="481" t="s">
        <v>274</v>
      </c>
      <c r="D51" s="481"/>
      <c r="E51" s="481"/>
      <c r="F51" s="481" t="s">
        <v>275</v>
      </c>
      <c r="G51" s="481"/>
      <c r="H51" s="481"/>
      <c r="I51" s="481" t="s">
        <v>276</v>
      </c>
      <c r="J51" s="481"/>
      <c r="K51" s="481"/>
      <c r="L51" s="481" t="s">
        <v>277</v>
      </c>
      <c r="M51" s="481"/>
      <c r="N51" s="481"/>
      <c r="O51" s="481" t="s">
        <v>278</v>
      </c>
      <c r="P51" s="481"/>
      <c r="Q51" s="481"/>
      <c r="R51" s="481" t="s">
        <v>279</v>
      </c>
      <c r="S51" s="481"/>
      <c r="T51" s="481"/>
      <c r="U51" s="481" t="s">
        <v>280</v>
      </c>
      <c r="V51" s="481"/>
      <c r="W51" s="481"/>
      <c r="X51" s="82"/>
      <c r="Y51" s="83" t="s">
        <v>281</v>
      </c>
      <c r="Z51" s="83"/>
      <c r="AA51" s="83"/>
      <c r="AB51" s="83"/>
      <c r="AC51" s="82"/>
      <c r="AD51" s="84"/>
      <c r="AE51" s="24"/>
      <c r="AF51" s="24"/>
      <c r="AG51" s="24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6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</row>
    <row r="52" spans="1:200" s="23" customFormat="1" ht="14.25" customHeight="1" x14ac:dyDescent="0.2">
      <c r="A52" s="20"/>
      <c r="B52" s="85"/>
      <c r="C52" s="22"/>
      <c r="D52" s="22"/>
      <c r="E52" s="22"/>
      <c r="G52" s="22"/>
      <c r="H52" s="22"/>
      <c r="I52" s="22"/>
      <c r="K52" s="22"/>
      <c r="L52" s="22"/>
      <c r="M52" s="22"/>
      <c r="O52" s="22"/>
      <c r="P52" s="22"/>
      <c r="Q52" s="22"/>
      <c r="S52" s="22"/>
      <c r="T52" s="22"/>
      <c r="U52" s="22"/>
      <c r="W52" s="22"/>
      <c r="X52" s="22"/>
      <c r="Y52" s="22"/>
      <c r="AA52" s="22"/>
      <c r="AB52" s="22"/>
      <c r="AC52" s="22"/>
      <c r="AE52" s="86"/>
      <c r="AF52" s="24"/>
      <c r="AG52" s="24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6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</row>
    <row r="53" spans="1:200" s="23" customFormat="1" ht="14.25" customHeight="1" x14ac:dyDescent="0.2">
      <c r="A53" s="20"/>
      <c r="B53" s="85"/>
      <c r="C53" s="22"/>
      <c r="D53" s="22"/>
      <c r="E53" s="22"/>
      <c r="G53" s="22"/>
      <c r="H53" s="22"/>
      <c r="I53" s="22"/>
      <c r="K53" s="22"/>
      <c r="L53" s="22"/>
      <c r="M53" s="22"/>
      <c r="O53" s="22"/>
      <c r="P53" s="22"/>
      <c r="Q53" s="22"/>
      <c r="S53" s="22"/>
      <c r="T53" s="22"/>
      <c r="U53" s="22"/>
      <c r="W53" s="22"/>
      <c r="X53" s="22"/>
      <c r="Y53" s="22"/>
      <c r="AA53" s="22"/>
      <c r="AB53" s="22"/>
      <c r="AC53" s="22"/>
      <c r="AE53" s="83"/>
      <c r="AF53" s="24"/>
      <c r="AG53" s="24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6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</row>
    <row r="54" spans="1:200" s="23" customFormat="1" ht="14.25" customHeight="1" x14ac:dyDescent="0.2">
      <c r="A54" s="20"/>
      <c r="B54" s="85"/>
      <c r="C54" s="22"/>
      <c r="D54" s="22"/>
      <c r="E54" s="22"/>
      <c r="G54" s="22"/>
      <c r="H54" s="22"/>
      <c r="I54" s="22"/>
      <c r="K54" s="22"/>
      <c r="L54" s="22"/>
      <c r="M54" s="22"/>
      <c r="O54" s="22"/>
      <c r="P54" s="22"/>
      <c r="Q54" s="22"/>
      <c r="S54" s="22"/>
      <c r="T54" s="22"/>
      <c r="U54" s="22"/>
      <c r="W54" s="22"/>
      <c r="X54" s="22"/>
      <c r="Y54" s="22"/>
      <c r="AA54" s="22"/>
      <c r="AB54" s="22"/>
      <c r="AC54" s="22"/>
      <c r="AE54" s="83"/>
      <c r="AF54" s="24"/>
      <c r="AG54" s="24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6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</row>
    <row r="55" spans="1:200" s="23" customFormat="1" ht="14.25" customHeight="1" x14ac:dyDescent="0.2">
      <c r="A55" s="20"/>
      <c r="B55" s="85"/>
      <c r="C55" s="22"/>
      <c r="D55" s="22"/>
      <c r="E55" s="22"/>
      <c r="G55" s="22"/>
      <c r="H55" s="22"/>
      <c r="I55" s="22"/>
      <c r="K55" s="22"/>
      <c r="L55" s="22"/>
      <c r="M55" s="22"/>
      <c r="O55" s="22"/>
      <c r="P55" s="22"/>
      <c r="Q55" s="22"/>
      <c r="S55" s="22"/>
      <c r="T55" s="22"/>
      <c r="U55" s="22"/>
      <c r="W55" s="22"/>
      <c r="X55" s="22"/>
      <c r="Y55" s="22"/>
      <c r="AA55" s="22"/>
      <c r="AB55" s="22"/>
      <c r="AC55" s="22"/>
      <c r="AE55" s="24"/>
      <c r="AF55" s="24"/>
      <c r="AG55" s="24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6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</row>
    <row r="56" spans="1:200" s="23" customFormat="1" ht="14.25" customHeight="1" x14ac:dyDescent="0.2">
      <c r="A56" s="20"/>
      <c r="B56" s="85"/>
      <c r="C56" s="22"/>
      <c r="D56" s="22"/>
      <c r="E56" s="22"/>
      <c r="G56" s="22"/>
      <c r="H56" s="22"/>
      <c r="I56" s="22"/>
      <c r="K56" s="22"/>
      <c r="L56" s="22"/>
      <c r="M56" s="22"/>
      <c r="O56" s="22"/>
      <c r="P56" s="22"/>
      <c r="Q56" s="22"/>
      <c r="S56" s="22"/>
      <c r="T56" s="22"/>
      <c r="U56" s="22"/>
      <c r="W56" s="22"/>
      <c r="X56" s="22"/>
      <c r="Y56" s="22"/>
      <c r="AA56" s="22"/>
      <c r="AB56" s="22"/>
      <c r="AC56" s="22"/>
      <c r="AE56" s="24"/>
      <c r="AF56" s="24"/>
      <c r="AG56" s="24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6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</row>
    <row r="57" spans="1:200" s="23" customFormat="1" ht="14.25" customHeight="1" x14ac:dyDescent="0.2">
      <c r="A57" s="20"/>
      <c r="B57" s="85"/>
      <c r="C57" s="22"/>
      <c r="D57" s="22"/>
      <c r="E57" s="22"/>
      <c r="G57" s="22"/>
      <c r="H57" s="22"/>
      <c r="I57" s="22"/>
      <c r="K57" s="22"/>
      <c r="L57" s="22"/>
      <c r="M57" s="22"/>
      <c r="O57" s="22"/>
      <c r="P57" s="22"/>
      <c r="Q57" s="22"/>
      <c r="S57" s="22"/>
      <c r="T57" s="22"/>
      <c r="U57" s="22"/>
      <c r="W57" s="22"/>
      <c r="X57" s="22"/>
      <c r="Y57" s="22"/>
      <c r="AA57" s="22"/>
      <c r="AB57" s="22"/>
      <c r="AC57" s="22"/>
      <c r="AE57" s="24"/>
      <c r="AF57" s="24"/>
      <c r="AG57" s="24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6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</row>
    <row r="58" spans="1:200" s="23" customFormat="1" ht="14.25" customHeight="1" x14ac:dyDescent="0.2">
      <c r="A58" s="20"/>
      <c r="B58" s="85"/>
      <c r="C58" s="22"/>
      <c r="D58" s="22"/>
      <c r="E58" s="22"/>
      <c r="G58" s="22"/>
      <c r="H58" s="22"/>
      <c r="I58" s="22"/>
      <c r="K58" s="22"/>
      <c r="L58" s="22"/>
      <c r="M58" s="22"/>
      <c r="O58" s="22"/>
      <c r="P58" s="22"/>
      <c r="Q58" s="22"/>
      <c r="S58" s="22"/>
      <c r="T58" s="22"/>
      <c r="U58" s="22"/>
      <c r="W58" s="22"/>
      <c r="X58" s="22"/>
      <c r="Y58" s="22"/>
      <c r="AA58" s="22"/>
      <c r="AB58" s="22"/>
      <c r="AC58" s="22"/>
      <c r="AE58" s="24"/>
      <c r="AF58" s="24"/>
      <c r="AG58" s="24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6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</row>
    <row r="59" spans="1:200" s="23" customFormat="1" ht="14.25" customHeight="1" x14ac:dyDescent="0.2">
      <c r="A59" s="20"/>
      <c r="B59" s="85"/>
      <c r="C59" s="22"/>
      <c r="D59" s="22"/>
      <c r="E59" s="22"/>
      <c r="G59" s="22"/>
      <c r="H59" s="22"/>
      <c r="I59" s="22"/>
      <c r="K59" s="22"/>
      <c r="L59" s="22"/>
      <c r="M59" s="22"/>
      <c r="O59" s="22"/>
      <c r="P59" s="22"/>
      <c r="Q59" s="22"/>
      <c r="S59" s="22"/>
      <c r="T59" s="22"/>
      <c r="U59" s="22"/>
      <c r="W59" s="22"/>
      <c r="X59" s="22"/>
      <c r="Y59" s="22"/>
      <c r="AA59" s="22"/>
      <c r="AB59" s="22"/>
      <c r="AC59" s="22"/>
      <c r="AE59" s="24"/>
      <c r="AF59" s="24"/>
      <c r="AG59" s="24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6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</row>
    <row r="60" spans="1:200" s="23" customFormat="1" ht="14.25" customHeight="1" x14ac:dyDescent="0.2">
      <c r="A60" s="20"/>
      <c r="B60" s="85"/>
      <c r="C60" s="22"/>
      <c r="D60" s="22"/>
      <c r="E60" s="22"/>
      <c r="G60" s="22"/>
      <c r="H60" s="22"/>
      <c r="I60" s="22"/>
      <c r="K60" s="22"/>
      <c r="L60" s="22"/>
      <c r="M60" s="22"/>
      <c r="O60" s="22"/>
      <c r="P60" s="22"/>
      <c r="Q60" s="22"/>
      <c r="S60" s="22"/>
      <c r="T60" s="22"/>
      <c r="U60" s="22"/>
      <c r="W60" s="22"/>
      <c r="X60" s="22"/>
      <c r="Y60" s="22"/>
      <c r="AA60" s="22"/>
      <c r="AB60" s="22"/>
      <c r="AC60" s="22"/>
      <c r="AE60" s="24"/>
      <c r="AF60" s="24"/>
      <c r="AG60" s="24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6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</row>
    <row r="61" spans="1:200" s="23" customFormat="1" ht="14.25" customHeight="1" x14ac:dyDescent="0.2">
      <c r="A61" s="20"/>
      <c r="B61" s="85"/>
      <c r="C61" s="22"/>
      <c r="D61" s="22"/>
      <c r="E61" s="22"/>
      <c r="G61" s="22"/>
      <c r="H61" s="22"/>
      <c r="I61" s="22"/>
      <c r="K61" s="22"/>
      <c r="L61" s="22"/>
      <c r="M61" s="22"/>
      <c r="O61" s="22"/>
      <c r="P61" s="22"/>
      <c r="Q61" s="22"/>
      <c r="S61" s="22"/>
      <c r="T61" s="22"/>
      <c r="U61" s="22"/>
      <c r="W61" s="22"/>
      <c r="X61" s="22"/>
      <c r="Y61" s="22"/>
      <c r="AA61" s="22"/>
      <c r="AB61" s="22"/>
      <c r="AC61" s="22"/>
      <c r="AE61" s="24"/>
      <c r="AF61" s="24"/>
      <c r="AG61" s="24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6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</row>
    <row r="62" spans="1:200" s="23" customFormat="1" ht="14.25" customHeight="1" x14ac:dyDescent="0.2">
      <c r="A62" s="20"/>
      <c r="B62" s="85"/>
      <c r="C62" s="22"/>
      <c r="D62" s="22"/>
      <c r="E62" s="22"/>
      <c r="G62" s="22"/>
      <c r="H62" s="22"/>
      <c r="I62" s="22"/>
      <c r="K62" s="22"/>
      <c r="L62" s="22"/>
      <c r="M62" s="22"/>
      <c r="O62" s="22"/>
      <c r="P62" s="22"/>
      <c r="Q62" s="22"/>
      <c r="S62" s="22"/>
      <c r="T62" s="22"/>
      <c r="U62" s="22"/>
      <c r="W62" s="22"/>
      <c r="X62" s="22"/>
      <c r="Y62" s="22"/>
      <c r="AA62" s="22"/>
      <c r="AB62" s="22"/>
      <c r="AC62" s="22"/>
      <c r="AE62" s="24"/>
      <c r="AF62" s="24"/>
      <c r="AG62" s="24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6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</row>
    <row r="63" spans="1:200" s="23" customFormat="1" ht="14.25" customHeight="1" x14ac:dyDescent="0.2">
      <c r="A63" s="20"/>
      <c r="B63" s="85"/>
      <c r="C63" s="22"/>
      <c r="D63" s="22"/>
      <c r="E63" s="22"/>
      <c r="G63" s="22"/>
      <c r="H63" s="22"/>
      <c r="I63" s="22"/>
      <c r="K63" s="22"/>
      <c r="L63" s="22"/>
      <c r="M63" s="22"/>
      <c r="O63" s="22"/>
      <c r="P63" s="22"/>
      <c r="Q63" s="22"/>
      <c r="S63" s="22"/>
      <c r="T63" s="22"/>
      <c r="U63" s="22"/>
      <c r="W63" s="22"/>
      <c r="X63" s="22"/>
      <c r="Y63" s="22"/>
      <c r="AA63" s="22"/>
      <c r="AB63" s="22"/>
      <c r="AC63" s="22"/>
      <c r="AE63" s="24"/>
      <c r="AF63" s="24"/>
      <c r="AG63" s="24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6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</row>
    <row r="64" spans="1:200" s="23" customFormat="1" ht="14.25" customHeight="1" x14ac:dyDescent="0.2">
      <c r="A64" s="20"/>
      <c r="B64" s="85"/>
      <c r="C64" s="22"/>
      <c r="D64" s="22"/>
      <c r="E64" s="22"/>
      <c r="G64" s="22"/>
      <c r="H64" s="22"/>
      <c r="I64" s="22"/>
      <c r="K64" s="22"/>
      <c r="L64" s="22"/>
      <c r="M64" s="22"/>
      <c r="O64" s="22"/>
      <c r="P64" s="22"/>
      <c r="Q64" s="22"/>
      <c r="S64" s="22"/>
      <c r="T64" s="22"/>
      <c r="U64" s="22"/>
      <c r="W64" s="22"/>
      <c r="X64" s="22"/>
      <c r="Y64" s="22"/>
      <c r="AA64" s="22"/>
      <c r="AB64" s="22"/>
      <c r="AC64" s="22"/>
      <c r="AE64" s="24"/>
      <c r="AF64" s="24"/>
      <c r="AG64" s="24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6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</row>
    <row r="65" spans="1:200" s="23" customFormat="1" ht="14.25" customHeight="1" x14ac:dyDescent="0.2">
      <c r="A65" s="20"/>
      <c r="B65" s="85"/>
      <c r="C65" s="22"/>
      <c r="D65" s="22"/>
      <c r="E65" s="22"/>
      <c r="G65" s="22"/>
      <c r="H65" s="22"/>
      <c r="I65" s="22"/>
      <c r="K65" s="22"/>
      <c r="L65" s="22"/>
      <c r="M65" s="22"/>
      <c r="O65" s="22"/>
      <c r="P65" s="22"/>
      <c r="Q65" s="22"/>
      <c r="S65" s="22"/>
      <c r="T65" s="22"/>
      <c r="U65" s="22"/>
      <c r="W65" s="22"/>
      <c r="X65" s="22"/>
      <c r="Y65" s="22"/>
      <c r="AA65" s="22"/>
      <c r="AB65" s="22"/>
      <c r="AC65" s="22"/>
      <c r="AE65" s="24"/>
      <c r="AF65" s="24"/>
      <c r="AG65" s="24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6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</row>
    <row r="66" spans="1:200" s="23" customFormat="1" ht="14.25" customHeight="1" x14ac:dyDescent="0.2">
      <c r="A66" s="20"/>
      <c r="B66" s="85"/>
      <c r="C66" s="22"/>
      <c r="D66" s="22"/>
      <c r="E66" s="22"/>
      <c r="G66" s="22"/>
      <c r="H66" s="22"/>
      <c r="I66" s="22"/>
      <c r="K66" s="22"/>
      <c r="L66" s="22"/>
      <c r="M66" s="22"/>
      <c r="O66" s="22"/>
      <c r="P66" s="22"/>
      <c r="Q66" s="22"/>
      <c r="S66" s="22"/>
      <c r="T66" s="22"/>
      <c r="U66" s="22"/>
      <c r="W66" s="22"/>
      <c r="X66" s="22"/>
      <c r="Y66" s="22"/>
      <c r="AA66" s="22"/>
      <c r="AB66" s="22"/>
      <c r="AC66" s="22"/>
      <c r="AE66" s="24"/>
      <c r="AF66" s="24"/>
      <c r="AG66" s="24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6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</row>
    <row r="67" spans="1:200" s="23" customFormat="1" ht="14.25" customHeight="1" x14ac:dyDescent="0.2">
      <c r="A67" s="20"/>
      <c r="B67" s="85"/>
      <c r="C67" s="22"/>
      <c r="D67" s="22"/>
      <c r="E67" s="22"/>
      <c r="G67" s="22"/>
      <c r="H67" s="22"/>
      <c r="I67" s="22"/>
      <c r="K67" s="22"/>
      <c r="L67" s="22"/>
      <c r="M67" s="22"/>
      <c r="O67" s="22"/>
      <c r="P67" s="22"/>
      <c r="Q67" s="22"/>
      <c r="S67" s="22"/>
      <c r="T67" s="22"/>
      <c r="U67" s="22"/>
      <c r="W67" s="22"/>
      <c r="X67" s="22"/>
      <c r="Y67" s="22"/>
      <c r="AA67" s="22"/>
      <c r="AB67" s="22"/>
      <c r="AC67" s="22"/>
      <c r="AE67" s="24"/>
      <c r="AF67" s="24"/>
      <c r="AG67" s="24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6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</row>
    <row r="68" spans="1:200" s="23" customFormat="1" ht="14.25" customHeight="1" x14ac:dyDescent="0.2">
      <c r="A68" s="20"/>
      <c r="B68" s="85"/>
      <c r="C68" s="22"/>
      <c r="D68" s="22"/>
      <c r="E68" s="22"/>
      <c r="G68" s="22"/>
      <c r="H68" s="22"/>
      <c r="I68" s="22"/>
      <c r="K68" s="22"/>
      <c r="L68" s="22"/>
      <c r="M68" s="22"/>
      <c r="O68" s="22"/>
      <c r="P68" s="22"/>
      <c r="Q68" s="22"/>
      <c r="S68" s="22"/>
      <c r="T68" s="22"/>
      <c r="U68" s="22"/>
      <c r="W68" s="22"/>
      <c r="X68" s="22"/>
      <c r="Y68" s="22"/>
      <c r="AA68" s="22"/>
      <c r="AB68" s="22"/>
      <c r="AC68" s="22"/>
      <c r="AE68" s="24"/>
      <c r="AF68" s="24"/>
      <c r="AG68" s="24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6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</row>
    <row r="69" spans="1:200" s="23" customFormat="1" ht="14.25" customHeight="1" x14ac:dyDescent="0.2">
      <c r="A69" s="20"/>
      <c r="B69" s="85"/>
      <c r="C69" s="22"/>
      <c r="D69" s="22"/>
      <c r="E69" s="22"/>
      <c r="G69" s="22"/>
      <c r="H69" s="22"/>
      <c r="I69" s="22"/>
      <c r="K69" s="22"/>
      <c r="L69" s="22"/>
      <c r="M69" s="22"/>
      <c r="O69" s="22"/>
      <c r="P69" s="22"/>
      <c r="Q69" s="22"/>
      <c r="S69" s="22"/>
      <c r="T69" s="22"/>
      <c r="U69" s="22"/>
      <c r="W69" s="22"/>
      <c r="X69" s="22"/>
      <c r="Y69" s="22"/>
      <c r="AA69" s="22"/>
      <c r="AB69" s="22"/>
      <c r="AC69" s="22"/>
      <c r="AE69" s="24"/>
      <c r="AF69" s="24"/>
      <c r="AG69" s="24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6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</row>
    <row r="70" spans="1:200" s="23" customFormat="1" ht="14.25" customHeight="1" x14ac:dyDescent="0.2">
      <c r="A70" s="20"/>
      <c r="B70" s="85"/>
      <c r="C70" s="22"/>
      <c r="D70" s="22"/>
      <c r="E70" s="22"/>
      <c r="G70" s="22"/>
      <c r="H70" s="22"/>
      <c r="I70" s="22"/>
      <c r="K70" s="22"/>
      <c r="L70" s="22"/>
      <c r="M70" s="22"/>
      <c r="O70" s="22"/>
      <c r="P70" s="22"/>
      <c r="Q70" s="22"/>
      <c r="S70" s="22"/>
      <c r="T70" s="22"/>
      <c r="U70" s="22"/>
      <c r="W70" s="22"/>
      <c r="X70" s="22"/>
      <c r="Y70" s="22"/>
      <c r="AA70" s="22"/>
      <c r="AB70" s="22"/>
      <c r="AC70" s="22"/>
      <c r="AE70" s="24"/>
      <c r="AF70" s="24"/>
      <c r="AG70" s="24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6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</row>
    <row r="71" spans="1:200" s="23" customFormat="1" ht="14.25" customHeight="1" x14ac:dyDescent="0.2">
      <c r="A71" s="20"/>
      <c r="B71" s="85"/>
      <c r="C71" s="22"/>
      <c r="D71" s="22"/>
      <c r="E71" s="22"/>
      <c r="G71" s="22"/>
      <c r="H71" s="22"/>
      <c r="I71" s="22"/>
      <c r="K71" s="22"/>
      <c r="L71" s="22"/>
      <c r="M71" s="22"/>
      <c r="O71" s="22"/>
      <c r="P71" s="22"/>
      <c r="Q71" s="22"/>
      <c r="S71" s="22"/>
      <c r="T71" s="22"/>
      <c r="U71" s="22"/>
      <c r="W71" s="22"/>
      <c r="X71" s="22"/>
      <c r="Y71" s="22"/>
      <c r="AA71" s="22"/>
      <c r="AB71" s="22"/>
      <c r="AC71" s="22"/>
      <c r="AE71" s="24"/>
      <c r="AF71" s="24"/>
      <c r="AG71" s="24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6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</row>
    <row r="72" spans="1:200" s="23" customFormat="1" ht="14.25" customHeight="1" x14ac:dyDescent="0.2">
      <c r="A72" s="20"/>
      <c r="B72" s="85"/>
      <c r="C72" s="22"/>
      <c r="D72" s="22"/>
      <c r="E72" s="22"/>
      <c r="G72" s="22"/>
      <c r="H72" s="22"/>
      <c r="I72" s="22"/>
      <c r="K72" s="22"/>
      <c r="L72" s="22"/>
      <c r="M72" s="22"/>
      <c r="O72" s="22"/>
      <c r="P72" s="22"/>
      <c r="Q72" s="22"/>
      <c r="S72" s="22"/>
      <c r="T72" s="22"/>
      <c r="U72" s="22"/>
      <c r="W72" s="22"/>
      <c r="X72" s="22"/>
      <c r="Y72" s="22"/>
      <c r="AA72" s="22"/>
      <c r="AB72" s="22"/>
      <c r="AC72" s="22"/>
      <c r="AE72" s="24"/>
      <c r="AF72" s="24"/>
      <c r="AG72" s="24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6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</row>
    <row r="73" spans="1:200" s="23" customFormat="1" ht="14.25" customHeight="1" x14ac:dyDescent="0.2">
      <c r="A73" s="20"/>
      <c r="B73" s="85"/>
      <c r="C73" s="22"/>
      <c r="D73" s="22"/>
      <c r="E73" s="22"/>
      <c r="G73" s="22"/>
      <c r="H73" s="22"/>
      <c r="I73" s="22"/>
      <c r="K73" s="22"/>
      <c r="L73" s="22"/>
      <c r="M73" s="22"/>
      <c r="O73" s="22"/>
      <c r="P73" s="22"/>
      <c r="Q73" s="22"/>
      <c r="S73" s="22"/>
      <c r="T73" s="22"/>
      <c r="U73" s="22"/>
      <c r="W73" s="22"/>
      <c r="X73" s="22"/>
      <c r="Y73" s="22"/>
      <c r="AA73" s="22"/>
      <c r="AB73" s="22"/>
      <c r="AC73" s="22"/>
      <c r="AE73" s="24"/>
      <c r="AF73" s="24"/>
      <c r="AG73" s="24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6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</row>
    <row r="74" spans="1:200" s="23" customFormat="1" ht="14.25" customHeight="1" x14ac:dyDescent="0.2">
      <c r="A74" s="20"/>
      <c r="B74" s="85"/>
      <c r="C74" s="22"/>
      <c r="D74" s="22"/>
      <c r="E74" s="22"/>
      <c r="G74" s="22"/>
      <c r="H74" s="22"/>
      <c r="I74" s="22"/>
      <c r="K74" s="22"/>
      <c r="L74" s="22"/>
      <c r="M74" s="22"/>
      <c r="O74" s="22"/>
      <c r="P74" s="22"/>
      <c r="Q74" s="22"/>
      <c r="S74" s="22"/>
      <c r="T74" s="22"/>
      <c r="U74" s="22"/>
      <c r="W74" s="22"/>
      <c r="X74" s="22"/>
      <c r="Y74" s="22"/>
      <c r="AA74" s="22"/>
      <c r="AB74" s="22"/>
      <c r="AC74" s="22"/>
      <c r="AE74" s="24"/>
      <c r="AF74" s="24"/>
      <c r="AG74" s="24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6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</row>
    <row r="75" spans="1:200" s="23" customFormat="1" ht="14.25" customHeight="1" x14ac:dyDescent="0.2">
      <c r="A75" s="20"/>
      <c r="B75" s="85"/>
      <c r="C75" s="22"/>
      <c r="D75" s="22"/>
      <c r="E75" s="22"/>
      <c r="G75" s="22"/>
      <c r="H75" s="22"/>
      <c r="I75" s="22"/>
      <c r="K75" s="22"/>
      <c r="L75" s="22"/>
      <c r="M75" s="22"/>
      <c r="O75" s="22"/>
      <c r="P75" s="22"/>
      <c r="Q75" s="22"/>
      <c r="S75" s="22"/>
      <c r="T75" s="22"/>
      <c r="U75" s="22"/>
      <c r="W75" s="22"/>
      <c r="X75" s="22"/>
      <c r="Y75" s="22"/>
      <c r="AA75" s="22"/>
      <c r="AB75" s="22"/>
      <c r="AC75" s="22"/>
      <c r="AE75" s="24"/>
      <c r="AF75" s="24"/>
      <c r="AG75" s="24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6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</row>
    <row r="76" spans="1:200" s="23" customFormat="1" ht="14.25" customHeight="1" x14ac:dyDescent="0.2">
      <c r="A76" s="20"/>
      <c r="B76" s="85"/>
      <c r="C76" s="22"/>
      <c r="D76" s="22"/>
      <c r="E76" s="22"/>
      <c r="G76" s="22"/>
      <c r="H76" s="22"/>
      <c r="I76" s="22"/>
      <c r="K76" s="22"/>
      <c r="L76" s="22"/>
      <c r="M76" s="22"/>
      <c r="O76" s="22"/>
      <c r="P76" s="22"/>
      <c r="Q76" s="22"/>
      <c r="S76" s="22"/>
      <c r="T76" s="22"/>
      <c r="U76" s="22"/>
      <c r="W76" s="22"/>
      <c r="X76" s="22"/>
      <c r="Y76" s="22"/>
      <c r="AA76" s="22"/>
      <c r="AB76" s="22"/>
      <c r="AC76" s="22"/>
      <c r="AE76" s="24"/>
      <c r="AF76" s="24"/>
      <c r="AG76" s="24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6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</row>
    <row r="77" spans="1:200" s="23" customFormat="1" ht="14.25" customHeight="1" x14ac:dyDescent="0.2">
      <c r="A77" s="20"/>
      <c r="B77" s="85"/>
      <c r="C77" s="22"/>
      <c r="D77" s="22"/>
      <c r="E77" s="22"/>
      <c r="G77" s="22"/>
      <c r="H77" s="22"/>
      <c r="I77" s="22"/>
      <c r="K77" s="22"/>
      <c r="L77" s="22"/>
      <c r="M77" s="22"/>
      <c r="O77" s="22"/>
      <c r="P77" s="22"/>
      <c r="Q77" s="22"/>
      <c r="S77" s="22"/>
      <c r="T77" s="22"/>
      <c r="U77" s="22"/>
      <c r="W77" s="22"/>
      <c r="X77" s="22"/>
      <c r="Y77" s="22"/>
      <c r="AA77" s="22"/>
      <c r="AB77" s="22"/>
      <c r="AC77" s="22"/>
      <c r="AE77" s="24"/>
      <c r="AF77" s="24"/>
      <c r="AG77" s="24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6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</row>
    <row r="78" spans="1:200" s="23" customFormat="1" ht="14.25" customHeight="1" x14ac:dyDescent="0.2">
      <c r="A78" s="20"/>
      <c r="B78" s="85"/>
      <c r="C78" s="22"/>
      <c r="D78" s="22"/>
      <c r="E78" s="22"/>
      <c r="G78" s="22"/>
      <c r="H78" s="22"/>
      <c r="I78" s="22"/>
      <c r="K78" s="22"/>
      <c r="L78" s="22"/>
      <c r="M78" s="22"/>
      <c r="O78" s="22"/>
      <c r="P78" s="22"/>
      <c r="Q78" s="22"/>
      <c r="S78" s="22"/>
      <c r="T78" s="22"/>
      <c r="U78" s="22"/>
      <c r="W78" s="22"/>
      <c r="X78" s="22"/>
      <c r="Y78" s="22"/>
      <c r="AA78" s="22"/>
      <c r="AB78" s="22"/>
      <c r="AC78" s="22"/>
      <c r="AE78" s="24"/>
      <c r="AF78" s="24"/>
      <c r="AG78" s="24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6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</row>
    <row r="79" spans="1:200" s="23" customFormat="1" ht="14.25" customHeight="1" x14ac:dyDescent="0.2">
      <c r="A79" s="20"/>
      <c r="B79" s="85"/>
      <c r="C79" s="22"/>
      <c r="D79" s="22"/>
      <c r="E79" s="22"/>
      <c r="G79" s="22"/>
      <c r="H79" s="22"/>
      <c r="I79" s="22"/>
      <c r="K79" s="22"/>
      <c r="L79" s="22"/>
      <c r="M79" s="22"/>
      <c r="O79" s="22"/>
      <c r="P79" s="22"/>
      <c r="Q79" s="22"/>
      <c r="S79" s="22"/>
      <c r="T79" s="22"/>
      <c r="U79" s="22"/>
      <c r="W79" s="22"/>
      <c r="X79" s="22"/>
      <c r="Y79" s="22"/>
      <c r="AA79" s="22"/>
      <c r="AB79" s="22"/>
      <c r="AC79" s="22"/>
      <c r="AE79" s="24"/>
      <c r="AF79" s="24"/>
      <c r="AG79" s="24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6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</row>
    <row r="80" spans="1:200" s="23" customFormat="1" ht="14.25" customHeight="1" x14ac:dyDescent="0.2">
      <c r="A80" s="20"/>
      <c r="B80" s="85"/>
      <c r="C80" s="22"/>
      <c r="D80" s="22"/>
      <c r="E80" s="22"/>
      <c r="G80" s="22"/>
      <c r="H80" s="22"/>
      <c r="I80" s="22"/>
      <c r="K80" s="22"/>
      <c r="L80" s="22"/>
      <c r="M80" s="22"/>
      <c r="O80" s="22"/>
      <c r="P80" s="22"/>
      <c r="Q80" s="22"/>
      <c r="S80" s="22"/>
      <c r="T80" s="22"/>
      <c r="U80" s="22"/>
      <c r="W80" s="22"/>
      <c r="X80" s="22"/>
      <c r="Y80" s="22"/>
      <c r="AA80" s="22"/>
      <c r="AB80" s="22"/>
      <c r="AC80" s="22"/>
      <c r="AE80" s="24"/>
      <c r="AF80" s="24"/>
      <c r="AG80" s="24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6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</row>
    <row r="81" spans="1:200" s="23" customFormat="1" ht="14.25" customHeight="1" x14ac:dyDescent="0.2">
      <c r="A81" s="20"/>
      <c r="B81" s="85"/>
      <c r="C81" s="22"/>
      <c r="D81" s="22"/>
      <c r="E81" s="22"/>
      <c r="G81" s="22"/>
      <c r="H81" s="22"/>
      <c r="I81" s="22"/>
      <c r="K81" s="22"/>
      <c r="L81" s="22"/>
      <c r="M81" s="22"/>
      <c r="O81" s="22"/>
      <c r="P81" s="22"/>
      <c r="Q81" s="22"/>
      <c r="S81" s="22"/>
      <c r="T81" s="22"/>
      <c r="U81" s="22"/>
      <c r="W81" s="22"/>
      <c r="X81" s="22"/>
      <c r="Y81" s="22"/>
      <c r="AA81" s="22"/>
      <c r="AB81" s="22"/>
      <c r="AC81" s="22"/>
      <c r="AE81" s="24"/>
      <c r="AF81" s="24"/>
      <c r="AG81" s="24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6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</row>
    <row r="82" spans="1:200" s="23" customFormat="1" ht="14.25" customHeight="1" x14ac:dyDescent="0.2">
      <c r="A82" s="20"/>
      <c r="B82" s="85"/>
      <c r="C82" s="22"/>
      <c r="D82" s="22"/>
      <c r="E82" s="22"/>
      <c r="G82" s="22"/>
      <c r="H82" s="22"/>
      <c r="I82" s="22"/>
      <c r="K82" s="22"/>
      <c r="L82" s="22"/>
      <c r="M82" s="22"/>
      <c r="O82" s="22"/>
      <c r="P82" s="22"/>
      <c r="Q82" s="22"/>
      <c r="S82" s="22"/>
      <c r="T82" s="22"/>
      <c r="U82" s="22"/>
      <c r="W82" s="22"/>
      <c r="X82" s="22"/>
      <c r="Y82" s="22"/>
      <c r="AA82" s="22"/>
      <c r="AB82" s="22"/>
      <c r="AC82" s="22"/>
      <c r="AE82" s="24"/>
      <c r="AF82" s="24"/>
      <c r="AG82" s="24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6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</row>
    <row r="83" spans="1:200" s="23" customFormat="1" ht="14.25" customHeight="1" x14ac:dyDescent="0.2">
      <c r="A83" s="20"/>
      <c r="B83" s="85"/>
      <c r="C83" s="22"/>
      <c r="D83" s="22"/>
      <c r="E83" s="22"/>
      <c r="G83" s="22"/>
      <c r="H83" s="22"/>
      <c r="I83" s="22"/>
      <c r="K83" s="22"/>
      <c r="L83" s="22"/>
      <c r="M83" s="22"/>
      <c r="O83" s="22"/>
      <c r="P83" s="22"/>
      <c r="Q83" s="22"/>
      <c r="S83" s="22"/>
      <c r="T83" s="22"/>
      <c r="U83" s="22"/>
      <c r="W83" s="22"/>
      <c r="X83" s="22"/>
      <c r="Y83" s="22"/>
      <c r="AA83" s="22"/>
      <c r="AB83" s="22"/>
      <c r="AC83" s="22"/>
      <c r="AE83" s="24"/>
      <c r="AF83" s="24"/>
      <c r="AG83" s="24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6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</row>
    <row r="84" spans="1:200" s="23" customFormat="1" ht="14.25" customHeight="1" x14ac:dyDescent="0.2">
      <c r="A84" s="20"/>
      <c r="B84" s="85"/>
      <c r="C84" s="22"/>
      <c r="D84" s="22"/>
      <c r="E84" s="22"/>
      <c r="G84" s="22"/>
      <c r="H84" s="22"/>
      <c r="I84" s="22"/>
      <c r="K84" s="22"/>
      <c r="L84" s="22"/>
      <c r="M84" s="22"/>
      <c r="O84" s="22"/>
      <c r="P84" s="22"/>
      <c r="Q84" s="22"/>
      <c r="S84" s="22"/>
      <c r="T84" s="22"/>
      <c r="U84" s="22"/>
      <c r="W84" s="22"/>
      <c r="X84" s="22"/>
      <c r="Y84" s="22"/>
      <c r="AA84" s="22"/>
      <c r="AB84" s="22"/>
      <c r="AC84" s="22"/>
      <c r="AE84" s="24"/>
      <c r="AF84" s="24"/>
      <c r="AG84" s="24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6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</row>
    <row r="85" spans="1:200" s="23" customFormat="1" ht="14.25" customHeight="1" x14ac:dyDescent="0.2">
      <c r="A85" s="20"/>
      <c r="B85" s="85"/>
      <c r="C85" s="22"/>
      <c r="D85" s="22"/>
      <c r="E85" s="22"/>
      <c r="G85" s="22"/>
      <c r="H85" s="22"/>
      <c r="I85" s="22"/>
      <c r="K85" s="22"/>
      <c r="L85" s="22"/>
      <c r="M85" s="22"/>
      <c r="O85" s="22"/>
      <c r="P85" s="22"/>
      <c r="Q85" s="22"/>
      <c r="S85" s="22"/>
      <c r="T85" s="22"/>
      <c r="U85" s="22"/>
      <c r="W85" s="22"/>
      <c r="X85" s="22"/>
      <c r="Y85" s="22"/>
      <c r="AA85" s="22"/>
      <c r="AB85" s="22"/>
      <c r="AC85" s="22"/>
      <c r="AE85" s="24"/>
      <c r="AF85" s="24"/>
      <c r="AG85" s="24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6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</row>
    <row r="86" spans="1:200" s="23" customFormat="1" ht="14.25" customHeight="1" x14ac:dyDescent="0.2">
      <c r="A86" s="20"/>
      <c r="B86" s="85"/>
      <c r="C86" s="22"/>
      <c r="D86" s="22"/>
      <c r="E86" s="22"/>
      <c r="G86" s="22"/>
      <c r="H86" s="22"/>
      <c r="I86" s="22"/>
      <c r="K86" s="22"/>
      <c r="L86" s="22"/>
      <c r="M86" s="22"/>
      <c r="O86" s="22"/>
      <c r="P86" s="22"/>
      <c r="Q86" s="22"/>
      <c r="S86" s="22"/>
      <c r="T86" s="22"/>
      <c r="U86" s="22"/>
      <c r="W86" s="22"/>
      <c r="X86" s="22"/>
      <c r="Y86" s="22"/>
      <c r="AA86" s="22"/>
      <c r="AB86" s="22"/>
      <c r="AC86" s="22"/>
      <c r="AE86" s="24"/>
      <c r="AF86" s="24"/>
      <c r="AG86" s="24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6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</row>
    <row r="87" spans="1:200" s="23" customFormat="1" ht="14.25" customHeight="1" x14ac:dyDescent="0.2">
      <c r="A87" s="20"/>
      <c r="B87" s="85"/>
      <c r="C87" s="22"/>
      <c r="D87" s="22"/>
      <c r="E87" s="22"/>
      <c r="G87" s="22"/>
      <c r="H87" s="22"/>
      <c r="I87" s="22"/>
      <c r="K87" s="22"/>
      <c r="L87" s="22"/>
      <c r="M87" s="22"/>
      <c r="O87" s="22"/>
      <c r="P87" s="22"/>
      <c r="Q87" s="22"/>
      <c r="S87" s="22"/>
      <c r="T87" s="22"/>
      <c r="U87" s="22"/>
      <c r="W87" s="22"/>
      <c r="X87" s="22"/>
      <c r="Y87" s="22"/>
      <c r="AA87" s="22"/>
      <c r="AB87" s="22"/>
      <c r="AC87" s="22"/>
      <c r="AE87" s="24"/>
      <c r="AF87" s="24"/>
      <c r="AG87" s="24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6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</row>
    <row r="88" spans="1:200" s="23" customFormat="1" ht="14.25" customHeight="1" x14ac:dyDescent="0.2">
      <c r="A88" s="20"/>
      <c r="B88" s="85"/>
      <c r="C88" s="22"/>
      <c r="D88" s="22"/>
      <c r="E88" s="22"/>
      <c r="G88" s="22"/>
      <c r="H88" s="22"/>
      <c r="I88" s="22"/>
      <c r="K88" s="22"/>
      <c r="L88" s="22"/>
      <c r="M88" s="22"/>
      <c r="O88" s="22"/>
      <c r="P88" s="22"/>
      <c r="Q88" s="22"/>
      <c r="S88" s="22"/>
      <c r="T88" s="22"/>
      <c r="U88" s="22"/>
      <c r="W88" s="22"/>
      <c r="X88" s="22"/>
      <c r="Y88" s="22"/>
      <c r="AA88" s="22"/>
      <c r="AB88" s="22"/>
      <c r="AC88" s="22"/>
      <c r="AE88" s="24"/>
      <c r="AF88" s="24"/>
      <c r="AG88" s="24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6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</row>
    <row r="89" spans="1:200" s="23" customFormat="1" ht="14.25" customHeight="1" x14ac:dyDescent="0.2">
      <c r="A89" s="20"/>
      <c r="B89" s="85"/>
      <c r="C89" s="22"/>
      <c r="D89" s="22"/>
      <c r="E89" s="22"/>
      <c r="G89" s="22"/>
      <c r="H89" s="22"/>
      <c r="I89" s="22"/>
      <c r="K89" s="22"/>
      <c r="L89" s="22"/>
      <c r="M89" s="22"/>
      <c r="O89" s="22"/>
      <c r="P89" s="22"/>
      <c r="Q89" s="22"/>
      <c r="S89" s="22"/>
      <c r="T89" s="22"/>
      <c r="U89" s="22"/>
      <c r="W89" s="22"/>
      <c r="X89" s="22"/>
      <c r="Y89" s="22"/>
      <c r="AA89" s="22"/>
      <c r="AB89" s="22"/>
      <c r="AC89" s="22"/>
      <c r="AE89" s="24"/>
      <c r="AF89" s="24"/>
      <c r="AG89" s="24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6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</row>
    <row r="90" spans="1:200" s="23" customFormat="1" ht="14.25" customHeight="1" x14ac:dyDescent="0.2">
      <c r="A90" s="20"/>
      <c r="B90" s="85"/>
      <c r="C90" s="22"/>
      <c r="D90" s="22"/>
      <c r="E90" s="22"/>
      <c r="G90" s="22"/>
      <c r="H90" s="22"/>
      <c r="I90" s="22"/>
      <c r="K90" s="22"/>
      <c r="L90" s="22"/>
      <c r="M90" s="22"/>
      <c r="O90" s="22"/>
      <c r="P90" s="22"/>
      <c r="Q90" s="22"/>
      <c r="S90" s="22"/>
      <c r="T90" s="22"/>
      <c r="U90" s="22"/>
      <c r="W90" s="22"/>
      <c r="X90" s="22"/>
      <c r="Y90" s="22"/>
      <c r="AA90" s="22"/>
      <c r="AB90" s="22"/>
      <c r="AC90" s="22"/>
      <c r="AE90" s="24"/>
      <c r="AF90" s="24"/>
      <c r="AG90" s="24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6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</row>
    <row r="91" spans="1:200" s="23" customFormat="1" ht="14.25" customHeight="1" x14ac:dyDescent="0.2">
      <c r="A91" s="20"/>
      <c r="B91" s="85"/>
      <c r="C91" s="22"/>
      <c r="D91" s="22"/>
      <c r="E91" s="22"/>
      <c r="G91" s="22"/>
      <c r="H91" s="22"/>
      <c r="I91" s="22"/>
      <c r="K91" s="22"/>
      <c r="L91" s="22"/>
      <c r="M91" s="22"/>
      <c r="O91" s="22"/>
      <c r="P91" s="22"/>
      <c r="Q91" s="22"/>
      <c r="S91" s="22"/>
      <c r="T91" s="22"/>
      <c r="U91" s="22"/>
      <c r="W91" s="22"/>
      <c r="X91" s="22"/>
      <c r="Y91" s="22"/>
      <c r="AA91" s="22"/>
      <c r="AB91" s="22"/>
      <c r="AC91" s="22"/>
      <c r="AE91" s="24"/>
      <c r="AF91" s="24"/>
      <c r="AG91" s="24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6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</row>
    <row r="92" spans="1:200" s="23" customFormat="1" ht="14.25" customHeight="1" x14ac:dyDescent="0.2">
      <c r="A92" s="20"/>
      <c r="B92" s="85"/>
      <c r="C92" s="22"/>
      <c r="D92" s="22"/>
      <c r="E92" s="22"/>
      <c r="G92" s="22"/>
      <c r="H92" s="22"/>
      <c r="I92" s="22"/>
      <c r="K92" s="22"/>
      <c r="L92" s="22"/>
      <c r="M92" s="22"/>
      <c r="O92" s="22"/>
      <c r="P92" s="22"/>
      <c r="Q92" s="22"/>
      <c r="S92" s="22"/>
      <c r="T92" s="22"/>
      <c r="U92" s="22"/>
      <c r="W92" s="22"/>
      <c r="X92" s="22"/>
      <c r="Y92" s="22"/>
      <c r="AA92" s="22"/>
      <c r="AB92" s="22"/>
      <c r="AC92" s="22"/>
      <c r="AE92" s="24"/>
      <c r="AF92" s="24"/>
      <c r="AG92" s="24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6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</row>
    <row r="93" spans="1:200" s="23" customFormat="1" ht="14.25" customHeight="1" x14ac:dyDescent="0.2">
      <c r="A93" s="20"/>
      <c r="B93" s="85"/>
      <c r="C93" s="22"/>
      <c r="D93" s="22"/>
      <c r="E93" s="22"/>
      <c r="G93" s="22"/>
      <c r="H93" s="22"/>
      <c r="I93" s="22"/>
      <c r="K93" s="22"/>
      <c r="L93" s="22"/>
      <c r="M93" s="22"/>
      <c r="O93" s="22"/>
      <c r="P93" s="22"/>
      <c r="Q93" s="22"/>
      <c r="S93" s="22"/>
      <c r="T93" s="22"/>
      <c r="U93" s="22"/>
      <c r="W93" s="22"/>
      <c r="X93" s="22"/>
      <c r="Y93" s="22"/>
      <c r="AA93" s="22"/>
      <c r="AB93" s="22"/>
      <c r="AC93" s="22"/>
      <c r="AE93" s="24"/>
      <c r="AF93" s="24"/>
      <c r="AG93" s="24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6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</row>
    <row r="94" spans="1:200" s="23" customFormat="1" ht="14.25" customHeight="1" x14ac:dyDescent="0.2">
      <c r="A94" s="20"/>
      <c r="B94" s="85"/>
      <c r="C94" s="22"/>
      <c r="D94" s="22"/>
      <c r="E94" s="22"/>
      <c r="G94" s="22"/>
      <c r="H94" s="22"/>
      <c r="I94" s="22"/>
      <c r="K94" s="22"/>
      <c r="L94" s="22"/>
      <c r="M94" s="22"/>
      <c r="O94" s="22"/>
      <c r="P94" s="22"/>
      <c r="Q94" s="22"/>
      <c r="S94" s="22"/>
      <c r="T94" s="22"/>
      <c r="U94" s="22"/>
      <c r="W94" s="22"/>
      <c r="X94" s="22"/>
      <c r="Y94" s="22"/>
      <c r="AA94" s="22"/>
      <c r="AB94" s="22"/>
      <c r="AC94" s="22"/>
      <c r="AE94" s="24"/>
      <c r="AF94" s="24"/>
      <c r="AG94" s="24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6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</row>
    <row r="95" spans="1:200" s="23" customFormat="1" ht="14.25" customHeight="1" x14ac:dyDescent="0.2">
      <c r="A95" s="20"/>
      <c r="B95" s="85"/>
      <c r="C95" s="22"/>
      <c r="D95" s="22"/>
      <c r="E95" s="22"/>
      <c r="G95" s="22"/>
      <c r="H95" s="22"/>
      <c r="I95" s="22"/>
      <c r="K95" s="22"/>
      <c r="L95" s="22"/>
      <c r="M95" s="22"/>
      <c r="O95" s="22"/>
      <c r="P95" s="22"/>
      <c r="Q95" s="22"/>
      <c r="S95" s="22"/>
      <c r="T95" s="22"/>
      <c r="U95" s="22"/>
      <c r="W95" s="22"/>
      <c r="X95" s="22"/>
      <c r="Y95" s="22"/>
      <c r="AA95" s="22"/>
      <c r="AB95" s="22"/>
      <c r="AC95" s="22"/>
      <c r="AE95" s="24"/>
      <c r="AF95" s="24"/>
      <c r="AG95" s="24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6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</row>
    <row r="96" spans="1:200" s="23" customFormat="1" ht="14.25" customHeight="1" x14ac:dyDescent="0.2">
      <c r="A96" s="20"/>
      <c r="B96" s="85"/>
      <c r="C96" s="22"/>
      <c r="D96" s="22"/>
      <c r="E96" s="22"/>
      <c r="G96" s="22"/>
      <c r="H96" s="22"/>
      <c r="I96" s="22"/>
      <c r="K96" s="22"/>
      <c r="L96" s="22"/>
      <c r="M96" s="22"/>
      <c r="O96" s="22"/>
      <c r="P96" s="22"/>
      <c r="Q96" s="22"/>
      <c r="S96" s="22"/>
      <c r="T96" s="22"/>
      <c r="U96" s="22"/>
      <c r="W96" s="22"/>
      <c r="X96" s="22"/>
      <c r="Y96" s="22"/>
      <c r="AA96" s="22"/>
      <c r="AB96" s="22"/>
      <c r="AC96" s="22"/>
      <c r="AE96" s="24"/>
      <c r="AF96" s="24"/>
      <c r="AG96" s="24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6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</row>
    <row r="97" spans="1:200" s="23" customFormat="1" ht="14.25" customHeight="1" x14ac:dyDescent="0.2">
      <c r="A97" s="20"/>
      <c r="B97" s="85"/>
      <c r="C97" s="22"/>
      <c r="D97" s="22"/>
      <c r="E97" s="22"/>
      <c r="G97" s="22"/>
      <c r="H97" s="22"/>
      <c r="I97" s="22"/>
      <c r="K97" s="22"/>
      <c r="L97" s="22"/>
      <c r="M97" s="22"/>
      <c r="O97" s="22"/>
      <c r="P97" s="22"/>
      <c r="Q97" s="22"/>
      <c r="S97" s="22"/>
      <c r="T97" s="22"/>
      <c r="U97" s="22"/>
      <c r="W97" s="22"/>
      <c r="X97" s="22"/>
      <c r="Y97" s="22"/>
      <c r="AA97" s="22"/>
      <c r="AB97" s="22"/>
      <c r="AC97" s="22"/>
      <c r="AE97" s="24"/>
      <c r="AF97" s="24"/>
      <c r="AG97" s="24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6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</row>
    <row r="98" spans="1:200" s="23" customFormat="1" ht="14.25" customHeight="1" x14ac:dyDescent="0.2">
      <c r="A98" s="20"/>
      <c r="B98" s="85"/>
      <c r="C98" s="22"/>
      <c r="D98" s="22"/>
      <c r="E98" s="22"/>
      <c r="G98" s="22"/>
      <c r="H98" s="22"/>
      <c r="I98" s="22"/>
      <c r="K98" s="22"/>
      <c r="L98" s="22"/>
      <c r="M98" s="22"/>
      <c r="O98" s="22"/>
      <c r="P98" s="22"/>
      <c r="Q98" s="22"/>
      <c r="S98" s="22"/>
      <c r="T98" s="22"/>
      <c r="U98" s="22"/>
      <c r="W98" s="22"/>
      <c r="X98" s="22"/>
      <c r="Y98" s="22"/>
      <c r="AA98" s="22"/>
      <c r="AB98" s="22"/>
      <c r="AC98" s="22"/>
      <c r="AE98" s="24"/>
      <c r="AF98" s="24"/>
      <c r="AG98" s="24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6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</row>
    <row r="99" spans="1:200" s="23" customFormat="1" ht="14.25" customHeight="1" x14ac:dyDescent="0.2">
      <c r="A99" s="20"/>
      <c r="B99" s="85"/>
      <c r="C99" s="22"/>
      <c r="D99" s="22"/>
      <c r="E99" s="22"/>
      <c r="G99" s="22"/>
      <c r="H99" s="22"/>
      <c r="I99" s="22"/>
      <c r="K99" s="22"/>
      <c r="L99" s="22"/>
      <c r="M99" s="22"/>
      <c r="O99" s="22"/>
      <c r="P99" s="22"/>
      <c r="Q99" s="22"/>
      <c r="S99" s="22"/>
      <c r="T99" s="22"/>
      <c r="U99" s="22"/>
      <c r="W99" s="22"/>
      <c r="X99" s="22"/>
      <c r="Y99" s="22"/>
      <c r="AA99" s="22"/>
      <c r="AB99" s="22"/>
      <c r="AC99" s="22"/>
      <c r="AE99" s="24"/>
      <c r="AF99" s="24"/>
      <c r="AG99" s="24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6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</row>
    <row r="100" spans="1:200" s="23" customFormat="1" ht="14.25" customHeight="1" x14ac:dyDescent="0.2">
      <c r="A100" s="20"/>
      <c r="B100" s="85"/>
      <c r="C100" s="22"/>
      <c r="D100" s="22"/>
      <c r="E100" s="22"/>
      <c r="G100" s="22"/>
      <c r="H100" s="22"/>
      <c r="I100" s="22"/>
      <c r="K100" s="22"/>
      <c r="L100" s="22"/>
      <c r="M100" s="22"/>
      <c r="O100" s="22"/>
      <c r="P100" s="22"/>
      <c r="Q100" s="22"/>
      <c r="S100" s="22"/>
      <c r="T100" s="22"/>
      <c r="U100" s="22"/>
      <c r="W100" s="22"/>
      <c r="X100" s="22"/>
      <c r="Y100" s="22"/>
      <c r="AA100" s="22"/>
      <c r="AB100" s="22"/>
      <c r="AC100" s="22"/>
      <c r="AE100" s="24"/>
      <c r="AF100" s="24"/>
      <c r="AG100" s="24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6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</row>
    <row r="101" spans="1:200" s="23" customFormat="1" ht="14.25" customHeight="1" x14ac:dyDescent="0.2">
      <c r="A101" s="20"/>
      <c r="B101" s="85"/>
      <c r="C101" s="22"/>
      <c r="D101" s="22"/>
      <c r="E101" s="22"/>
      <c r="G101" s="22"/>
      <c r="H101" s="22"/>
      <c r="I101" s="22"/>
      <c r="K101" s="22"/>
      <c r="L101" s="22"/>
      <c r="M101" s="22"/>
      <c r="O101" s="22"/>
      <c r="P101" s="22"/>
      <c r="Q101" s="22"/>
      <c r="S101" s="22"/>
      <c r="T101" s="22"/>
      <c r="U101" s="22"/>
      <c r="W101" s="22"/>
      <c r="X101" s="22"/>
      <c r="Y101" s="22"/>
      <c r="AA101" s="22"/>
      <c r="AB101" s="22"/>
      <c r="AC101" s="22"/>
      <c r="AE101" s="24"/>
      <c r="AF101" s="24"/>
      <c r="AG101" s="24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6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</row>
    <row r="102" spans="1:200" s="23" customFormat="1" ht="14.25" customHeight="1" x14ac:dyDescent="0.2">
      <c r="A102" s="20"/>
      <c r="B102" s="85"/>
      <c r="C102" s="22"/>
      <c r="D102" s="22"/>
      <c r="E102" s="22"/>
      <c r="G102" s="22"/>
      <c r="H102" s="22"/>
      <c r="I102" s="22"/>
      <c r="K102" s="22"/>
      <c r="L102" s="22"/>
      <c r="M102" s="22"/>
      <c r="O102" s="22"/>
      <c r="P102" s="22"/>
      <c r="Q102" s="22"/>
      <c r="S102" s="22"/>
      <c r="T102" s="22"/>
      <c r="U102" s="22"/>
      <c r="W102" s="22"/>
      <c r="X102" s="22"/>
      <c r="Y102" s="22"/>
      <c r="AA102" s="22"/>
      <c r="AB102" s="22"/>
      <c r="AC102" s="22"/>
      <c r="AE102" s="24"/>
      <c r="AF102" s="24"/>
      <c r="AG102" s="24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6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</row>
    <row r="103" spans="1:200" s="23" customFormat="1" ht="14.25" customHeight="1" x14ac:dyDescent="0.2">
      <c r="A103" s="20"/>
      <c r="B103" s="85"/>
      <c r="C103" s="22"/>
      <c r="D103" s="22"/>
      <c r="E103" s="22"/>
      <c r="G103" s="22"/>
      <c r="H103" s="22"/>
      <c r="I103" s="22"/>
      <c r="K103" s="22"/>
      <c r="L103" s="22"/>
      <c r="M103" s="22"/>
      <c r="O103" s="22"/>
      <c r="P103" s="22"/>
      <c r="Q103" s="22"/>
      <c r="S103" s="22"/>
      <c r="T103" s="22"/>
      <c r="U103" s="22"/>
      <c r="W103" s="22"/>
      <c r="X103" s="22"/>
      <c r="Y103" s="22"/>
      <c r="AA103" s="22"/>
      <c r="AB103" s="22"/>
      <c r="AC103" s="22"/>
      <c r="AE103" s="24"/>
      <c r="AF103" s="24"/>
      <c r="AG103" s="24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6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</row>
    <row r="104" spans="1:200" s="23" customFormat="1" ht="14.25" customHeight="1" x14ac:dyDescent="0.2">
      <c r="A104" s="20"/>
      <c r="B104" s="85"/>
      <c r="C104" s="22"/>
      <c r="D104" s="22"/>
      <c r="E104" s="22"/>
      <c r="G104" s="22"/>
      <c r="H104" s="22"/>
      <c r="I104" s="22"/>
      <c r="K104" s="22"/>
      <c r="L104" s="22"/>
      <c r="M104" s="22"/>
      <c r="O104" s="22"/>
      <c r="P104" s="22"/>
      <c r="Q104" s="22"/>
      <c r="S104" s="22"/>
      <c r="T104" s="22"/>
      <c r="U104" s="22"/>
      <c r="W104" s="22"/>
      <c r="X104" s="22"/>
      <c r="Y104" s="22"/>
      <c r="AA104" s="22"/>
      <c r="AB104" s="22"/>
      <c r="AC104" s="22"/>
      <c r="AE104" s="24"/>
      <c r="AF104" s="24"/>
      <c r="AG104" s="24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6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</row>
    <row r="105" spans="1:200" s="23" customFormat="1" ht="14.25" customHeight="1" x14ac:dyDescent="0.2">
      <c r="A105" s="20"/>
      <c r="B105" s="85"/>
      <c r="C105" s="22"/>
      <c r="D105" s="22"/>
      <c r="E105" s="22"/>
      <c r="G105" s="22"/>
      <c r="H105" s="22"/>
      <c r="I105" s="22"/>
      <c r="K105" s="22"/>
      <c r="L105" s="22"/>
      <c r="M105" s="22"/>
      <c r="O105" s="22"/>
      <c r="P105" s="22"/>
      <c r="Q105" s="22"/>
      <c r="S105" s="22"/>
      <c r="T105" s="22"/>
      <c r="U105" s="22"/>
      <c r="W105" s="22"/>
      <c r="X105" s="22"/>
      <c r="Y105" s="22"/>
      <c r="AA105" s="22"/>
      <c r="AB105" s="22"/>
      <c r="AC105" s="22"/>
      <c r="AE105" s="24"/>
      <c r="AF105" s="24"/>
      <c r="AG105" s="24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6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</row>
    <row r="106" spans="1:200" s="23" customFormat="1" ht="14.25" customHeight="1" x14ac:dyDescent="0.2">
      <c r="A106" s="20"/>
      <c r="B106" s="85"/>
      <c r="C106" s="22"/>
      <c r="D106" s="22"/>
      <c r="E106" s="22"/>
      <c r="G106" s="22"/>
      <c r="H106" s="22"/>
      <c r="I106" s="22"/>
      <c r="K106" s="22"/>
      <c r="L106" s="22"/>
      <c r="M106" s="22"/>
      <c r="O106" s="22"/>
      <c r="P106" s="22"/>
      <c r="Q106" s="22"/>
      <c r="S106" s="22"/>
      <c r="T106" s="22"/>
      <c r="U106" s="22"/>
      <c r="W106" s="22"/>
      <c r="X106" s="22"/>
      <c r="Y106" s="22"/>
      <c r="AA106" s="22"/>
      <c r="AB106" s="22"/>
      <c r="AC106" s="22"/>
      <c r="AE106" s="24"/>
      <c r="AF106" s="24"/>
      <c r="AG106" s="24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6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</row>
    <row r="107" spans="1:200" s="23" customFormat="1" ht="14.25" customHeight="1" x14ac:dyDescent="0.2">
      <c r="A107" s="20"/>
      <c r="B107" s="85"/>
      <c r="C107" s="22"/>
      <c r="D107" s="22"/>
      <c r="E107" s="22"/>
      <c r="G107" s="22"/>
      <c r="H107" s="22"/>
      <c r="I107" s="22"/>
      <c r="K107" s="22"/>
      <c r="L107" s="22"/>
      <c r="M107" s="22"/>
      <c r="O107" s="22"/>
      <c r="P107" s="22"/>
      <c r="Q107" s="22"/>
      <c r="S107" s="22"/>
      <c r="T107" s="22"/>
      <c r="U107" s="22"/>
      <c r="W107" s="22"/>
      <c r="X107" s="22"/>
      <c r="Y107" s="22"/>
      <c r="AA107" s="22"/>
      <c r="AB107" s="22"/>
      <c r="AC107" s="22"/>
      <c r="AE107" s="24"/>
      <c r="AF107" s="24"/>
      <c r="AG107" s="24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6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</row>
    <row r="108" spans="1:200" s="23" customFormat="1" ht="14.25" customHeight="1" x14ac:dyDescent="0.2">
      <c r="A108" s="20"/>
      <c r="B108" s="85"/>
      <c r="C108" s="22"/>
      <c r="D108" s="22"/>
      <c r="E108" s="22"/>
      <c r="G108" s="22"/>
      <c r="H108" s="22"/>
      <c r="I108" s="22"/>
      <c r="K108" s="22"/>
      <c r="L108" s="22"/>
      <c r="M108" s="22"/>
      <c r="O108" s="22"/>
      <c r="P108" s="22"/>
      <c r="Q108" s="22"/>
      <c r="S108" s="22"/>
      <c r="T108" s="22"/>
      <c r="U108" s="22"/>
      <c r="W108" s="22"/>
      <c r="X108" s="22"/>
      <c r="Y108" s="22"/>
      <c r="AA108" s="22"/>
      <c r="AB108" s="22"/>
      <c r="AC108" s="22"/>
      <c r="AE108" s="24"/>
      <c r="AF108" s="24"/>
      <c r="AG108" s="24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6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</row>
    <row r="109" spans="1:200" s="23" customFormat="1" ht="14.25" customHeight="1" x14ac:dyDescent="0.2">
      <c r="A109" s="20"/>
      <c r="B109" s="85"/>
      <c r="C109" s="22"/>
      <c r="D109" s="22"/>
      <c r="E109" s="22"/>
      <c r="G109" s="22"/>
      <c r="H109" s="22"/>
      <c r="I109" s="22"/>
      <c r="K109" s="22"/>
      <c r="L109" s="22"/>
      <c r="M109" s="22"/>
      <c r="O109" s="22"/>
      <c r="P109" s="22"/>
      <c r="Q109" s="22"/>
      <c r="S109" s="22"/>
      <c r="T109" s="22"/>
      <c r="U109" s="22"/>
      <c r="W109" s="22"/>
      <c r="X109" s="22"/>
      <c r="Y109" s="22"/>
      <c r="AA109" s="22"/>
      <c r="AB109" s="22"/>
      <c r="AC109" s="22"/>
      <c r="AE109" s="24"/>
      <c r="AF109" s="24"/>
      <c r="AG109" s="24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6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</row>
    <row r="110" spans="1:200" s="23" customFormat="1" ht="14.25" customHeight="1" x14ac:dyDescent="0.2">
      <c r="A110" s="20"/>
      <c r="B110" s="85"/>
      <c r="C110" s="22"/>
      <c r="D110" s="22"/>
      <c r="E110" s="22"/>
      <c r="G110" s="22"/>
      <c r="H110" s="22"/>
      <c r="I110" s="22"/>
      <c r="K110" s="22"/>
      <c r="L110" s="22"/>
      <c r="M110" s="22"/>
      <c r="O110" s="22"/>
      <c r="P110" s="22"/>
      <c r="Q110" s="22"/>
      <c r="S110" s="22"/>
      <c r="T110" s="22"/>
      <c r="U110" s="22"/>
      <c r="W110" s="22"/>
      <c r="X110" s="22"/>
      <c r="Y110" s="22"/>
      <c r="AA110" s="22"/>
      <c r="AB110" s="22"/>
      <c r="AC110" s="22"/>
      <c r="AE110" s="24"/>
      <c r="AF110" s="24"/>
      <c r="AG110" s="24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6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</row>
    <row r="111" spans="1:200" s="23" customFormat="1" ht="14.25" customHeight="1" x14ac:dyDescent="0.2">
      <c r="A111" s="20"/>
      <c r="B111" s="85"/>
      <c r="C111" s="22"/>
      <c r="D111" s="22"/>
      <c r="E111" s="22"/>
      <c r="G111" s="22"/>
      <c r="H111" s="22"/>
      <c r="I111" s="22"/>
      <c r="K111" s="22"/>
      <c r="L111" s="22"/>
      <c r="M111" s="22"/>
      <c r="O111" s="22"/>
      <c r="P111" s="22"/>
      <c r="Q111" s="22"/>
      <c r="S111" s="22"/>
      <c r="T111" s="22"/>
      <c r="U111" s="22"/>
      <c r="W111" s="22"/>
      <c r="X111" s="22"/>
      <c r="Y111" s="22"/>
      <c r="AA111" s="22"/>
      <c r="AB111" s="22"/>
      <c r="AC111" s="22"/>
      <c r="AE111" s="24"/>
      <c r="AF111" s="24"/>
      <c r="AG111" s="24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6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</row>
    <row r="112" spans="1:200" s="23" customFormat="1" ht="14.25" customHeight="1" x14ac:dyDescent="0.2">
      <c r="A112" s="20"/>
      <c r="B112" s="85"/>
      <c r="C112" s="22"/>
      <c r="D112" s="22"/>
      <c r="E112" s="22"/>
      <c r="G112" s="22"/>
      <c r="H112" s="22"/>
      <c r="I112" s="22"/>
      <c r="K112" s="22"/>
      <c r="L112" s="22"/>
      <c r="M112" s="22"/>
      <c r="O112" s="22"/>
      <c r="P112" s="22"/>
      <c r="Q112" s="22"/>
      <c r="S112" s="22"/>
      <c r="T112" s="22"/>
      <c r="U112" s="22"/>
      <c r="W112" s="22"/>
      <c r="X112" s="22"/>
      <c r="Y112" s="22"/>
      <c r="AA112" s="22"/>
      <c r="AB112" s="22"/>
      <c r="AC112" s="22"/>
      <c r="AE112" s="24"/>
      <c r="AF112" s="24"/>
      <c r="AG112" s="24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6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</row>
    <row r="113" spans="1:200" s="23" customFormat="1" ht="14.25" customHeight="1" x14ac:dyDescent="0.2">
      <c r="A113" s="20"/>
      <c r="B113" s="85"/>
      <c r="C113" s="22"/>
      <c r="D113" s="22"/>
      <c r="E113" s="22"/>
      <c r="G113" s="22"/>
      <c r="H113" s="22"/>
      <c r="I113" s="22"/>
      <c r="K113" s="22"/>
      <c r="L113" s="22"/>
      <c r="M113" s="22"/>
      <c r="O113" s="22"/>
      <c r="P113" s="22"/>
      <c r="Q113" s="22"/>
      <c r="S113" s="22"/>
      <c r="T113" s="22"/>
      <c r="U113" s="22"/>
      <c r="W113" s="22"/>
      <c r="X113" s="22"/>
      <c r="Y113" s="22"/>
      <c r="AA113" s="22"/>
      <c r="AB113" s="22"/>
      <c r="AC113" s="22"/>
      <c r="AE113" s="24"/>
      <c r="AF113" s="24"/>
      <c r="AG113" s="24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6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</row>
    <row r="114" spans="1:200" s="23" customFormat="1" ht="14.25" customHeight="1" x14ac:dyDescent="0.2">
      <c r="A114" s="20"/>
      <c r="B114" s="85"/>
      <c r="C114" s="22"/>
      <c r="D114" s="22"/>
      <c r="E114" s="22"/>
      <c r="G114" s="22"/>
      <c r="H114" s="22"/>
      <c r="I114" s="22"/>
      <c r="K114" s="22"/>
      <c r="L114" s="22"/>
      <c r="M114" s="22"/>
      <c r="O114" s="22"/>
      <c r="P114" s="22"/>
      <c r="Q114" s="22"/>
      <c r="S114" s="22"/>
      <c r="T114" s="22"/>
      <c r="U114" s="22"/>
      <c r="W114" s="22"/>
      <c r="X114" s="22"/>
      <c r="Y114" s="22"/>
      <c r="AA114" s="22"/>
      <c r="AB114" s="22"/>
      <c r="AC114" s="22"/>
      <c r="AE114" s="24"/>
      <c r="AF114" s="24"/>
      <c r="AG114" s="24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6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</row>
    <row r="115" spans="1:200" s="23" customFormat="1" ht="14.25" customHeight="1" x14ac:dyDescent="0.2">
      <c r="A115" s="20"/>
      <c r="B115" s="85"/>
      <c r="C115" s="22"/>
      <c r="D115" s="22"/>
      <c r="E115" s="22"/>
      <c r="G115" s="22"/>
      <c r="H115" s="22"/>
      <c r="I115" s="22"/>
      <c r="K115" s="22"/>
      <c r="L115" s="22"/>
      <c r="M115" s="22"/>
      <c r="O115" s="22"/>
      <c r="P115" s="22"/>
      <c r="Q115" s="22"/>
      <c r="S115" s="22"/>
      <c r="T115" s="22"/>
      <c r="U115" s="22"/>
      <c r="W115" s="22"/>
      <c r="X115" s="22"/>
      <c r="Y115" s="22"/>
      <c r="AA115" s="22"/>
      <c r="AB115" s="22"/>
      <c r="AC115" s="22"/>
      <c r="AE115" s="24"/>
      <c r="AF115" s="24"/>
      <c r="AG115" s="24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6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</row>
    <row r="116" spans="1:200" s="23" customFormat="1" ht="14.25" customHeight="1" x14ac:dyDescent="0.2">
      <c r="A116" s="20"/>
      <c r="B116" s="85"/>
      <c r="C116" s="22"/>
      <c r="D116" s="22"/>
      <c r="E116" s="22"/>
      <c r="G116" s="22"/>
      <c r="H116" s="22"/>
      <c r="I116" s="22"/>
      <c r="K116" s="22"/>
      <c r="L116" s="22"/>
      <c r="M116" s="22"/>
      <c r="O116" s="22"/>
      <c r="P116" s="22"/>
      <c r="Q116" s="22"/>
      <c r="S116" s="22"/>
      <c r="T116" s="22"/>
      <c r="U116" s="22"/>
      <c r="W116" s="22"/>
      <c r="X116" s="22"/>
      <c r="Y116" s="22"/>
      <c r="AA116" s="22"/>
      <c r="AB116" s="22"/>
      <c r="AC116" s="22"/>
      <c r="AE116" s="24"/>
      <c r="AF116" s="24"/>
      <c r="AG116" s="24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6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</row>
    <row r="117" spans="1:200" s="23" customFormat="1" ht="14.25" customHeight="1" x14ac:dyDescent="0.2">
      <c r="A117" s="20"/>
      <c r="B117" s="85"/>
      <c r="C117" s="22"/>
      <c r="D117" s="22"/>
      <c r="E117" s="22"/>
      <c r="G117" s="22"/>
      <c r="H117" s="22"/>
      <c r="I117" s="22"/>
      <c r="K117" s="22"/>
      <c r="L117" s="22"/>
      <c r="M117" s="22"/>
      <c r="O117" s="22"/>
      <c r="P117" s="22"/>
      <c r="Q117" s="22"/>
      <c r="S117" s="22"/>
      <c r="T117" s="22"/>
      <c r="U117" s="22"/>
      <c r="W117" s="22"/>
      <c r="X117" s="22"/>
      <c r="Y117" s="22"/>
      <c r="AA117" s="22"/>
      <c r="AB117" s="22"/>
      <c r="AC117" s="22"/>
      <c r="AE117" s="24"/>
      <c r="AF117" s="24"/>
      <c r="AG117" s="24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6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</row>
    <row r="118" spans="1:200" s="23" customFormat="1" ht="14.25" customHeight="1" x14ac:dyDescent="0.2">
      <c r="A118" s="20"/>
      <c r="B118" s="85"/>
      <c r="C118" s="22"/>
      <c r="D118" s="22"/>
      <c r="E118" s="22"/>
      <c r="G118" s="22"/>
      <c r="H118" s="22"/>
      <c r="I118" s="22"/>
      <c r="K118" s="22"/>
      <c r="L118" s="22"/>
      <c r="M118" s="22"/>
      <c r="O118" s="22"/>
      <c r="P118" s="22"/>
      <c r="Q118" s="22"/>
      <c r="S118" s="22"/>
      <c r="T118" s="22"/>
      <c r="U118" s="22"/>
      <c r="W118" s="22"/>
      <c r="X118" s="22"/>
      <c r="Y118" s="22"/>
      <c r="AA118" s="22"/>
      <c r="AB118" s="22"/>
      <c r="AC118" s="22"/>
      <c r="AE118" s="24"/>
      <c r="AF118" s="24"/>
      <c r="AG118" s="24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6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</row>
    <row r="119" spans="1:200" s="23" customFormat="1" ht="14.25" customHeight="1" x14ac:dyDescent="0.2">
      <c r="A119" s="20"/>
      <c r="B119" s="85"/>
      <c r="C119" s="22"/>
      <c r="D119" s="22"/>
      <c r="E119" s="22"/>
      <c r="G119" s="22"/>
      <c r="H119" s="22"/>
      <c r="I119" s="22"/>
      <c r="K119" s="22"/>
      <c r="L119" s="22"/>
      <c r="M119" s="22"/>
      <c r="O119" s="22"/>
      <c r="P119" s="22"/>
      <c r="Q119" s="22"/>
      <c r="S119" s="22"/>
      <c r="T119" s="22"/>
      <c r="U119" s="22"/>
      <c r="W119" s="22"/>
      <c r="X119" s="22"/>
      <c r="Y119" s="22"/>
      <c r="AA119" s="22"/>
      <c r="AB119" s="22"/>
      <c r="AC119" s="22"/>
      <c r="AE119" s="24"/>
      <c r="AF119" s="24"/>
      <c r="AG119" s="24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6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</row>
    <row r="120" spans="1:200" s="23" customFormat="1" ht="14.25" customHeight="1" x14ac:dyDescent="0.2">
      <c r="A120" s="20"/>
      <c r="B120" s="85"/>
      <c r="C120" s="22"/>
      <c r="D120" s="22"/>
      <c r="E120" s="22"/>
      <c r="G120" s="22"/>
      <c r="H120" s="22"/>
      <c r="I120" s="22"/>
      <c r="K120" s="22"/>
      <c r="L120" s="22"/>
      <c r="M120" s="22"/>
      <c r="O120" s="22"/>
      <c r="P120" s="22"/>
      <c r="Q120" s="22"/>
      <c r="S120" s="22"/>
      <c r="T120" s="22"/>
      <c r="U120" s="22"/>
      <c r="W120" s="22"/>
      <c r="X120" s="22"/>
      <c r="Y120" s="22"/>
      <c r="AA120" s="22"/>
      <c r="AB120" s="22"/>
      <c r="AC120" s="22"/>
      <c r="AE120" s="24"/>
      <c r="AF120" s="24"/>
      <c r="AG120" s="24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6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</row>
    <row r="121" spans="1:200" s="23" customFormat="1" ht="14.25" customHeight="1" x14ac:dyDescent="0.2">
      <c r="A121" s="20"/>
      <c r="B121" s="85"/>
      <c r="C121" s="22"/>
      <c r="D121" s="22"/>
      <c r="E121" s="22"/>
      <c r="G121" s="22"/>
      <c r="H121" s="22"/>
      <c r="I121" s="22"/>
      <c r="K121" s="22"/>
      <c r="L121" s="22"/>
      <c r="M121" s="22"/>
      <c r="O121" s="22"/>
      <c r="P121" s="22"/>
      <c r="Q121" s="22"/>
      <c r="S121" s="22"/>
      <c r="T121" s="22"/>
      <c r="U121" s="22"/>
      <c r="W121" s="22"/>
      <c r="X121" s="22"/>
      <c r="Y121" s="22"/>
      <c r="AA121" s="22"/>
      <c r="AB121" s="22"/>
      <c r="AC121" s="22"/>
      <c r="AE121" s="24"/>
      <c r="AF121" s="24"/>
      <c r="AG121" s="24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6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</row>
    <row r="122" spans="1:200" s="23" customFormat="1" ht="14.25" customHeight="1" x14ac:dyDescent="0.2">
      <c r="A122" s="20"/>
      <c r="B122" s="85"/>
      <c r="C122" s="22"/>
      <c r="D122" s="22"/>
      <c r="E122" s="22"/>
      <c r="G122" s="22"/>
      <c r="H122" s="22"/>
      <c r="I122" s="22"/>
      <c r="K122" s="22"/>
      <c r="L122" s="22"/>
      <c r="M122" s="22"/>
      <c r="O122" s="22"/>
      <c r="P122" s="22"/>
      <c r="Q122" s="22"/>
      <c r="S122" s="22"/>
      <c r="T122" s="22"/>
      <c r="U122" s="22"/>
      <c r="W122" s="22"/>
      <c r="X122" s="22"/>
      <c r="Y122" s="22"/>
      <c r="AA122" s="22"/>
      <c r="AB122" s="22"/>
      <c r="AC122" s="22"/>
      <c r="AE122" s="24"/>
      <c r="AF122" s="24"/>
      <c r="AG122" s="24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6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</row>
    <row r="123" spans="1:200" s="23" customFormat="1" ht="14.25" customHeight="1" x14ac:dyDescent="0.2">
      <c r="A123" s="20"/>
      <c r="B123" s="85"/>
      <c r="C123" s="22"/>
      <c r="D123" s="22"/>
      <c r="E123" s="22"/>
      <c r="G123" s="22"/>
      <c r="H123" s="22"/>
      <c r="I123" s="22"/>
      <c r="K123" s="22"/>
      <c r="L123" s="22"/>
      <c r="M123" s="22"/>
      <c r="O123" s="22"/>
      <c r="P123" s="22"/>
      <c r="Q123" s="22"/>
      <c r="S123" s="22"/>
      <c r="T123" s="22"/>
      <c r="U123" s="22"/>
      <c r="W123" s="22"/>
      <c r="X123" s="22"/>
      <c r="Y123" s="22"/>
      <c r="AA123" s="22"/>
      <c r="AB123" s="22"/>
      <c r="AC123" s="22"/>
      <c r="AE123" s="24"/>
      <c r="AF123" s="24"/>
      <c r="AG123" s="24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6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</row>
    <row r="124" spans="1:200" s="23" customFormat="1" ht="14.25" customHeight="1" x14ac:dyDescent="0.2">
      <c r="A124" s="20"/>
      <c r="B124" s="85"/>
      <c r="C124" s="22"/>
      <c r="D124" s="22"/>
      <c r="E124" s="22"/>
      <c r="G124" s="22"/>
      <c r="H124" s="22"/>
      <c r="I124" s="22"/>
      <c r="K124" s="22"/>
      <c r="L124" s="22"/>
      <c r="M124" s="22"/>
      <c r="O124" s="22"/>
      <c r="P124" s="22"/>
      <c r="Q124" s="22"/>
      <c r="S124" s="22"/>
      <c r="T124" s="22"/>
      <c r="U124" s="22"/>
      <c r="W124" s="22"/>
      <c r="X124" s="22"/>
      <c r="Y124" s="22"/>
      <c r="AA124" s="22"/>
      <c r="AB124" s="22"/>
      <c r="AC124" s="22"/>
      <c r="AE124" s="24"/>
      <c r="AF124" s="24"/>
      <c r="AG124" s="24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6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</row>
    <row r="125" spans="1:200" s="23" customFormat="1" ht="14.25" customHeight="1" x14ac:dyDescent="0.2">
      <c r="A125" s="20"/>
      <c r="B125" s="85"/>
      <c r="C125" s="22"/>
      <c r="D125" s="22"/>
      <c r="E125" s="22"/>
      <c r="G125" s="22"/>
      <c r="H125" s="22"/>
      <c r="I125" s="22"/>
      <c r="K125" s="22"/>
      <c r="L125" s="22"/>
      <c r="M125" s="22"/>
      <c r="O125" s="22"/>
      <c r="P125" s="22"/>
      <c r="Q125" s="22"/>
      <c r="S125" s="22"/>
      <c r="T125" s="22"/>
      <c r="U125" s="22"/>
      <c r="W125" s="22"/>
      <c r="X125" s="22"/>
      <c r="Y125" s="22"/>
      <c r="AA125" s="22"/>
      <c r="AB125" s="22"/>
      <c r="AC125" s="22"/>
      <c r="AE125" s="24"/>
      <c r="AF125" s="24"/>
      <c r="AG125" s="24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6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</row>
    <row r="126" spans="1:200" s="23" customFormat="1" ht="14.25" customHeight="1" x14ac:dyDescent="0.2">
      <c r="A126" s="20"/>
      <c r="B126" s="85"/>
      <c r="C126" s="22"/>
      <c r="D126" s="22"/>
      <c r="E126" s="22"/>
      <c r="G126" s="22"/>
      <c r="H126" s="22"/>
      <c r="I126" s="22"/>
      <c r="K126" s="22"/>
      <c r="L126" s="22"/>
      <c r="M126" s="22"/>
      <c r="O126" s="22"/>
      <c r="P126" s="22"/>
      <c r="Q126" s="22"/>
      <c r="S126" s="22"/>
      <c r="T126" s="22"/>
      <c r="U126" s="22"/>
      <c r="W126" s="22"/>
      <c r="X126" s="22"/>
      <c r="Y126" s="22"/>
      <c r="AA126" s="22"/>
      <c r="AB126" s="22"/>
      <c r="AC126" s="22"/>
      <c r="AE126" s="24"/>
      <c r="AF126" s="24"/>
      <c r="AG126" s="24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6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</row>
    <row r="127" spans="1:200" s="23" customFormat="1" ht="14.25" customHeight="1" x14ac:dyDescent="0.2">
      <c r="A127" s="20"/>
      <c r="B127" s="85"/>
      <c r="C127" s="22"/>
      <c r="D127" s="22"/>
      <c r="E127" s="22"/>
      <c r="G127" s="22"/>
      <c r="H127" s="22"/>
      <c r="I127" s="22"/>
      <c r="K127" s="22"/>
      <c r="L127" s="22"/>
      <c r="M127" s="22"/>
      <c r="O127" s="22"/>
      <c r="P127" s="22"/>
      <c r="Q127" s="22"/>
      <c r="S127" s="22"/>
      <c r="T127" s="22"/>
      <c r="U127" s="22"/>
      <c r="W127" s="22"/>
      <c r="X127" s="22"/>
      <c r="Y127" s="22"/>
      <c r="AA127" s="22"/>
      <c r="AB127" s="22"/>
      <c r="AC127" s="22"/>
      <c r="AE127" s="24"/>
      <c r="AF127" s="24"/>
      <c r="AG127" s="24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6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</row>
    <row r="128" spans="1:200" s="23" customFormat="1" ht="14.25" customHeight="1" x14ac:dyDescent="0.2">
      <c r="A128" s="20"/>
      <c r="B128" s="85"/>
      <c r="C128" s="22"/>
      <c r="D128" s="22"/>
      <c r="E128" s="22"/>
      <c r="G128" s="22"/>
      <c r="H128" s="22"/>
      <c r="I128" s="22"/>
      <c r="K128" s="22"/>
      <c r="L128" s="22"/>
      <c r="M128" s="22"/>
      <c r="O128" s="22"/>
      <c r="P128" s="22"/>
      <c r="Q128" s="22"/>
      <c r="S128" s="22"/>
      <c r="T128" s="22"/>
      <c r="U128" s="22"/>
      <c r="W128" s="22"/>
      <c r="X128" s="22"/>
      <c r="Y128" s="22"/>
      <c r="AA128" s="22"/>
      <c r="AB128" s="22"/>
      <c r="AC128" s="22"/>
      <c r="AE128" s="24"/>
      <c r="AF128" s="24"/>
      <c r="AG128" s="24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6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</row>
    <row r="129" spans="1:200" s="23" customFormat="1" ht="14.25" customHeight="1" x14ac:dyDescent="0.2">
      <c r="A129" s="20"/>
      <c r="B129" s="85"/>
      <c r="C129" s="22"/>
      <c r="D129" s="22"/>
      <c r="E129" s="22"/>
      <c r="G129" s="22"/>
      <c r="H129" s="22"/>
      <c r="I129" s="22"/>
      <c r="K129" s="22"/>
      <c r="L129" s="22"/>
      <c r="M129" s="22"/>
      <c r="O129" s="22"/>
      <c r="P129" s="22"/>
      <c r="Q129" s="22"/>
      <c r="S129" s="22"/>
      <c r="T129" s="22"/>
      <c r="U129" s="22"/>
      <c r="W129" s="22"/>
      <c r="X129" s="22"/>
      <c r="Y129" s="22"/>
      <c r="AA129" s="22"/>
      <c r="AB129" s="22"/>
      <c r="AC129" s="22"/>
      <c r="AE129" s="24"/>
      <c r="AF129" s="24"/>
      <c r="AG129" s="24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6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</row>
    <row r="130" spans="1:200" s="23" customFormat="1" ht="14.25" customHeight="1" x14ac:dyDescent="0.2">
      <c r="A130" s="20"/>
      <c r="B130" s="85"/>
      <c r="C130" s="22"/>
      <c r="D130" s="22"/>
      <c r="E130" s="22"/>
      <c r="G130" s="22"/>
      <c r="H130" s="22"/>
      <c r="I130" s="22"/>
      <c r="K130" s="22"/>
      <c r="L130" s="22"/>
      <c r="M130" s="22"/>
      <c r="O130" s="22"/>
      <c r="P130" s="22"/>
      <c r="Q130" s="22"/>
      <c r="S130" s="22"/>
      <c r="T130" s="22"/>
      <c r="U130" s="22"/>
      <c r="W130" s="22"/>
      <c r="X130" s="22"/>
      <c r="Y130" s="22"/>
      <c r="AA130" s="22"/>
      <c r="AB130" s="22"/>
      <c r="AC130" s="22"/>
      <c r="AE130" s="24"/>
      <c r="AF130" s="24"/>
      <c r="AG130" s="24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6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</row>
    <row r="131" spans="1:200" s="23" customFormat="1" ht="14.25" customHeight="1" x14ac:dyDescent="0.2">
      <c r="A131" s="20"/>
      <c r="B131" s="85"/>
      <c r="C131" s="22"/>
      <c r="D131" s="22"/>
      <c r="E131" s="22"/>
      <c r="G131" s="22"/>
      <c r="H131" s="22"/>
      <c r="I131" s="22"/>
      <c r="K131" s="22"/>
      <c r="L131" s="22"/>
      <c r="M131" s="22"/>
      <c r="O131" s="22"/>
      <c r="P131" s="22"/>
      <c r="Q131" s="22"/>
      <c r="S131" s="22"/>
      <c r="T131" s="22"/>
      <c r="U131" s="22"/>
      <c r="W131" s="22"/>
      <c r="X131" s="22"/>
      <c r="Y131" s="22"/>
      <c r="AA131" s="22"/>
      <c r="AB131" s="22"/>
      <c r="AC131" s="22"/>
      <c r="AE131" s="24"/>
      <c r="AF131" s="24"/>
      <c r="AG131" s="24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6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</row>
    <row r="132" spans="1:200" s="23" customFormat="1" ht="14.25" customHeight="1" x14ac:dyDescent="0.2">
      <c r="A132" s="20"/>
      <c r="B132" s="85"/>
      <c r="C132" s="22"/>
      <c r="D132" s="22"/>
      <c r="E132" s="22"/>
      <c r="G132" s="22"/>
      <c r="H132" s="22"/>
      <c r="I132" s="22"/>
      <c r="K132" s="22"/>
      <c r="L132" s="22"/>
      <c r="M132" s="22"/>
      <c r="O132" s="22"/>
      <c r="P132" s="22"/>
      <c r="Q132" s="22"/>
      <c r="S132" s="22"/>
      <c r="T132" s="22"/>
      <c r="U132" s="22"/>
      <c r="W132" s="22"/>
      <c r="X132" s="22"/>
      <c r="Y132" s="22"/>
      <c r="AA132" s="22"/>
      <c r="AB132" s="22"/>
      <c r="AC132" s="22"/>
      <c r="AE132" s="24"/>
      <c r="AF132" s="24"/>
      <c r="AG132" s="24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6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</row>
    <row r="133" spans="1:200" s="23" customFormat="1" ht="14.25" customHeight="1" x14ac:dyDescent="0.2">
      <c r="A133" s="20"/>
      <c r="B133" s="85"/>
      <c r="C133" s="22"/>
      <c r="D133" s="22"/>
      <c r="E133" s="22"/>
      <c r="G133" s="22"/>
      <c r="H133" s="22"/>
      <c r="I133" s="22"/>
      <c r="K133" s="22"/>
      <c r="L133" s="22"/>
      <c r="M133" s="22"/>
      <c r="O133" s="22"/>
      <c r="P133" s="22"/>
      <c r="Q133" s="22"/>
      <c r="S133" s="22"/>
      <c r="T133" s="22"/>
      <c r="U133" s="22"/>
      <c r="W133" s="22"/>
      <c r="X133" s="22"/>
      <c r="Y133" s="22"/>
      <c r="AA133" s="22"/>
      <c r="AB133" s="22"/>
      <c r="AC133" s="22"/>
      <c r="AE133" s="24"/>
      <c r="AF133" s="24"/>
      <c r="AG133" s="24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6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</row>
    <row r="134" spans="1:200" s="23" customFormat="1" ht="14.25" customHeight="1" x14ac:dyDescent="0.2">
      <c r="A134" s="20"/>
      <c r="B134" s="85"/>
      <c r="C134" s="22"/>
      <c r="D134" s="22"/>
      <c r="E134" s="22"/>
      <c r="G134" s="22"/>
      <c r="H134" s="22"/>
      <c r="I134" s="22"/>
      <c r="K134" s="22"/>
      <c r="L134" s="22"/>
      <c r="M134" s="22"/>
      <c r="O134" s="22"/>
      <c r="P134" s="22"/>
      <c r="Q134" s="22"/>
      <c r="S134" s="22"/>
      <c r="T134" s="22"/>
      <c r="U134" s="22"/>
      <c r="W134" s="22"/>
      <c r="X134" s="22"/>
      <c r="Y134" s="22"/>
      <c r="AA134" s="22"/>
      <c r="AB134" s="22"/>
      <c r="AC134" s="22"/>
      <c r="AE134" s="24"/>
      <c r="AF134" s="24"/>
      <c r="AG134" s="24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6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</row>
    <row r="135" spans="1:200" s="23" customFormat="1" ht="14.25" customHeight="1" x14ac:dyDescent="0.2">
      <c r="A135" s="20"/>
      <c r="B135" s="85"/>
      <c r="C135" s="22"/>
      <c r="D135" s="22"/>
      <c r="E135" s="22"/>
      <c r="G135" s="22"/>
      <c r="H135" s="22"/>
      <c r="I135" s="22"/>
      <c r="K135" s="22"/>
      <c r="L135" s="22"/>
      <c r="M135" s="22"/>
      <c r="O135" s="22"/>
      <c r="P135" s="22"/>
      <c r="Q135" s="22"/>
      <c r="S135" s="22"/>
      <c r="T135" s="22"/>
      <c r="U135" s="22"/>
      <c r="W135" s="22"/>
      <c r="X135" s="22"/>
      <c r="Y135" s="22"/>
      <c r="AA135" s="22"/>
      <c r="AB135" s="22"/>
      <c r="AC135" s="22"/>
      <c r="AE135" s="24"/>
      <c r="AF135" s="24"/>
      <c r="AG135" s="24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6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</row>
    <row r="136" spans="1:200" s="23" customFormat="1" ht="14.25" customHeight="1" x14ac:dyDescent="0.2">
      <c r="A136" s="20"/>
      <c r="B136" s="85"/>
      <c r="C136" s="22"/>
      <c r="D136" s="22"/>
      <c r="E136" s="22"/>
      <c r="G136" s="22"/>
      <c r="H136" s="22"/>
      <c r="I136" s="22"/>
      <c r="K136" s="22"/>
      <c r="L136" s="22"/>
      <c r="M136" s="22"/>
      <c r="O136" s="22"/>
      <c r="P136" s="22"/>
      <c r="Q136" s="22"/>
      <c r="S136" s="22"/>
      <c r="T136" s="22"/>
      <c r="U136" s="22"/>
      <c r="W136" s="22"/>
      <c r="X136" s="22"/>
      <c r="Y136" s="22"/>
      <c r="AA136" s="22"/>
      <c r="AB136" s="22"/>
      <c r="AC136" s="22"/>
      <c r="AE136" s="24"/>
      <c r="AF136" s="24"/>
      <c r="AG136" s="24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6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</row>
    <row r="137" spans="1:200" s="23" customFormat="1" ht="14.25" customHeight="1" x14ac:dyDescent="0.2">
      <c r="A137" s="20"/>
      <c r="B137" s="85"/>
      <c r="C137" s="22"/>
      <c r="D137" s="22"/>
      <c r="E137" s="22"/>
      <c r="G137" s="22"/>
      <c r="H137" s="22"/>
      <c r="I137" s="22"/>
      <c r="K137" s="22"/>
      <c r="L137" s="22"/>
      <c r="M137" s="22"/>
      <c r="O137" s="22"/>
      <c r="P137" s="22"/>
      <c r="Q137" s="22"/>
      <c r="S137" s="22"/>
      <c r="T137" s="22"/>
      <c r="U137" s="22"/>
      <c r="W137" s="22"/>
      <c r="X137" s="22"/>
      <c r="Y137" s="22"/>
      <c r="AA137" s="22"/>
      <c r="AB137" s="22"/>
      <c r="AC137" s="22"/>
      <c r="AE137" s="24"/>
      <c r="AF137" s="24"/>
      <c r="AG137" s="24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6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</row>
    <row r="138" spans="1:200" s="23" customFormat="1" ht="14.25" customHeight="1" x14ac:dyDescent="0.2">
      <c r="A138" s="20"/>
      <c r="B138" s="85"/>
      <c r="C138" s="22"/>
      <c r="D138" s="22"/>
      <c r="E138" s="22"/>
      <c r="G138" s="22"/>
      <c r="H138" s="22"/>
      <c r="I138" s="22"/>
      <c r="K138" s="22"/>
      <c r="L138" s="22"/>
      <c r="M138" s="22"/>
      <c r="O138" s="22"/>
      <c r="P138" s="22"/>
      <c r="Q138" s="22"/>
      <c r="S138" s="22"/>
      <c r="T138" s="22"/>
      <c r="U138" s="22"/>
      <c r="W138" s="22"/>
      <c r="X138" s="22"/>
      <c r="Y138" s="22"/>
      <c r="AA138" s="22"/>
      <c r="AB138" s="22"/>
      <c r="AC138" s="22"/>
      <c r="AE138" s="24"/>
      <c r="AF138" s="24"/>
      <c r="AG138" s="24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6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</row>
    <row r="139" spans="1:200" s="23" customFormat="1" ht="14.25" customHeight="1" x14ac:dyDescent="0.2">
      <c r="A139" s="20"/>
      <c r="B139" s="85"/>
      <c r="C139" s="22"/>
      <c r="D139" s="22"/>
      <c r="E139" s="22"/>
      <c r="G139" s="22"/>
      <c r="H139" s="22"/>
      <c r="I139" s="22"/>
      <c r="K139" s="22"/>
      <c r="L139" s="22"/>
      <c r="M139" s="22"/>
      <c r="O139" s="22"/>
      <c r="P139" s="22"/>
      <c r="Q139" s="22"/>
      <c r="S139" s="22"/>
      <c r="T139" s="22"/>
      <c r="U139" s="22"/>
      <c r="W139" s="22"/>
      <c r="X139" s="22"/>
      <c r="Y139" s="22"/>
      <c r="AA139" s="22"/>
      <c r="AB139" s="22"/>
      <c r="AC139" s="22"/>
      <c r="AE139" s="24"/>
      <c r="AF139" s="24"/>
      <c r="AG139" s="24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6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</row>
    <row r="140" spans="1:200" s="23" customFormat="1" ht="14.25" customHeight="1" x14ac:dyDescent="0.2">
      <c r="A140" s="20"/>
      <c r="B140" s="85"/>
      <c r="C140" s="22"/>
      <c r="D140" s="22"/>
      <c r="E140" s="22"/>
      <c r="G140" s="22"/>
      <c r="H140" s="22"/>
      <c r="I140" s="22"/>
      <c r="K140" s="22"/>
      <c r="L140" s="22"/>
      <c r="M140" s="22"/>
      <c r="O140" s="22"/>
      <c r="P140" s="22"/>
      <c r="Q140" s="22"/>
      <c r="S140" s="22"/>
      <c r="T140" s="22"/>
      <c r="U140" s="22"/>
      <c r="W140" s="22"/>
      <c r="X140" s="22"/>
      <c r="Y140" s="22"/>
      <c r="AA140" s="22"/>
      <c r="AB140" s="22"/>
      <c r="AC140" s="22"/>
      <c r="AE140" s="24"/>
      <c r="AF140" s="24"/>
      <c r="AG140" s="24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6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</row>
    <row r="141" spans="1:200" s="23" customFormat="1" ht="14.25" customHeight="1" x14ac:dyDescent="0.2">
      <c r="A141" s="20"/>
      <c r="B141" s="85"/>
      <c r="C141" s="22"/>
      <c r="D141" s="22"/>
      <c r="E141" s="22"/>
      <c r="G141" s="22"/>
      <c r="H141" s="22"/>
      <c r="I141" s="22"/>
      <c r="K141" s="22"/>
      <c r="L141" s="22"/>
      <c r="M141" s="22"/>
      <c r="O141" s="22"/>
      <c r="P141" s="22"/>
      <c r="Q141" s="22"/>
      <c r="S141" s="22"/>
      <c r="T141" s="22"/>
      <c r="U141" s="22"/>
      <c r="W141" s="22"/>
      <c r="X141" s="22"/>
      <c r="Y141" s="22"/>
      <c r="AA141" s="22"/>
      <c r="AB141" s="22"/>
      <c r="AC141" s="22"/>
      <c r="AE141" s="24"/>
      <c r="AF141" s="24"/>
      <c r="AG141" s="24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6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</row>
    <row r="142" spans="1:200" s="23" customFormat="1" ht="14.25" customHeight="1" x14ac:dyDescent="0.2">
      <c r="A142" s="20"/>
      <c r="B142" s="85"/>
      <c r="C142" s="22"/>
      <c r="D142" s="22"/>
      <c r="E142" s="22"/>
      <c r="G142" s="22"/>
      <c r="H142" s="22"/>
      <c r="I142" s="22"/>
      <c r="K142" s="22"/>
      <c r="L142" s="22"/>
      <c r="M142" s="22"/>
      <c r="O142" s="22"/>
      <c r="P142" s="22"/>
      <c r="Q142" s="22"/>
      <c r="S142" s="22"/>
      <c r="T142" s="22"/>
      <c r="U142" s="22"/>
      <c r="W142" s="22"/>
      <c r="X142" s="22"/>
      <c r="Y142" s="22"/>
      <c r="AA142" s="22"/>
      <c r="AB142" s="22"/>
      <c r="AC142" s="22"/>
      <c r="AE142" s="24"/>
      <c r="AF142" s="24"/>
      <c r="AG142" s="24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6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</row>
    <row r="143" spans="1:200" s="23" customFormat="1" ht="14.25" customHeight="1" x14ac:dyDescent="0.2">
      <c r="A143" s="20"/>
      <c r="B143" s="85"/>
      <c r="C143" s="22"/>
      <c r="D143" s="22"/>
      <c r="E143" s="22"/>
      <c r="G143" s="22"/>
      <c r="H143" s="22"/>
      <c r="I143" s="22"/>
      <c r="K143" s="22"/>
      <c r="L143" s="22"/>
      <c r="M143" s="22"/>
      <c r="O143" s="22"/>
      <c r="P143" s="22"/>
      <c r="Q143" s="22"/>
      <c r="S143" s="22"/>
      <c r="T143" s="22"/>
      <c r="U143" s="22"/>
      <c r="W143" s="22"/>
      <c r="X143" s="22"/>
      <c r="Y143" s="22"/>
      <c r="AA143" s="22"/>
      <c r="AB143" s="22"/>
      <c r="AC143" s="22"/>
      <c r="AE143" s="24"/>
      <c r="AF143" s="24"/>
      <c r="AG143" s="24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6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</row>
    <row r="144" spans="1:200" s="23" customFormat="1" ht="14.25" customHeight="1" x14ac:dyDescent="0.2">
      <c r="A144" s="20"/>
      <c r="B144" s="85"/>
      <c r="C144" s="22"/>
      <c r="D144" s="22"/>
      <c r="E144" s="22"/>
      <c r="G144" s="22"/>
      <c r="H144" s="22"/>
      <c r="I144" s="22"/>
      <c r="K144" s="22"/>
      <c r="L144" s="22"/>
      <c r="M144" s="22"/>
      <c r="O144" s="22"/>
      <c r="P144" s="22"/>
      <c r="Q144" s="22"/>
      <c r="S144" s="22"/>
      <c r="T144" s="22"/>
      <c r="U144" s="22"/>
      <c r="W144" s="22"/>
      <c r="X144" s="22"/>
      <c r="Y144" s="22"/>
      <c r="AA144" s="22"/>
      <c r="AB144" s="22"/>
      <c r="AC144" s="22"/>
      <c r="AE144" s="24"/>
      <c r="AF144" s="24"/>
      <c r="AG144" s="24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6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</row>
    <row r="145" spans="1:200" s="23" customFormat="1" ht="14.25" customHeight="1" x14ac:dyDescent="0.2">
      <c r="A145" s="20"/>
      <c r="B145" s="85"/>
      <c r="C145" s="22"/>
      <c r="D145" s="22"/>
      <c r="E145" s="22"/>
      <c r="G145" s="22"/>
      <c r="H145" s="22"/>
      <c r="I145" s="22"/>
      <c r="K145" s="22"/>
      <c r="L145" s="22"/>
      <c r="M145" s="22"/>
      <c r="O145" s="22"/>
      <c r="P145" s="22"/>
      <c r="Q145" s="22"/>
      <c r="S145" s="22"/>
      <c r="T145" s="22"/>
      <c r="U145" s="22"/>
      <c r="W145" s="22"/>
      <c r="X145" s="22"/>
      <c r="Y145" s="22"/>
      <c r="AA145" s="22"/>
      <c r="AB145" s="22"/>
      <c r="AC145" s="22"/>
      <c r="AE145" s="24"/>
      <c r="AF145" s="24"/>
      <c r="AG145" s="24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6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</row>
    <row r="146" spans="1:200" s="23" customFormat="1" ht="14.25" customHeight="1" x14ac:dyDescent="0.2">
      <c r="A146" s="20"/>
      <c r="B146" s="85"/>
      <c r="C146" s="22"/>
      <c r="D146" s="22"/>
      <c r="E146" s="22"/>
      <c r="G146" s="22"/>
      <c r="H146" s="22"/>
      <c r="I146" s="22"/>
      <c r="K146" s="22"/>
      <c r="L146" s="22"/>
      <c r="M146" s="22"/>
      <c r="O146" s="22"/>
      <c r="P146" s="22"/>
      <c r="Q146" s="22"/>
      <c r="S146" s="22"/>
      <c r="T146" s="22"/>
      <c r="U146" s="22"/>
      <c r="W146" s="22"/>
      <c r="X146" s="22"/>
      <c r="Y146" s="22"/>
      <c r="AA146" s="22"/>
      <c r="AB146" s="22"/>
      <c r="AC146" s="22"/>
      <c r="AE146" s="24"/>
      <c r="AF146" s="24"/>
      <c r="AG146" s="24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6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</row>
    <row r="147" spans="1:200" s="23" customFormat="1" ht="14.25" customHeight="1" x14ac:dyDescent="0.2">
      <c r="A147" s="20"/>
      <c r="B147" s="85"/>
      <c r="C147" s="22"/>
      <c r="D147" s="22"/>
      <c r="E147" s="22"/>
      <c r="G147" s="22"/>
      <c r="H147" s="22"/>
      <c r="I147" s="22"/>
      <c r="K147" s="22"/>
      <c r="L147" s="22"/>
      <c r="M147" s="22"/>
      <c r="O147" s="22"/>
      <c r="P147" s="22"/>
      <c r="Q147" s="22"/>
      <c r="S147" s="22"/>
      <c r="T147" s="22"/>
      <c r="U147" s="22"/>
      <c r="W147" s="22"/>
      <c r="X147" s="22"/>
      <c r="Y147" s="22"/>
      <c r="AA147" s="22"/>
      <c r="AB147" s="22"/>
      <c r="AC147" s="22"/>
      <c r="AE147" s="24"/>
      <c r="AF147" s="24"/>
      <c r="AG147" s="24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6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</row>
    <row r="148" spans="1:200" s="23" customFormat="1" ht="14.25" customHeight="1" x14ac:dyDescent="0.2">
      <c r="A148" s="20"/>
      <c r="B148" s="85"/>
      <c r="C148" s="22"/>
      <c r="D148" s="22"/>
      <c r="E148" s="22"/>
      <c r="G148" s="22"/>
      <c r="H148" s="22"/>
      <c r="I148" s="22"/>
      <c r="K148" s="22"/>
      <c r="L148" s="22"/>
      <c r="M148" s="22"/>
      <c r="O148" s="22"/>
      <c r="P148" s="22"/>
      <c r="Q148" s="22"/>
      <c r="S148" s="22"/>
      <c r="T148" s="22"/>
      <c r="U148" s="22"/>
      <c r="W148" s="22"/>
      <c r="X148" s="22"/>
      <c r="Y148" s="22"/>
      <c r="AA148" s="22"/>
      <c r="AB148" s="22"/>
      <c r="AC148" s="22"/>
      <c r="AE148" s="24"/>
      <c r="AF148" s="24"/>
      <c r="AG148" s="24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6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</row>
    <row r="149" spans="1:200" s="23" customFormat="1" ht="14.25" customHeight="1" x14ac:dyDescent="0.2">
      <c r="A149" s="20"/>
      <c r="B149" s="85"/>
      <c r="C149" s="22"/>
      <c r="D149" s="22"/>
      <c r="E149" s="22"/>
      <c r="G149" s="22"/>
      <c r="H149" s="22"/>
      <c r="I149" s="22"/>
      <c r="K149" s="22"/>
      <c r="L149" s="22"/>
      <c r="M149" s="22"/>
      <c r="O149" s="22"/>
      <c r="P149" s="22"/>
      <c r="Q149" s="22"/>
      <c r="S149" s="22"/>
      <c r="T149" s="22"/>
      <c r="U149" s="22"/>
      <c r="W149" s="22"/>
      <c r="X149" s="22"/>
      <c r="Y149" s="22"/>
      <c r="AA149" s="22"/>
      <c r="AB149" s="22"/>
      <c r="AC149" s="22"/>
      <c r="AE149" s="24"/>
      <c r="AF149" s="24"/>
      <c r="AG149" s="24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6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</row>
    <row r="150" spans="1:200" s="23" customFormat="1" ht="14.25" customHeight="1" x14ac:dyDescent="0.2">
      <c r="A150" s="20"/>
      <c r="B150" s="85"/>
      <c r="C150" s="22"/>
      <c r="D150" s="22"/>
      <c r="E150" s="22"/>
      <c r="G150" s="22"/>
      <c r="H150" s="22"/>
      <c r="I150" s="22"/>
      <c r="K150" s="22"/>
      <c r="L150" s="22"/>
      <c r="M150" s="22"/>
      <c r="O150" s="22"/>
      <c r="P150" s="22"/>
      <c r="Q150" s="22"/>
      <c r="S150" s="22"/>
      <c r="T150" s="22"/>
      <c r="U150" s="22"/>
      <c r="W150" s="22"/>
      <c r="X150" s="22"/>
      <c r="Y150" s="22"/>
      <c r="AA150" s="22"/>
      <c r="AB150" s="22"/>
      <c r="AC150" s="22"/>
      <c r="AE150" s="24"/>
      <c r="AF150" s="24"/>
      <c r="AG150" s="24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6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</row>
    <row r="151" spans="1:200" s="23" customFormat="1" ht="14.25" customHeight="1" x14ac:dyDescent="0.2">
      <c r="A151" s="20"/>
      <c r="B151" s="85"/>
      <c r="C151" s="22"/>
      <c r="D151" s="22"/>
      <c r="E151" s="22"/>
      <c r="G151" s="22"/>
      <c r="H151" s="22"/>
      <c r="I151" s="22"/>
      <c r="K151" s="22"/>
      <c r="L151" s="22"/>
      <c r="M151" s="22"/>
      <c r="O151" s="22"/>
      <c r="P151" s="22"/>
      <c r="Q151" s="22"/>
      <c r="S151" s="22"/>
      <c r="T151" s="22"/>
      <c r="U151" s="22"/>
      <c r="W151" s="22"/>
      <c r="X151" s="22"/>
      <c r="Y151" s="22"/>
      <c r="AA151" s="22"/>
      <c r="AB151" s="22"/>
      <c r="AC151" s="22"/>
      <c r="AE151" s="24"/>
      <c r="AF151" s="24"/>
      <c r="AG151" s="24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6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</row>
    <row r="152" spans="1:200" s="23" customFormat="1" ht="14.25" customHeight="1" x14ac:dyDescent="0.2">
      <c r="A152" s="20"/>
      <c r="B152" s="21"/>
      <c r="C152" s="22"/>
      <c r="D152" s="22"/>
      <c r="E152" s="22"/>
      <c r="G152" s="22"/>
      <c r="H152" s="22"/>
      <c r="I152" s="22"/>
      <c r="K152" s="22"/>
      <c r="L152" s="22"/>
      <c r="M152" s="22"/>
      <c r="O152" s="22"/>
      <c r="P152" s="22"/>
      <c r="Q152" s="22"/>
      <c r="S152" s="22"/>
      <c r="T152" s="22"/>
      <c r="U152" s="22"/>
      <c r="W152" s="22"/>
      <c r="X152" s="22"/>
      <c r="Y152" s="22"/>
      <c r="AA152" s="22"/>
      <c r="AB152" s="22"/>
      <c r="AC152" s="22"/>
      <c r="AE152" s="24"/>
      <c r="AF152" s="24"/>
      <c r="AG152" s="24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6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</row>
    <row r="153" spans="1:200" s="23" customFormat="1" ht="14.25" customHeight="1" x14ac:dyDescent="0.2">
      <c r="A153" s="20"/>
      <c r="B153" s="21"/>
      <c r="C153" s="22"/>
      <c r="D153" s="22"/>
      <c r="E153" s="22"/>
      <c r="G153" s="22"/>
      <c r="H153" s="22"/>
      <c r="I153" s="22"/>
      <c r="K153" s="22"/>
      <c r="L153" s="22"/>
      <c r="M153" s="22"/>
      <c r="O153" s="22"/>
      <c r="P153" s="22"/>
      <c r="Q153" s="22"/>
      <c r="S153" s="22"/>
      <c r="T153" s="22"/>
      <c r="U153" s="22"/>
      <c r="W153" s="22"/>
      <c r="X153" s="22"/>
      <c r="Y153" s="22"/>
      <c r="AA153" s="22"/>
      <c r="AB153" s="22"/>
      <c r="AC153" s="22"/>
      <c r="AE153" s="24"/>
      <c r="AF153" s="24"/>
      <c r="AG153" s="24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6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</row>
    <row r="154" spans="1:200" s="23" customFormat="1" ht="14.25" customHeight="1" x14ac:dyDescent="0.2">
      <c r="A154" s="20"/>
      <c r="B154" s="21"/>
      <c r="C154" s="22"/>
      <c r="D154" s="22"/>
      <c r="E154" s="22"/>
      <c r="G154" s="22"/>
      <c r="H154" s="22"/>
      <c r="I154" s="22"/>
      <c r="K154" s="22"/>
      <c r="L154" s="22"/>
      <c r="M154" s="22"/>
      <c r="O154" s="22"/>
      <c r="P154" s="22"/>
      <c r="Q154" s="22"/>
      <c r="S154" s="22"/>
      <c r="T154" s="22"/>
      <c r="U154" s="22"/>
      <c r="W154" s="22"/>
      <c r="X154" s="22"/>
      <c r="Y154" s="22"/>
      <c r="AA154" s="22"/>
      <c r="AB154" s="22"/>
      <c r="AC154" s="22"/>
      <c r="AE154" s="24"/>
      <c r="AF154" s="24"/>
      <c r="AG154" s="24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6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</row>
    <row r="155" spans="1:200" s="23" customFormat="1" ht="14.25" customHeight="1" x14ac:dyDescent="0.2">
      <c r="A155" s="20"/>
      <c r="B155" s="21"/>
      <c r="C155" s="22"/>
      <c r="D155" s="22"/>
      <c r="E155" s="22"/>
      <c r="G155" s="22"/>
      <c r="H155" s="22"/>
      <c r="I155" s="22"/>
      <c r="K155" s="22"/>
      <c r="L155" s="22"/>
      <c r="M155" s="22"/>
      <c r="O155" s="22"/>
      <c r="P155" s="22"/>
      <c r="Q155" s="22"/>
      <c r="S155" s="22"/>
      <c r="T155" s="22"/>
      <c r="U155" s="22"/>
      <c r="W155" s="22"/>
      <c r="X155" s="22"/>
      <c r="Y155" s="22"/>
      <c r="AA155" s="22"/>
      <c r="AB155" s="22"/>
      <c r="AC155" s="22"/>
      <c r="AE155" s="24"/>
      <c r="AF155" s="24"/>
      <c r="AG155" s="24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6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</row>
    <row r="156" spans="1:200" s="23" customFormat="1" ht="14.25" customHeight="1" x14ac:dyDescent="0.2">
      <c r="A156" s="20"/>
      <c r="B156" s="21"/>
      <c r="C156" s="22"/>
      <c r="D156" s="22"/>
      <c r="E156" s="22"/>
      <c r="G156" s="22"/>
      <c r="H156" s="22"/>
      <c r="I156" s="22"/>
      <c r="K156" s="22"/>
      <c r="L156" s="22"/>
      <c r="M156" s="22"/>
      <c r="O156" s="22"/>
      <c r="P156" s="22"/>
      <c r="Q156" s="22"/>
      <c r="S156" s="22"/>
      <c r="T156" s="22"/>
      <c r="U156" s="22"/>
      <c r="W156" s="22"/>
      <c r="X156" s="22"/>
      <c r="Y156" s="22"/>
      <c r="AA156" s="22"/>
      <c r="AB156" s="22"/>
      <c r="AC156" s="22"/>
      <c r="AE156" s="24"/>
      <c r="AF156" s="24"/>
      <c r="AG156" s="24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6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</row>
    <row r="157" spans="1:200" s="23" customFormat="1" ht="14.25" customHeight="1" x14ac:dyDescent="0.2">
      <c r="A157" s="20"/>
      <c r="B157" s="21"/>
      <c r="C157" s="22"/>
      <c r="D157" s="22"/>
      <c r="E157" s="22"/>
      <c r="G157" s="22"/>
      <c r="H157" s="22"/>
      <c r="I157" s="22"/>
      <c r="K157" s="22"/>
      <c r="L157" s="22"/>
      <c r="M157" s="22"/>
      <c r="O157" s="22"/>
      <c r="P157" s="22"/>
      <c r="Q157" s="22"/>
      <c r="S157" s="22"/>
      <c r="T157" s="22"/>
      <c r="U157" s="22"/>
      <c r="W157" s="22"/>
      <c r="X157" s="22"/>
      <c r="Y157" s="22"/>
      <c r="AA157" s="22"/>
      <c r="AB157" s="22"/>
      <c r="AC157" s="22"/>
      <c r="AE157" s="24"/>
      <c r="AF157" s="24"/>
      <c r="AG157" s="24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6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</row>
    <row r="158" spans="1:200" s="23" customFormat="1" ht="14.25" customHeight="1" x14ac:dyDescent="0.2">
      <c r="A158" s="20"/>
      <c r="B158" s="21"/>
      <c r="C158" s="22"/>
      <c r="D158" s="22"/>
      <c r="E158" s="22"/>
      <c r="G158" s="22"/>
      <c r="H158" s="22"/>
      <c r="I158" s="22"/>
      <c r="K158" s="22"/>
      <c r="L158" s="22"/>
      <c r="M158" s="22"/>
      <c r="O158" s="22"/>
      <c r="P158" s="22"/>
      <c r="Q158" s="22"/>
      <c r="S158" s="22"/>
      <c r="T158" s="22"/>
      <c r="U158" s="22"/>
      <c r="W158" s="22"/>
      <c r="X158" s="22"/>
      <c r="Y158" s="22"/>
      <c r="AA158" s="22"/>
      <c r="AB158" s="22"/>
      <c r="AC158" s="22"/>
      <c r="AE158" s="24"/>
      <c r="AF158" s="24"/>
      <c r="AG158" s="24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6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</row>
    <row r="159" spans="1:200" s="23" customFormat="1" ht="14.25" customHeight="1" x14ac:dyDescent="0.2">
      <c r="A159" s="20"/>
      <c r="B159" s="21"/>
      <c r="C159" s="22"/>
      <c r="D159" s="22"/>
      <c r="E159" s="22"/>
      <c r="G159" s="22"/>
      <c r="H159" s="22"/>
      <c r="I159" s="22"/>
      <c r="K159" s="22"/>
      <c r="L159" s="22"/>
      <c r="M159" s="22"/>
      <c r="O159" s="22"/>
      <c r="P159" s="22"/>
      <c r="Q159" s="22"/>
      <c r="S159" s="22"/>
      <c r="T159" s="22"/>
      <c r="U159" s="22"/>
      <c r="W159" s="22"/>
      <c r="X159" s="22"/>
      <c r="Y159" s="22"/>
      <c r="AA159" s="22"/>
      <c r="AB159" s="22"/>
      <c r="AC159" s="22"/>
      <c r="AE159" s="24"/>
      <c r="AF159" s="24"/>
      <c r="AG159" s="24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6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</row>
    <row r="160" spans="1:200" s="23" customFormat="1" ht="14.25" customHeight="1" x14ac:dyDescent="0.2">
      <c r="A160" s="20"/>
      <c r="B160" s="21"/>
      <c r="C160" s="22"/>
      <c r="D160" s="22"/>
      <c r="E160" s="22"/>
      <c r="G160" s="22"/>
      <c r="H160" s="22"/>
      <c r="I160" s="22"/>
      <c r="K160" s="22"/>
      <c r="L160" s="22"/>
      <c r="M160" s="22"/>
      <c r="O160" s="22"/>
      <c r="P160" s="22"/>
      <c r="Q160" s="22"/>
      <c r="S160" s="22"/>
      <c r="T160" s="22"/>
      <c r="U160" s="22"/>
      <c r="W160" s="22"/>
      <c r="X160" s="22"/>
      <c r="Y160" s="22"/>
      <c r="AA160" s="22"/>
      <c r="AB160" s="22"/>
      <c r="AC160" s="22"/>
      <c r="AE160" s="24"/>
      <c r="AF160" s="24"/>
      <c r="AG160" s="24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6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</row>
    <row r="161" spans="1:200" s="23" customFormat="1" ht="14.25" customHeight="1" x14ac:dyDescent="0.2">
      <c r="A161" s="20"/>
      <c r="B161" s="21"/>
      <c r="C161" s="22"/>
      <c r="D161" s="22"/>
      <c r="E161" s="22"/>
      <c r="G161" s="22"/>
      <c r="H161" s="22"/>
      <c r="I161" s="22"/>
      <c r="K161" s="22"/>
      <c r="L161" s="22"/>
      <c r="M161" s="22"/>
      <c r="O161" s="22"/>
      <c r="P161" s="22"/>
      <c r="Q161" s="22"/>
      <c r="S161" s="22"/>
      <c r="T161" s="22"/>
      <c r="U161" s="22"/>
      <c r="W161" s="22"/>
      <c r="X161" s="22"/>
      <c r="Y161" s="22"/>
      <c r="AA161" s="22"/>
      <c r="AB161" s="22"/>
      <c r="AC161" s="22"/>
      <c r="AE161" s="24"/>
      <c r="AF161" s="24"/>
      <c r="AG161" s="24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6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</row>
    <row r="162" spans="1:200" s="23" customFormat="1" ht="14.25" customHeight="1" x14ac:dyDescent="0.2">
      <c r="A162" s="20"/>
      <c r="B162" s="21"/>
      <c r="C162" s="22"/>
      <c r="D162" s="22"/>
      <c r="E162" s="22"/>
      <c r="G162" s="22"/>
      <c r="H162" s="22"/>
      <c r="I162" s="22"/>
      <c r="K162" s="22"/>
      <c r="L162" s="22"/>
      <c r="M162" s="22"/>
      <c r="O162" s="22"/>
      <c r="P162" s="22"/>
      <c r="Q162" s="22"/>
      <c r="S162" s="22"/>
      <c r="T162" s="22"/>
      <c r="U162" s="22"/>
      <c r="W162" s="22"/>
      <c r="X162" s="22"/>
      <c r="Y162" s="22"/>
      <c r="AA162" s="22"/>
      <c r="AB162" s="22"/>
      <c r="AC162" s="22"/>
      <c r="AE162" s="24"/>
      <c r="AF162" s="24"/>
      <c r="AG162" s="24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6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</row>
    <row r="163" spans="1:200" s="23" customFormat="1" ht="14.25" customHeight="1" x14ac:dyDescent="0.2">
      <c r="A163" s="20"/>
      <c r="B163" s="21"/>
      <c r="C163" s="22"/>
      <c r="D163" s="22"/>
      <c r="E163" s="22"/>
      <c r="G163" s="22"/>
      <c r="H163" s="22"/>
      <c r="I163" s="22"/>
      <c r="K163" s="22"/>
      <c r="L163" s="22"/>
      <c r="M163" s="22"/>
      <c r="O163" s="22"/>
      <c r="P163" s="22"/>
      <c r="Q163" s="22"/>
      <c r="S163" s="22"/>
      <c r="T163" s="22"/>
      <c r="U163" s="22"/>
      <c r="W163" s="22"/>
      <c r="X163" s="22"/>
      <c r="Y163" s="22"/>
      <c r="AA163" s="22"/>
      <c r="AB163" s="22"/>
      <c r="AC163" s="22"/>
      <c r="AE163" s="24"/>
      <c r="AF163" s="24"/>
      <c r="AG163" s="24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6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</row>
    <row r="164" spans="1:200" s="23" customFormat="1" ht="14.25" customHeight="1" x14ac:dyDescent="0.2">
      <c r="A164" s="20"/>
      <c r="B164" s="21"/>
      <c r="C164" s="22"/>
      <c r="D164" s="22"/>
      <c r="E164" s="22"/>
      <c r="G164" s="22"/>
      <c r="H164" s="22"/>
      <c r="I164" s="22"/>
      <c r="K164" s="22"/>
      <c r="L164" s="22"/>
      <c r="M164" s="22"/>
      <c r="O164" s="22"/>
      <c r="P164" s="22"/>
      <c r="Q164" s="22"/>
      <c r="S164" s="22"/>
      <c r="T164" s="22"/>
      <c r="U164" s="22"/>
      <c r="W164" s="22"/>
      <c r="X164" s="22"/>
      <c r="Y164" s="22"/>
      <c r="AA164" s="22"/>
      <c r="AB164" s="22"/>
      <c r="AC164" s="22"/>
      <c r="AE164" s="24"/>
      <c r="AF164" s="24"/>
      <c r="AG164" s="24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6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</row>
    <row r="165" spans="1:200" s="23" customFormat="1" ht="14.25" customHeight="1" x14ac:dyDescent="0.2">
      <c r="A165" s="20"/>
      <c r="B165" s="21"/>
      <c r="C165" s="22"/>
      <c r="D165" s="22"/>
      <c r="E165" s="22"/>
      <c r="G165" s="22"/>
      <c r="H165" s="22"/>
      <c r="I165" s="22"/>
      <c r="K165" s="22"/>
      <c r="L165" s="22"/>
      <c r="M165" s="22"/>
      <c r="O165" s="22"/>
      <c r="P165" s="22"/>
      <c r="Q165" s="22"/>
      <c r="S165" s="22"/>
      <c r="T165" s="22"/>
      <c r="U165" s="22"/>
      <c r="W165" s="22"/>
      <c r="X165" s="22"/>
      <c r="Y165" s="22"/>
      <c r="AA165" s="22"/>
      <c r="AB165" s="22"/>
      <c r="AC165" s="22"/>
      <c r="AE165" s="24"/>
      <c r="AF165" s="24"/>
      <c r="AG165" s="24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6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</row>
    <row r="166" spans="1:200" s="23" customFormat="1" ht="14.25" customHeight="1" x14ac:dyDescent="0.2">
      <c r="A166" s="20"/>
      <c r="B166" s="21"/>
      <c r="C166" s="22"/>
      <c r="D166" s="22"/>
      <c r="E166" s="22"/>
      <c r="G166" s="22"/>
      <c r="H166" s="22"/>
      <c r="I166" s="22"/>
      <c r="K166" s="22"/>
      <c r="L166" s="22"/>
      <c r="M166" s="22"/>
      <c r="O166" s="22"/>
      <c r="P166" s="22"/>
      <c r="Q166" s="22"/>
      <c r="S166" s="22"/>
      <c r="T166" s="22"/>
      <c r="U166" s="22"/>
      <c r="W166" s="22"/>
      <c r="X166" s="22"/>
      <c r="Y166" s="22"/>
      <c r="AA166" s="22"/>
      <c r="AB166" s="22"/>
      <c r="AC166" s="22"/>
      <c r="AE166" s="24"/>
      <c r="AF166" s="24"/>
      <c r="AG166" s="24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6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</row>
    <row r="167" spans="1:200" s="23" customFormat="1" ht="14.25" customHeight="1" x14ac:dyDescent="0.2">
      <c r="A167" s="20"/>
      <c r="B167" s="21"/>
      <c r="C167" s="22"/>
      <c r="D167" s="22"/>
      <c r="E167" s="22"/>
      <c r="G167" s="22"/>
      <c r="H167" s="22"/>
      <c r="I167" s="22"/>
      <c r="K167" s="22"/>
      <c r="L167" s="22"/>
      <c r="M167" s="22"/>
      <c r="O167" s="22"/>
      <c r="P167" s="22"/>
      <c r="Q167" s="22"/>
      <c r="S167" s="22"/>
      <c r="T167" s="22"/>
      <c r="U167" s="22"/>
      <c r="W167" s="22"/>
      <c r="X167" s="22"/>
      <c r="Y167" s="22"/>
      <c r="AA167" s="22"/>
      <c r="AB167" s="22"/>
      <c r="AC167" s="22"/>
      <c r="AE167" s="24"/>
      <c r="AF167" s="24"/>
      <c r="AG167" s="24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6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</row>
    <row r="168" spans="1:200" s="23" customFormat="1" ht="14.25" customHeight="1" x14ac:dyDescent="0.2">
      <c r="A168" s="20"/>
      <c r="B168" s="21"/>
      <c r="C168" s="22"/>
      <c r="D168" s="22"/>
      <c r="E168" s="22"/>
      <c r="G168" s="22"/>
      <c r="H168" s="22"/>
      <c r="I168" s="22"/>
      <c r="K168" s="22"/>
      <c r="L168" s="22"/>
      <c r="M168" s="22"/>
      <c r="O168" s="22"/>
      <c r="P168" s="22"/>
      <c r="Q168" s="22"/>
      <c r="S168" s="22"/>
      <c r="T168" s="22"/>
      <c r="U168" s="22"/>
      <c r="W168" s="22"/>
      <c r="X168" s="22"/>
      <c r="Y168" s="22"/>
      <c r="AA168" s="22"/>
      <c r="AB168" s="22"/>
      <c r="AC168" s="22"/>
      <c r="AE168" s="24"/>
      <c r="AF168" s="24"/>
      <c r="AG168" s="24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6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</row>
    <row r="169" spans="1:200" s="23" customFormat="1" ht="14.25" customHeight="1" x14ac:dyDescent="0.2">
      <c r="A169" s="20"/>
      <c r="B169" s="21"/>
      <c r="C169" s="22"/>
      <c r="D169" s="22"/>
      <c r="E169" s="22"/>
      <c r="G169" s="22"/>
      <c r="H169" s="22"/>
      <c r="I169" s="22"/>
      <c r="K169" s="22"/>
      <c r="L169" s="22"/>
      <c r="M169" s="22"/>
      <c r="O169" s="22"/>
      <c r="P169" s="22"/>
      <c r="Q169" s="22"/>
      <c r="S169" s="22"/>
      <c r="T169" s="22"/>
      <c r="U169" s="22"/>
      <c r="W169" s="22"/>
      <c r="X169" s="22"/>
      <c r="Y169" s="22"/>
      <c r="AA169" s="22"/>
      <c r="AB169" s="22"/>
      <c r="AC169" s="22"/>
      <c r="AE169" s="24"/>
      <c r="AF169" s="24"/>
      <c r="AG169" s="24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6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</row>
    <row r="170" spans="1:200" s="23" customFormat="1" ht="14.25" customHeight="1" x14ac:dyDescent="0.2">
      <c r="A170" s="20"/>
      <c r="B170" s="21"/>
      <c r="C170" s="22"/>
      <c r="D170" s="22"/>
      <c r="E170" s="22"/>
      <c r="G170" s="22"/>
      <c r="H170" s="22"/>
      <c r="I170" s="22"/>
      <c r="K170" s="22"/>
      <c r="L170" s="22"/>
      <c r="M170" s="22"/>
      <c r="O170" s="22"/>
      <c r="P170" s="22"/>
      <c r="Q170" s="22"/>
      <c r="S170" s="22"/>
      <c r="T170" s="22"/>
      <c r="U170" s="22"/>
      <c r="W170" s="22"/>
      <c r="X170" s="22"/>
      <c r="Y170" s="22"/>
      <c r="AA170" s="22"/>
      <c r="AB170" s="22"/>
      <c r="AC170" s="22"/>
      <c r="AE170" s="24"/>
      <c r="AF170" s="24"/>
      <c r="AG170" s="24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6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</row>
    <row r="171" spans="1:200" s="23" customFormat="1" ht="14.25" customHeight="1" x14ac:dyDescent="0.2">
      <c r="A171" s="20"/>
      <c r="B171" s="21"/>
      <c r="C171" s="22"/>
      <c r="D171" s="22"/>
      <c r="E171" s="22"/>
      <c r="G171" s="22"/>
      <c r="H171" s="22"/>
      <c r="I171" s="22"/>
      <c r="K171" s="22"/>
      <c r="L171" s="22"/>
      <c r="M171" s="22"/>
      <c r="O171" s="22"/>
      <c r="P171" s="22"/>
      <c r="Q171" s="22"/>
      <c r="S171" s="22"/>
      <c r="T171" s="22"/>
      <c r="U171" s="22"/>
      <c r="W171" s="22"/>
      <c r="X171" s="22"/>
      <c r="Y171" s="22"/>
      <c r="AA171" s="22"/>
      <c r="AB171" s="22"/>
      <c r="AC171" s="22"/>
      <c r="AE171" s="24"/>
      <c r="AF171" s="24"/>
      <c r="AG171" s="24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6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</row>
    <row r="172" spans="1:200" s="23" customFormat="1" ht="14.25" customHeight="1" x14ac:dyDescent="0.2">
      <c r="A172" s="20"/>
      <c r="B172" s="21"/>
      <c r="C172" s="22"/>
      <c r="D172" s="22"/>
      <c r="E172" s="22"/>
      <c r="G172" s="22"/>
      <c r="H172" s="22"/>
      <c r="I172" s="22"/>
      <c r="K172" s="22"/>
      <c r="L172" s="22"/>
      <c r="M172" s="22"/>
      <c r="O172" s="22"/>
      <c r="P172" s="22"/>
      <c r="Q172" s="22"/>
      <c r="S172" s="22"/>
      <c r="T172" s="22"/>
      <c r="U172" s="22"/>
      <c r="W172" s="22"/>
      <c r="X172" s="22"/>
      <c r="Y172" s="22"/>
      <c r="AA172" s="22"/>
      <c r="AB172" s="22"/>
      <c r="AC172" s="22"/>
      <c r="AE172" s="24"/>
      <c r="AF172" s="24"/>
      <c r="AG172" s="24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6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</row>
    <row r="173" spans="1:200" s="23" customFormat="1" ht="14.25" customHeight="1" x14ac:dyDescent="0.2">
      <c r="A173" s="20"/>
      <c r="B173" s="21"/>
      <c r="C173" s="22"/>
      <c r="D173" s="22"/>
      <c r="E173" s="22"/>
      <c r="G173" s="22"/>
      <c r="H173" s="22"/>
      <c r="I173" s="22"/>
      <c r="K173" s="22"/>
      <c r="L173" s="22"/>
      <c r="M173" s="22"/>
      <c r="O173" s="22"/>
      <c r="P173" s="22"/>
      <c r="Q173" s="22"/>
      <c r="S173" s="22"/>
      <c r="T173" s="22"/>
      <c r="U173" s="22"/>
      <c r="W173" s="22"/>
      <c r="X173" s="22"/>
      <c r="Y173" s="22"/>
      <c r="AA173" s="22"/>
      <c r="AB173" s="22"/>
      <c r="AC173" s="22"/>
      <c r="AE173" s="24"/>
      <c r="AF173" s="24"/>
      <c r="AG173" s="24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6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</row>
    <row r="174" spans="1:200" s="23" customFormat="1" ht="14.25" customHeight="1" x14ac:dyDescent="0.2">
      <c r="A174" s="20"/>
      <c r="B174" s="21"/>
      <c r="C174" s="22"/>
      <c r="D174" s="22"/>
      <c r="E174" s="22"/>
      <c r="G174" s="22"/>
      <c r="H174" s="22"/>
      <c r="I174" s="22"/>
      <c r="K174" s="22"/>
      <c r="L174" s="22"/>
      <c r="M174" s="22"/>
      <c r="O174" s="22"/>
      <c r="P174" s="22"/>
      <c r="Q174" s="22"/>
      <c r="S174" s="22"/>
      <c r="T174" s="22"/>
      <c r="U174" s="22"/>
      <c r="W174" s="22"/>
      <c r="X174" s="22"/>
      <c r="Y174" s="22"/>
      <c r="AA174" s="22"/>
      <c r="AB174" s="22"/>
      <c r="AC174" s="22"/>
      <c r="AE174" s="24"/>
      <c r="AF174" s="24"/>
      <c r="AG174" s="24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6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</row>
    <row r="175" spans="1:200" s="23" customFormat="1" ht="14.25" customHeight="1" x14ac:dyDescent="0.2">
      <c r="A175" s="20"/>
      <c r="B175" s="21"/>
      <c r="C175" s="22"/>
      <c r="D175" s="22"/>
      <c r="E175" s="22"/>
      <c r="G175" s="22"/>
      <c r="H175" s="22"/>
      <c r="I175" s="22"/>
      <c r="K175" s="22"/>
      <c r="L175" s="22"/>
      <c r="M175" s="22"/>
      <c r="O175" s="22"/>
      <c r="P175" s="22"/>
      <c r="Q175" s="22"/>
      <c r="S175" s="22"/>
      <c r="T175" s="22"/>
      <c r="U175" s="22"/>
      <c r="W175" s="22"/>
      <c r="X175" s="22"/>
      <c r="Y175" s="22"/>
      <c r="AA175" s="22"/>
      <c r="AB175" s="22"/>
      <c r="AC175" s="22"/>
      <c r="AE175" s="24"/>
      <c r="AF175" s="24"/>
      <c r="AG175" s="24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6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</row>
    <row r="176" spans="1:200" s="23" customFormat="1" ht="14.25" customHeight="1" x14ac:dyDescent="0.2">
      <c r="A176" s="20"/>
      <c r="B176" s="21"/>
      <c r="C176" s="22"/>
      <c r="D176" s="22"/>
      <c r="E176" s="22"/>
      <c r="G176" s="22"/>
      <c r="H176" s="22"/>
      <c r="I176" s="22"/>
      <c r="K176" s="22"/>
      <c r="L176" s="22"/>
      <c r="M176" s="22"/>
      <c r="O176" s="22"/>
      <c r="P176" s="22"/>
      <c r="Q176" s="22"/>
      <c r="S176" s="22"/>
      <c r="T176" s="22"/>
      <c r="U176" s="22"/>
      <c r="W176" s="22"/>
      <c r="X176" s="22"/>
      <c r="Y176" s="22"/>
      <c r="AA176" s="22"/>
      <c r="AB176" s="22"/>
      <c r="AC176" s="22"/>
      <c r="AE176" s="24"/>
      <c r="AF176" s="24"/>
      <c r="AG176" s="24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6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</row>
    <row r="177" spans="1:200" s="23" customFormat="1" ht="14.25" customHeight="1" x14ac:dyDescent="0.2">
      <c r="A177" s="20"/>
      <c r="B177" s="21"/>
      <c r="C177" s="22"/>
      <c r="D177" s="22"/>
      <c r="E177" s="22"/>
      <c r="G177" s="22"/>
      <c r="H177" s="22"/>
      <c r="I177" s="22"/>
      <c r="K177" s="22"/>
      <c r="L177" s="22"/>
      <c r="M177" s="22"/>
      <c r="O177" s="22"/>
      <c r="P177" s="22"/>
      <c r="Q177" s="22"/>
      <c r="S177" s="22"/>
      <c r="T177" s="22"/>
      <c r="U177" s="22"/>
      <c r="W177" s="22"/>
      <c r="X177" s="22"/>
      <c r="Y177" s="22"/>
      <c r="AA177" s="22"/>
      <c r="AB177" s="22"/>
      <c r="AC177" s="22"/>
      <c r="AE177" s="24"/>
      <c r="AF177" s="24"/>
      <c r="AG177" s="24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6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</row>
    <row r="178" spans="1:200" s="23" customFormat="1" ht="14.25" customHeight="1" x14ac:dyDescent="0.2">
      <c r="A178" s="20"/>
      <c r="B178" s="21"/>
      <c r="C178" s="22"/>
      <c r="D178" s="22"/>
      <c r="E178" s="22"/>
      <c r="G178" s="22"/>
      <c r="H178" s="22"/>
      <c r="I178" s="22"/>
      <c r="K178" s="22"/>
      <c r="L178" s="22"/>
      <c r="M178" s="22"/>
      <c r="O178" s="22"/>
      <c r="P178" s="22"/>
      <c r="Q178" s="22"/>
      <c r="S178" s="22"/>
      <c r="T178" s="22"/>
      <c r="U178" s="22"/>
      <c r="W178" s="22"/>
      <c r="X178" s="22"/>
      <c r="Y178" s="22"/>
      <c r="AA178" s="22"/>
      <c r="AB178" s="22"/>
      <c r="AC178" s="22"/>
      <c r="AE178" s="24"/>
      <c r="AF178" s="24"/>
      <c r="AG178" s="24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6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</row>
    <row r="179" spans="1:200" s="23" customFormat="1" ht="14.25" customHeight="1" x14ac:dyDescent="0.2">
      <c r="A179" s="20"/>
      <c r="B179" s="21"/>
      <c r="C179" s="22"/>
      <c r="D179" s="22"/>
      <c r="E179" s="22"/>
      <c r="G179" s="22"/>
      <c r="H179" s="22"/>
      <c r="I179" s="22"/>
      <c r="K179" s="22"/>
      <c r="L179" s="22"/>
      <c r="M179" s="22"/>
      <c r="O179" s="22"/>
      <c r="P179" s="22"/>
      <c r="Q179" s="22"/>
      <c r="S179" s="22"/>
      <c r="T179" s="22"/>
      <c r="U179" s="22"/>
      <c r="W179" s="22"/>
      <c r="X179" s="22"/>
      <c r="Y179" s="22"/>
      <c r="AA179" s="22"/>
      <c r="AB179" s="22"/>
      <c r="AC179" s="22"/>
      <c r="AE179" s="24"/>
      <c r="AF179" s="24"/>
      <c r="AG179" s="24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6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</row>
    <row r="180" spans="1:200" s="23" customFormat="1" ht="14.25" customHeight="1" x14ac:dyDescent="0.2">
      <c r="A180" s="20"/>
      <c r="B180" s="21"/>
      <c r="C180" s="22"/>
      <c r="D180" s="22"/>
      <c r="E180" s="22"/>
      <c r="G180" s="22"/>
      <c r="H180" s="22"/>
      <c r="I180" s="22"/>
      <c r="K180" s="22"/>
      <c r="L180" s="22"/>
      <c r="M180" s="22"/>
      <c r="O180" s="22"/>
      <c r="P180" s="22"/>
      <c r="Q180" s="22"/>
      <c r="S180" s="22"/>
      <c r="T180" s="22"/>
      <c r="U180" s="22"/>
      <c r="W180" s="22"/>
      <c r="X180" s="22"/>
      <c r="Y180" s="22"/>
      <c r="AA180" s="22"/>
      <c r="AB180" s="22"/>
      <c r="AC180" s="22"/>
      <c r="AE180" s="24"/>
      <c r="AF180" s="24"/>
      <c r="AG180" s="24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6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</row>
    <row r="181" spans="1:200" s="23" customFormat="1" ht="14.25" customHeight="1" x14ac:dyDescent="0.2">
      <c r="A181" s="20"/>
      <c r="B181" s="21"/>
      <c r="C181" s="22"/>
      <c r="D181" s="22"/>
      <c r="E181" s="22"/>
      <c r="G181" s="22"/>
      <c r="H181" s="22"/>
      <c r="I181" s="22"/>
      <c r="K181" s="22"/>
      <c r="L181" s="22"/>
      <c r="M181" s="22"/>
      <c r="O181" s="22"/>
      <c r="P181" s="22"/>
      <c r="Q181" s="22"/>
      <c r="S181" s="22"/>
      <c r="T181" s="22"/>
      <c r="U181" s="22"/>
      <c r="W181" s="22"/>
      <c r="X181" s="22"/>
      <c r="Y181" s="22"/>
      <c r="AA181" s="22"/>
      <c r="AB181" s="22"/>
      <c r="AC181" s="22"/>
      <c r="AE181" s="24"/>
      <c r="AF181" s="24"/>
      <c r="AG181" s="24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6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</row>
    <row r="182" spans="1:200" s="23" customFormat="1" ht="14.25" customHeight="1" x14ac:dyDescent="0.2">
      <c r="A182" s="20"/>
      <c r="B182" s="21"/>
      <c r="C182" s="22"/>
      <c r="D182" s="22"/>
      <c r="E182" s="22"/>
      <c r="G182" s="22"/>
      <c r="H182" s="22"/>
      <c r="I182" s="22"/>
      <c r="K182" s="22"/>
      <c r="L182" s="22"/>
      <c r="M182" s="22"/>
      <c r="O182" s="22"/>
      <c r="P182" s="22"/>
      <c r="Q182" s="22"/>
      <c r="S182" s="22"/>
      <c r="T182" s="22"/>
      <c r="U182" s="22"/>
      <c r="W182" s="22"/>
      <c r="X182" s="22"/>
      <c r="Y182" s="22"/>
      <c r="AA182" s="22"/>
      <c r="AB182" s="22"/>
      <c r="AC182" s="22"/>
      <c r="AE182" s="24"/>
      <c r="AF182" s="24"/>
      <c r="AG182" s="24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6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</row>
    <row r="183" spans="1:200" s="23" customFormat="1" ht="14.25" customHeight="1" x14ac:dyDescent="0.2">
      <c r="A183" s="20"/>
      <c r="B183" s="21"/>
      <c r="C183" s="22"/>
      <c r="D183" s="22"/>
      <c r="E183" s="22"/>
      <c r="G183" s="22"/>
      <c r="H183" s="22"/>
      <c r="I183" s="22"/>
      <c r="K183" s="22"/>
      <c r="L183" s="22"/>
      <c r="M183" s="22"/>
      <c r="O183" s="22"/>
      <c r="P183" s="22"/>
      <c r="Q183" s="22"/>
      <c r="S183" s="22"/>
      <c r="T183" s="22"/>
      <c r="U183" s="22"/>
      <c r="W183" s="22"/>
      <c r="X183" s="22"/>
      <c r="Y183" s="22"/>
      <c r="AA183" s="22"/>
      <c r="AB183" s="22"/>
      <c r="AC183" s="22"/>
      <c r="AE183" s="24"/>
      <c r="AF183" s="24"/>
      <c r="AG183" s="24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6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</row>
    <row r="184" spans="1:200" s="23" customFormat="1" ht="14.25" customHeight="1" x14ac:dyDescent="0.2">
      <c r="A184" s="20"/>
      <c r="B184" s="21"/>
      <c r="C184" s="22"/>
      <c r="D184" s="22"/>
      <c r="E184" s="22"/>
      <c r="G184" s="22"/>
      <c r="H184" s="22"/>
      <c r="I184" s="22"/>
      <c r="K184" s="22"/>
      <c r="L184" s="22"/>
      <c r="M184" s="22"/>
      <c r="O184" s="22"/>
      <c r="P184" s="22"/>
      <c r="Q184" s="22"/>
      <c r="S184" s="22"/>
      <c r="T184" s="22"/>
      <c r="U184" s="22"/>
      <c r="W184" s="22"/>
      <c r="X184" s="22"/>
      <c r="Y184" s="22"/>
      <c r="AA184" s="22"/>
      <c r="AB184" s="22"/>
      <c r="AC184" s="22"/>
      <c r="AE184" s="24"/>
      <c r="AF184" s="24"/>
      <c r="AG184" s="24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6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</row>
    <row r="185" spans="1:200" s="23" customFormat="1" ht="14.25" customHeight="1" x14ac:dyDescent="0.2">
      <c r="A185" s="20"/>
      <c r="B185" s="21"/>
      <c r="C185" s="22"/>
      <c r="D185" s="22"/>
      <c r="E185" s="22"/>
      <c r="G185" s="22"/>
      <c r="H185" s="22"/>
      <c r="I185" s="22"/>
      <c r="K185" s="22"/>
      <c r="L185" s="22"/>
      <c r="M185" s="22"/>
      <c r="O185" s="22"/>
      <c r="P185" s="22"/>
      <c r="Q185" s="22"/>
      <c r="S185" s="22"/>
      <c r="T185" s="22"/>
      <c r="U185" s="22"/>
      <c r="W185" s="22"/>
      <c r="X185" s="22"/>
      <c r="Y185" s="22"/>
      <c r="AA185" s="22"/>
      <c r="AB185" s="22"/>
      <c r="AC185" s="22"/>
      <c r="AE185" s="24"/>
      <c r="AF185" s="24"/>
      <c r="AG185" s="24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6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</row>
    <row r="186" spans="1:200" s="23" customFormat="1" ht="14.25" customHeight="1" x14ac:dyDescent="0.2">
      <c r="A186" s="20"/>
      <c r="B186" s="21"/>
      <c r="C186" s="22"/>
      <c r="D186" s="22"/>
      <c r="E186" s="22"/>
      <c r="G186" s="22"/>
      <c r="H186" s="22"/>
      <c r="I186" s="22"/>
      <c r="K186" s="22"/>
      <c r="L186" s="22"/>
      <c r="M186" s="22"/>
      <c r="O186" s="22"/>
      <c r="P186" s="22"/>
      <c r="Q186" s="22"/>
      <c r="S186" s="22"/>
      <c r="T186" s="22"/>
      <c r="U186" s="22"/>
      <c r="W186" s="22"/>
      <c r="X186" s="22"/>
      <c r="Y186" s="22"/>
      <c r="AA186" s="22"/>
      <c r="AB186" s="22"/>
      <c r="AC186" s="22"/>
      <c r="AE186" s="24"/>
      <c r="AF186" s="24"/>
      <c r="AG186" s="24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6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</row>
    <row r="187" spans="1:200" s="23" customFormat="1" ht="14.25" customHeight="1" x14ac:dyDescent="0.2">
      <c r="A187" s="20"/>
      <c r="B187" s="21"/>
      <c r="C187" s="22"/>
      <c r="D187" s="22"/>
      <c r="E187" s="22"/>
      <c r="G187" s="22"/>
      <c r="H187" s="22"/>
      <c r="I187" s="22"/>
      <c r="K187" s="22"/>
      <c r="L187" s="22"/>
      <c r="M187" s="22"/>
      <c r="O187" s="22"/>
      <c r="P187" s="22"/>
      <c r="Q187" s="22"/>
      <c r="S187" s="22"/>
      <c r="T187" s="22"/>
      <c r="U187" s="22"/>
      <c r="W187" s="22"/>
      <c r="X187" s="22"/>
      <c r="Y187" s="22"/>
      <c r="AA187" s="22"/>
      <c r="AB187" s="22"/>
      <c r="AC187" s="22"/>
      <c r="AE187" s="24"/>
      <c r="AF187" s="24"/>
      <c r="AG187" s="24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6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</row>
    <row r="188" spans="1:200" s="23" customFormat="1" ht="14.25" customHeight="1" x14ac:dyDescent="0.2">
      <c r="A188" s="20"/>
      <c r="B188" s="21"/>
      <c r="C188" s="22"/>
      <c r="D188" s="22"/>
      <c r="E188" s="22"/>
      <c r="G188" s="22"/>
      <c r="H188" s="22"/>
      <c r="I188" s="22"/>
      <c r="K188" s="22"/>
      <c r="L188" s="22"/>
      <c r="M188" s="22"/>
      <c r="O188" s="22"/>
      <c r="P188" s="22"/>
      <c r="Q188" s="22"/>
      <c r="S188" s="22"/>
      <c r="T188" s="22"/>
      <c r="U188" s="22"/>
      <c r="W188" s="22"/>
      <c r="X188" s="22"/>
      <c r="Y188" s="22"/>
      <c r="AA188" s="22"/>
      <c r="AB188" s="22"/>
      <c r="AC188" s="22"/>
      <c r="AE188" s="24"/>
      <c r="AF188" s="24"/>
      <c r="AG188" s="24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6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</row>
    <row r="189" spans="1:200" s="23" customFormat="1" ht="14.25" customHeight="1" x14ac:dyDescent="0.2">
      <c r="A189" s="20"/>
      <c r="B189" s="21"/>
      <c r="C189" s="22"/>
      <c r="D189" s="22"/>
      <c r="E189" s="22"/>
      <c r="G189" s="22"/>
      <c r="H189" s="22"/>
      <c r="I189" s="22"/>
      <c r="K189" s="22"/>
      <c r="L189" s="22"/>
      <c r="M189" s="22"/>
      <c r="O189" s="22"/>
      <c r="P189" s="22"/>
      <c r="Q189" s="22"/>
      <c r="S189" s="22"/>
      <c r="T189" s="22"/>
      <c r="U189" s="22"/>
      <c r="W189" s="22"/>
      <c r="X189" s="22"/>
      <c r="Y189" s="22"/>
      <c r="AA189" s="22"/>
      <c r="AB189" s="22"/>
      <c r="AC189" s="22"/>
      <c r="AE189" s="24"/>
      <c r="AF189" s="24"/>
      <c r="AG189" s="24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6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</row>
    <row r="190" spans="1:200" s="23" customFormat="1" ht="14.25" customHeight="1" x14ac:dyDescent="0.2">
      <c r="A190" s="20"/>
      <c r="B190" s="21"/>
      <c r="C190" s="22"/>
      <c r="D190" s="22"/>
      <c r="E190" s="22"/>
      <c r="G190" s="22"/>
      <c r="H190" s="22"/>
      <c r="I190" s="22"/>
      <c r="K190" s="22"/>
      <c r="L190" s="22"/>
      <c r="M190" s="22"/>
      <c r="O190" s="22"/>
      <c r="P190" s="22"/>
      <c r="Q190" s="22"/>
      <c r="S190" s="22"/>
      <c r="T190" s="22"/>
      <c r="U190" s="22"/>
      <c r="W190" s="22"/>
      <c r="X190" s="22"/>
      <c r="Y190" s="22"/>
      <c r="AA190" s="22"/>
      <c r="AB190" s="22"/>
      <c r="AC190" s="22"/>
      <c r="AE190" s="24"/>
      <c r="AF190" s="24"/>
      <c r="AG190" s="24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6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</row>
    <row r="191" spans="1:200" s="23" customFormat="1" ht="14.25" customHeight="1" x14ac:dyDescent="0.2">
      <c r="A191" s="20"/>
      <c r="B191" s="21"/>
      <c r="C191" s="22"/>
      <c r="D191" s="22"/>
      <c r="E191" s="22"/>
      <c r="G191" s="22"/>
      <c r="H191" s="22"/>
      <c r="I191" s="22"/>
      <c r="K191" s="22"/>
      <c r="L191" s="22"/>
      <c r="M191" s="22"/>
      <c r="O191" s="22"/>
      <c r="P191" s="22"/>
      <c r="Q191" s="22"/>
      <c r="S191" s="22"/>
      <c r="T191" s="22"/>
      <c r="U191" s="22"/>
      <c r="W191" s="22"/>
      <c r="X191" s="22"/>
      <c r="Y191" s="22"/>
      <c r="AA191" s="22"/>
      <c r="AB191" s="22"/>
      <c r="AC191" s="22"/>
      <c r="AE191" s="24"/>
      <c r="AF191" s="24"/>
      <c r="AG191" s="24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6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</row>
    <row r="192" spans="1:200" s="23" customFormat="1" ht="14.25" customHeight="1" x14ac:dyDescent="0.2">
      <c r="A192" s="20"/>
      <c r="B192" s="21"/>
      <c r="C192" s="22"/>
      <c r="D192" s="22"/>
      <c r="E192" s="22"/>
      <c r="G192" s="22"/>
      <c r="H192" s="22"/>
      <c r="I192" s="22"/>
      <c r="K192" s="22"/>
      <c r="L192" s="22"/>
      <c r="M192" s="22"/>
      <c r="O192" s="22"/>
      <c r="P192" s="22"/>
      <c r="Q192" s="22"/>
      <c r="S192" s="22"/>
      <c r="T192" s="22"/>
      <c r="U192" s="22"/>
      <c r="W192" s="22"/>
      <c r="X192" s="22"/>
      <c r="Y192" s="22"/>
      <c r="AA192" s="22"/>
      <c r="AB192" s="22"/>
      <c r="AC192" s="22"/>
      <c r="AE192" s="24"/>
      <c r="AF192" s="24"/>
      <c r="AG192" s="24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6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</row>
    <row r="193" spans="1:200" s="23" customFormat="1" ht="14.25" customHeight="1" x14ac:dyDescent="0.2">
      <c r="A193" s="20"/>
      <c r="B193" s="21"/>
      <c r="C193" s="22"/>
      <c r="D193" s="22"/>
      <c r="E193" s="22"/>
      <c r="G193" s="22"/>
      <c r="H193" s="22"/>
      <c r="I193" s="22"/>
      <c r="K193" s="22"/>
      <c r="L193" s="22"/>
      <c r="M193" s="22"/>
      <c r="O193" s="22"/>
      <c r="P193" s="22"/>
      <c r="Q193" s="22"/>
      <c r="S193" s="22"/>
      <c r="T193" s="22"/>
      <c r="U193" s="22"/>
      <c r="W193" s="22"/>
      <c r="X193" s="22"/>
      <c r="Y193" s="22"/>
      <c r="AA193" s="22"/>
      <c r="AB193" s="22"/>
      <c r="AC193" s="22"/>
      <c r="AE193" s="24"/>
      <c r="AF193" s="24"/>
      <c r="AG193" s="24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6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</row>
    <row r="194" spans="1:200" s="23" customFormat="1" ht="14.25" customHeight="1" x14ac:dyDescent="0.2">
      <c r="A194" s="20"/>
      <c r="B194" s="21"/>
      <c r="C194" s="22"/>
      <c r="D194" s="22"/>
      <c r="E194" s="22"/>
      <c r="G194" s="22"/>
      <c r="H194" s="22"/>
      <c r="I194" s="22"/>
      <c r="K194" s="22"/>
      <c r="L194" s="22"/>
      <c r="M194" s="22"/>
      <c r="O194" s="22"/>
      <c r="P194" s="22"/>
      <c r="Q194" s="22"/>
      <c r="S194" s="22"/>
      <c r="T194" s="22"/>
      <c r="U194" s="22"/>
      <c r="W194" s="22"/>
      <c r="X194" s="22"/>
      <c r="Y194" s="22"/>
      <c r="AA194" s="22"/>
      <c r="AB194" s="22"/>
      <c r="AC194" s="22"/>
      <c r="AE194" s="24"/>
      <c r="AF194" s="24"/>
      <c r="AG194" s="24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6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</row>
    <row r="195" spans="1:200" s="23" customFormat="1" ht="14.25" customHeight="1" x14ac:dyDescent="0.2">
      <c r="A195" s="20"/>
      <c r="B195" s="21"/>
      <c r="C195" s="22"/>
      <c r="D195" s="22"/>
      <c r="E195" s="22"/>
      <c r="G195" s="22"/>
      <c r="H195" s="22"/>
      <c r="I195" s="22"/>
      <c r="K195" s="22"/>
      <c r="L195" s="22"/>
      <c r="M195" s="22"/>
      <c r="O195" s="22"/>
      <c r="P195" s="22"/>
      <c r="Q195" s="22"/>
      <c r="S195" s="22"/>
      <c r="T195" s="22"/>
      <c r="U195" s="22"/>
      <c r="W195" s="22"/>
      <c r="X195" s="22"/>
      <c r="Y195" s="22"/>
      <c r="AA195" s="22"/>
      <c r="AB195" s="22"/>
      <c r="AC195" s="22"/>
      <c r="AE195" s="24"/>
      <c r="AF195" s="24"/>
      <c r="AG195" s="24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6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</row>
    <row r="196" spans="1:200" s="23" customFormat="1" ht="14.25" customHeight="1" x14ac:dyDescent="0.2">
      <c r="A196" s="20"/>
      <c r="B196" s="21"/>
      <c r="C196" s="22"/>
      <c r="D196" s="22"/>
      <c r="E196" s="22"/>
      <c r="G196" s="22"/>
      <c r="H196" s="22"/>
      <c r="I196" s="22"/>
      <c r="K196" s="22"/>
      <c r="L196" s="22"/>
      <c r="M196" s="22"/>
      <c r="O196" s="22"/>
      <c r="P196" s="22"/>
      <c r="Q196" s="22"/>
      <c r="S196" s="22"/>
      <c r="T196" s="22"/>
      <c r="U196" s="22"/>
      <c r="W196" s="22"/>
      <c r="X196" s="22"/>
      <c r="Y196" s="22"/>
      <c r="AA196" s="22"/>
      <c r="AB196" s="22"/>
      <c r="AC196" s="22"/>
      <c r="AE196" s="24"/>
      <c r="AF196" s="24"/>
      <c r="AG196" s="24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6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</row>
    <row r="197" spans="1:200" s="23" customFormat="1" ht="14.25" customHeight="1" x14ac:dyDescent="0.2">
      <c r="A197" s="20"/>
      <c r="B197" s="21"/>
      <c r="C197" s="22"/>
      <c r="D197" s="22"/>
      <c r="E197" s="22"/>
      <c r="G197" s="22"/>
      <c r="H197" s="22"/>
      <c r="I197" s="22"/>
      <c r="K197" s="22"/>
      <c r="L197" s="22"/>
      <c r="M197" s="22"/>
      <c r="O197" s="22"/>
      <c r="P197" s="22"/>
      <c r="Q197" s="22"/>
      <c r="S197" s="22"/>
      <c r="T197" s="22"/>
      <c r="U197" s="22"/>
      <c r="W197" s="22"/>
      <c r="X197" s="22"/>
      <c r="Y197" s="22"/>
      <c r="AA197" s="22"/>
      <c r="AB197" s="22"/>
      <c r="AC197" s="22"/>
      <c r="AE197" s="24"/>
      <c r="AF197" s="24"/>
      <c r="AG197" s="24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6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</row>
    <row r="198" spans="1:200" s="23" customFormat="1" ht="14.25" customHeight="1" x14ac:dyDescent="0.2">
      <c r="A198" s="20"/>
      <c r="B198" s="21"/>
      <c r="C198" s="22"/>
      <c r="D198" s="22"/>
      <c r="E198" s="22"/>
      <c r="G198" s="22"/>
      <c r="H198" s="22"/>
      <c r="I198" s="22"/>
      <c r="K198" s="22"/>
      <c r="L198" s="22"/>
      <c r="M198" s="22"/>
      <c r="O198" s="22"/>
      <c r="P198" s="22"/>
      <c r="Q198" s="22"/>
      <c r="S198" s="22"/>
      <c r="T198" s="22"/>
      <c r="U198" s="22"/>
      <c r="W198" s="22"/>
      <c r="X198" s="22"/>
      <c r="Y198" s="22"/>
      <c r="AA198" s="22"/>
      <c r="AB198" s="22"/>
      <c r="AC198" s="22"/>
      <c r="AE198" s="24"/>
      <c r="AF198" s="24"/>
      <c r="AG198" s="24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6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</row>
    <row r="199" spans="1:200" s="23" customFormat="1" ht="14.25" customHeight="1" x14ac:dyDescent="0.2">
      <c r="A199" s="20"/>
      <c r="B199" s="21"/>
      <c r="C199" s="22"/>
      <c r="D199" s="22"/>
      <c r="E199" s="22"/>
      <c r="G199" s="22"/>
      <c r="H199" s="22"/>
      <c r="I199" s="22"/>
      <c r="K199" s="22"/>
      <c r="L199" s="22"/>
      <c r="M199" s="22"/>
      <c r="O199" s="22"/>
      <c r="P199" s="22"/>
      <c r="Q199" s="22"/>
      <c r="S199" s="22"/>
      <c r="T199" s="22"/>
      <c r="U199" s="22"/>
      <c r="W199" s="22"/>
      <c r="X199" s="22"/>
      <c r="Y199" s="22"/>
      <c r="AA199" s="22"/>
      <c r="AB199" s="22"/>
      <c r="AC199" s="22"/>
      <c r="AE199" s="24"/>
      <c r="AF199" s="24"/>
      <c r="AG199" s="24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6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</row>
    <row r="200" spans="1:200" s="23" customFormat="1" ht="14.25" customHeight="1" x14ac:dyDescent="0.2">
      <c r="A200" s="20"/>
      <c r="B200" s="21"/>
      <c r="C200" s="22"/>
      <c r="D200" s="22"/>
      <c r="E200" s="22"/>
      <c r="G200" s="22"/>
      <c r="H200" s="22"/>
      <c r="I200" s="22"/>
      <c r="K200" s="22"/>
      <c r="L200" s="22"/>
      <c r="M200" s="22"/>
      <c r="O200" s="22"/>
      <c r="P200" s="22"/>
      <c r="Q200" s="22"/>
      <c r="S200" s="22"/>
      <c r="T200" s="22"/>
      <c r="U200" s="22"/>
      <c r="W200" s="22"/>
      <c r="X200" s="22"/>
      <c r="Y200" s="22"/>
      <c r="AA200" s="22"/>
      <c r="AB200" s="22"/>
      <c r="AC200" s="22"/>
      <c r="AE200" s="24"/>
      <c r="AF200" s="24"/>
      <c r="AG200" s="24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6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</row>
    <row r="201" spans="1:200" s="23" customFormat="1" ht="14.25" customHeight="1" x14ac:dyDescent="0.2">
      <c r="A201" s="20"/>
      <c r="B201" s="21"/>
      <c r="C201" s="22"/>
      <c r="D201" s="22"/>
      <c r="E201" s="22"/>
      <c r="G201" s="22"/>
      <c r="H201" s="22"/>
      <c r="I201" s="22"/>
      <c r="K201" s="22"/>
      <c r="L201" s="22"/>
      <c r="M201" s="22"/>
      <c r="O201" s="22"/>
      <c r="P201" s="22"/>
      <c r="Q201" s="22"/>
      <c r="S201" s="22"/>
      <c r="T201" s="22"/>
      <c r="U201" s="22"/>
      <c r="W201" s="22"/>
      <c r="X201" s="22"/>
      <c r="Y201" s="22"/>
      <c r="AA201" s="22"/>
      <c r="AB201" s="22"/>
      <c r="AC201" s="22"/>
      <c r="AE201" s="24"/>
      <c r="AF201" s="24"/>
      <c r="AG201" s="24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6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</row>
    <row r="202" spans="1:200" s="23" customFormat="1" ht="14.25" customHeight="1" x14ac:dyDescent="0.2">
      <c r="A202" s="20"/>
      <c r="B202" s="21"/>
      <c r="C202" s="22"/>
      <c r="D202" s="22"/>
      <c r="E202" s="22"/>
      <c r="G202" s="22"/>
      <c r="H202" s="22"/>
      <c r="I202" s="22"/>
      <c r="K202" s="22"/>
      <c r="L202" s="22"/>
      <c r="M202" s="22"/>
      <c r="O202" s="22"/>
      <c r="P202" s="22"/>
      <c r="Q202" s="22"/>
      <c r="S202" s="22"/>
      <c r="T202" s="22"/>
      <c r="U202" s="22"/>
      <c r="W202" s="22"/>
      <c r="X202" s="22"/>
      <c r="Y202" s="22"/>
      <c r="AA202" s="22"/>
      <c r="AB202" s="22"/>
      <c r="AC202" s="22"/>
      <c r="AE202" s="24"/>
      <c r="AF202" s="24"/>
      <c r="AG202" s="24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6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</row>
    <row r="203" spans="1:200" s="23" customFormat="1" ht="14.25" customHeight="1" x14ac:dyDescent="0.2">
      <c r="A203" s="20"/>
      <c r="B203" s="21"/>
      <c r="C203" s="22"/>
      <c r="D203" s="22"/>
      <c r="E203" s="22"/>
      <c r="G203" s="22"/>
      <c r="H203" s="22"/>
      <c r="I203" s="22"/>
      <c r="K203" s="22"/>
      <c r="L203" s="22"/>
      <c r="M203" s="22"/>
      <c r="O203" s="22"/>
      <c r="P203" s="22"/>
      <c r="Q203" s="22"/>
      <c r="S203" s="22"/>
      <c r="T203" s="22"/>
      <c r="U203" s="22"/>
      <c r="W203" s="22"/>
      <c r="X203" s="22"/>
      <c r="Y203" s="22"/>
      <c r="AA203" s="22"/>
      <c r="AB203" s="22"/>
      <c r="AC203" s="22"/>
      <c r="AE203" s="24"/>
      <c r="AF203" s="24"/>
      <c r="AG203" s="24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6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/>
      <c r="GR203" s="24"/>
    </row>
    <row r="204" spans="1:200" s="23" customFormat="1" ht="14.25" customHeight="1" x14ac:dyDescent="0.2">
      <c r="A204" s="20"/>
      <c r="B204" s="21"/>
      <c r="C204" s="22"/>
      <c r="D204" s="22"/>
      <c r="E204" s="22"/>
      <c r="G204" s="22"/>
      <c r="H204" s="22"/>
      <c r="I204" s="22"/>
      <c r="K204" s="22"/>
      <c r="L204" s="22"/>
      <c r="M204" s="22"/>
      <c r="O204" s="22"/>
      <c r="P204" s="22"/>
      <c r="Q204" s="22"/>
      <c r="S204" s="22"/>
      <c r="T204" s="22"/>
      <c r="U204" s="22"/>
      <c r="W204" s="22"/>
      <c r="X204" s="22"/>
      <c r="Y204" s="22"/>
      <c r="AA204" s="22"/>
      <c r="AB204" s="22"/>
      <c r="AC204" s="22"/>
      <c r="AE204" s="24"/>
      <c r="AF204" s="24"/>
      <c r="AG204" s="24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6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</row>
    <row r="205" spans="1:200" s="23" customFormat="1" ht="14.25" customHeight="1" x14ac:dyDescent="0.2">
      <c r="A205" s="20"/>
      <c r="B205" s="21"/>
      <c r="C205" s="22"/>
      <c r="D205" s="22"/>
      <c r="E205" s="22"/>
      <c r="G205" s="22"/>
      <c r="H205" s="22"/>
      <c r="I205" s="22"/>
      <c r="K205" s="22"/>
      <c r="L205" s="22"/>
      <c r="M205" s="22"/>
      <c r="O205" s="22"/>
      <c r="P205" s="22"/>
      <c r="Q205" s="22"/>
      <c r="S205" s="22"/>
      <c r="T205" s="22"/>
      <c r="U205" s="22"/>
      <c r="W205" s="22"/>
      <c r="X205" s="22"/>
      <c r="Y205" s="22"/>
      <c r="AA205" s="22"/>
      <c r="AB205" s="22"/>
      <c r="AC205" s="22"/>
      <c r="AE205" s="24"/>
      <c r="AF205" s="24"/>
      <c r="AG205" s="24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6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</row>
    <row r="206" spans="1:200" s="23" customFormat="1" ht="14.25" customHeight="1" x14ac:dyDescent="0.2">
      <c r="A206" s="20"/>
      <c r="B206" s="21"/>
      <c r="C206" s="22"/>
      <c r="D206" s="22"/>
      <c r="E206" s="22"/>
      <c r="G206" s="22"/>
      <c r="H206" s="22"/>
      <c r="I206" s="22"/>
      <c r="K206" s="22"/>
      <c r="L206" s="22"/>
      <c r="M206" s="22"/>
      <c r="O206" s="22"/>
      <c r="P206" s="22"/>
      <c r="Q206" s="22"/>
      <c r="S206" s="22"/>
      <c r="T206" s="22"/>
      <c r="U206" s="22"/>
      <c r="W206" s="22"/>
      <c r="X206" s="22"/>
      <c r="Y206" s="22"/>
      <c r="AA206" s="22"/>
      <c r="AB206" s="22"/>
      <c r="AC206" s="22"/>
      <c r="AE206" s="24"/>
      <c r="AF206" s="24"/>
      <c r="AG206" s="24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6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</row>
    <row r="207" spans="1:200" s="23" customFormat="1" ht="14.25" customHeight="1" x14ac:dyDescent="0.2">
      <c r="A207" s="20"/>
      <c r="B207" s="21"/>
      <c r="C207" s="22"/>
      <c r="D207" s="22"/>
      <c r="E207" s="22"/>
      <c r="G207" s="22"/>
      <c r="H207" s="22"/>
      <c r="I207" s="22"/>
      <c r="K207" s="22"/>
      <c r="L207" s="22"/>
      <c r="M207" s="22"/>
      <c r="O207" s="22"/>
      <c r="P207" s="22"/>
      <c r="Q207" s="22"/>
      <c r="S207" s="22"/>
      <c r="T207" s="22"/>
      <c r="U207" s="22"/>
      <c r="W207" s="22"/>
      <c r="X207" s="22"/>
      <c r="Y207" s="22"/>
      <c r="AA207" s="22"/>
      <c r="AB207" s="22"/>
      <c r="AC207" s="22"/>
      <c r="AE207" s="24"/>
      <c r="AF207" s="24"/>
      <c r="AG207" s="24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6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</row>
    <row r="208" spans="1:200" s="23" customFormat="1" ht="14.25" customHeight="1" x14ac:dyDescent="0.2">
      <c r="A208" s="20"/>
      <c r="B208" s="21"/>
      <c r="C208" s="22"/>
      <c r="D208" s="22"/>
      <c r="E208" s="22"/>
      <c r="G208" s="22"/>
      <c r="H208" s="22"/>
      <c r="I208" s="22"/>
      <c r="K208" s="22"/>
      <c r="L208" s="22"/>
      <c r="M208" s="22"/>
      <c r="O208" s="22"/>
      <c r="P208" s="22"/>
      <c r="Q208" s="22"/>
      <c r="S208" s="22"/>
      <c r="T208" s="22"/>
      <c r="U208" s="22"/>
      <c r="W208" s="22"/>
      <c r="X208" s="22"/>
      <c r="Y208" s="22"/>
      <c r="AA208" s="22"/>
      <c r="AB208" s="22"/>
      <c r="AC208" s="22"/>
      <c r="AE208" s="24"/>
      <c r="AF208" s="24"/>
      <c r="AG208" s="24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6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</row>
    <row r="209" spans="1:200" s="23" customFormat="1" ht="14.25" customHeight="1" x14ac:dyDescent="0.2">
      <c r="A209" s="20"/>
      <c r="B209" s="21"/>
      <c r="C209" s="22"/>
      <c r="D209" s="22"/>
      <c r="E209" s="22"/>
      <c r="G209" s="22"/>
      <c r="H209" s="22"/>
      <c r="I209" s="22"/>
      <c r="K209" s="22"/>
      <c r="L209" s="22"/>
      <c r="M209" s="22"/>
      <c r="O209" s="22"/>
      <c r="P209" s="22"/>
      <c r="Q209" s="22"/>
      <c r="S209" s="22"/>
      <c r="T209" s="22"/>
      <c r="U209" s="22"/>
      <c r="W209" s="22"/>
      <c r="X209" s="22"/>
      <c r="Y209" s="22"/>
      <c r="AA209" s="22"/>
      <c r="AB209" s="22"/>
      <c r="AC209" s="22"/>
      <c r="AE209" s="24"/>
      <c r="AF209" s="24"/>
      <c r="AG209" s="24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6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</row>
    <row r="210" spans="1:200" s="23" customFormat="1" ht="14.25" customHeight="1" x14ac:dyDescent="0.2">
      <c r="A210" s="20"/>
      <c r="B210" s="21"/>
      <c r="C210" s="22"/>
      <c r="D210" s="22"/>
      <c r="E210" s="22"/>
      <c r="G210" s="22"/>
      <c r="H210" s="22"/>
      <c r="I210" s="22"/>
      <c r="K210" s="22"/>
      <c r="L210" s="22"/>
      <c r="M210" s="22"/>
      <c r="O210" s="22"/>
      <c r="P210" s="22"/>
      <c r="Q210" s="22"/>
      <c r="S210" s="22"/>
      <c r="T210" s="22"/>
      <c r="U210" s="22"/>
      <c r="W210" s="22"/>
      <c r="X210" s="22"/>
      <c r="Y210" s="22"/>
      <c r="AA210" s="22"/>
      <c r="AB210" s="22"/>
      <c r="AC210" s="22"/>
      <c r="AE210" s="24"/>
      <c r="AF210" s="24"/>
      <c r="AG210" s="24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6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</row>
    <row r="211" spans="1:200" s="23" customFormat="1" ht="14.25" customHeight="1" x14ac:dyDescent="0.2">
      <c r="A211" s="20"/>
      <c r="B211" s="21"/>
      <c r="C211" s="22"/>
      <c r="D211" s="22"/>
      <c r="E211" s="22"/>
      <c r="G211" s="22"/>
      <c r="H211" s="22"/>
      <c r="I211" s="22"/>
      <c r="K211" s="22"/>
      <c r="L211" s="22"/>
      <c r="M211" s="22"/>
      <c r="O211" s="22"/>
      <c r="P211" s="22"/>
      <c r="Q211" s="22"/>
      <c r="S211" s="22"/>
      <c r="T211" s="22"/>
      <c r="U211" s="22"/>
      <c r="W211" s="22"/>
      <c r="X211" s="22"/>
      <c r="Y211" s="22"/>
      <c r="AA211" s="22"/>
      <c r="AB211" s="22"/>
      <c r="AC211" s="22"/>
      <c r="AE211" s="24"/>
      <c r="AF211" s="24"/>
      <c r="AG211" s="24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6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</row>
    <row r="212" spans="1:200" s="23" customFormat="1" ht="14.25" customHeight="1" x14ac:dyDescent="0.2">
      <c r="A212" s="20"/>
      <c r="B212" s="21"/>
      <c r="C212" s="22"/>
      <c r="D212" s="22"/>
      <c r="E212" s="22"/>
      <c r="G212" s="22"/>
      <c r="H212" s="22"/>
      <c r="I212" s="22"/>
      <c r="K212" s="22"/>
      <c r="L212" s="22"/>
      <c r="M212" s="22"/>
      <c r="O212" s="22"/>
      <c r="P212" s="22"/>
      <c r="Q212" s="22"/>
      <c r="S212" s="22"/>
      <c r="T212" s="22"/>
      <c r="U212" s="22"/>
      <c r="W212" s="22"/>
      <c r="X212" s="22"/>
      <c r="Y212" s="22"/>
      <c r="AA212" s="22"/>
      <c r="AB212" s="22"/>
      <c r="AC212" s="22"/>
      <c r="AE212" s="24"/>
      <c r="AF212" s="24"/>
      <c r="AG212" s="24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6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</row>
    <row r="213" spans="1:200" s="23" customFormat="1" ht="14.25" customHeight="1" x14ac:dyDescent="0.2">
      <c r="A213" s="20"/>
      <c r="B213" s="21"/>
      <c r="C213" s="22"/>
      <c r="D213" s="22"/>
      <c r="E213" s="22"/>
      <c r="G213" s="22"/>
      <c r="H213" s="22"/>
      <c r="I213" s="22"/>
      <c r="K213" s="22"/>
      <c r="L213" s="22"/>
      <c r="M213" s="22"/>
      <c r="O213" s="22"/>
      <c r="P213" s="22"/>
      <c r="Q213" s="22"/>
      <c r="S213" s="22"/>
      <c r="T213" s="22"/>
      <c r="U213" s="22"/>
      <c r="W213" s="22"/>
      <c r="X213" s="22"/>
      <c r="Y213" s="22"/>
      <c r="AA213" s="22"/>
      <c r="AB213" s="22"/>
      <c r="AC213" s="22"/>
      <c r="AE213" s="24"/>
      <c r="AF213" s="24"/>
      <c r="AG213" s="24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6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</row>
    <row r="214" spans="1:200" s="23" customFormat="1" ht="14.25" customHeight="1" x14ac:dyDescent="0.2">
      <c r="A214" s="20"/>
      <c r="B214" s="21"/>
      <c r="C214" s="22"/>
      <c r="D214" s="22"/>
      <c r="E214" s="22"/>
      <c r="G214" s="22"/>
      <c r="H214" s="22"/>
      <c r="I214" s="22"/>
      <c r="K214" s="22"/>
      <c r="L214" s="22"/>
      <c r="M214" s="22"/>
      <c r="O214" s="22"/>
      <c r="P214" s="22"/>
      <c r="Q214" s="22"/>
      <c r="S214" s="22"/>
      <c r="T214" s="22"/>
      <c r="U214" s="22"/>
      <c r="W214" s="22"/>
      <c r="X214" s="22"/>
      <c r="Y214" s="22"/>
      <c r="AA214" s="22"/>
      <c r="AB214" s="22"/>
      <c r="AC214" s="22"/>
      <c r="AE214" s="24"/>
      <c r="AF214" s="24"/>
      <c r="AG214" s="24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6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</row>
    <row r="215" spans="1:200" s="23" customFormat="1" ht="14.25" customHeight="1" x14ac:dyDescent="0.2">
      <c r="A215" s="20"/>
      <c r="B215" s="21"/>
      <c r="C215" s="22"/>
      <c r="D215" s="22"/>
      <c r="E215" s="22"/>
      <c r="G215" s="22"/>
      <c r="H215" s="22"/>
      <c r="I215" s="22"/>
      <c r="K215" s="22"/>
      <c r="L215" s="22"/>
      <c r="M215" s="22"/>
      <c r="O215" s="22"/>
      <c r="P215" s="22"/>
      <c r="Q215" s="22"/>
      <c r="S215" s="22"/>
      <c r="T215" s="22"/>
      <c r="U215" s="22"/>
      <c r="W215" s="22"/>
      <c r="X215" s="22"/>
      <c r="Y215" s="22"/>
      <c r="AA215" s="22"/>
      <c r="AB215" s="22"/>
      <c r="AC215" s="22"/>
      <c r="AE215" s="24"/>
      <c r="AF215" s="24"/>
      <c r="AG215" s="24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6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24"/>
      <c r="GQ215" s="24"/>
      <c r="GR215" s="24"/>
    </row>
    <row r="216" spans="1:200" s="23" customFormat="1" ht="14.25" customHeight="1" x14ac:dyDescent="0.2">
      <c r="A216" s="20"/>
      <c r="B216" s="21"/>
      <c r="C216" s="22"/>
      <c r="D216" s="22"/>
      <c r="E216" s="22"/>
      <c r="G216" s="22"/>
      <c r="H216" s="22"/>
      <c r="I216" s="22"/>
      <c r="K216" s="22"/>
      <c r="L216" s="22"/>
      <c r="M216" s="22"/>
      <c r="O216" s="22"/>
      <c r="P216" s="22"/>
      <c r="Q216" s="22"/>
      <c r="S216" s="22"/>
      <c r="T216" s="22"/>
      <c r="U216" s="22"/>
      <c r="W216" s="22"/>
      <c r="X216" s="22"/>
      <c r="Y216" s="22"/>
      <c r="AA216" s="22"/>
      <c r="AB216" s="22"/>
      <c r="AC216" s="22"/>
      <c r="AE216" s="24"/>
      <c r="AF216" s="24"/>
      <c r="AG216" s="24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6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</row>
    <row r="217" spans="1:200" s="23" customFormat="1" ht="14.25" customHeight="1" x14ac:dyDescent="0.2">
      <c r="A217" s="20"/>
      <c r="B217" s="21"/>
      <c r="C217" s="22"/>
      <c r="D217" s="22"/>
      <c r="E217" s="22"/>
      <c r="G217" s="22"/>
      <c r="H217" s="22"/>
      <c r="I217" s="22"/>
      <c r="K217" s="22"/>
      <c r="L217" s="22"/>
      <c r="M217" s="22"/>
      <c r="O217" s="22"/>
      <c r="P217" s="22"/>
      <c r="Q217" s="22"/>
      <c r="S217" s="22"/>
      <c r="T217" s="22"/>
      <c r="U217" s="22"/>
      <c r="W217" s="22"/>
      <c r="X217" s="22"/>
      <c r="Y217" s="22"/>
      <c r="AA217" s="22"/>
      <c r="AB217" s="22"/>
      <c r="AC217" s="22"/>
      <c r="AE217" s="24"/>
      <c r="AF217" s="24"/>
      <c r="AG217" s="24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6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</row>
    <row r="218" spans="1:200" s="23" customFormat="1" ht="14.25" customHeight="1" x14ac:dyDescent="0.2">
      <c r="A218" s="20"/>
      <c r="B218" s="21"/>
      <c r="C218" s="22"/>
      <c r="D218" s="22"/>
      <c r="E218" s="22"/>
      <c r="G218" s="22"/>
      <c r="H218" s="22"/>
      <c r="I218" s="22"/>
      <c r="K218" s="22"/>
      <c r="L218" s="22"/>
      <c r="M218" s="22"/>
      <c r="O218" s="22"/>
      <c r="P218" s="22"/>
      <c r="Q218" s="22"/>
      <c r="S218" s="22"/>
      <c r="T218" s="22"/>
      <c r="U218" s="22"/>
      <c r="W218" s="22"/>
      <c r="X218" s="22"/>
      <c r="Y218" s="22"/>
      <c r="AA218" s="22"/>
      <c r="AB218" s="22"/>
      <c r="AC218" s="22"/>
      <c r="AE218" s="24"/>
      <c r="AF218" s="24"/>
      <c r="AG218" s="24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6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</row>
    <row r="219" spans="1:200" s="23" customFormat="1" ht="14.25" customHeight="1" x14ac:dyDescent="0.2">
      <c r="A219" s="20"/>
      <c r="B219" s="21"/>
      <c r="C219" s="22"/>
      <c r="D219" s="22"/>
      <c r="E219" s="22"/>
      <c r="G219" s="22"/>
      <c r="H219" s="22"/>
      <c r="I219" s="22"/>
      <c r="K219" s="22"/>
      <c r="L219" s="22"/>
      <c r="M219" s="22"/>
      <c r="O219" s="22"/>
      <c r="P219" s="22"/>
      <c r="Q219" s="22"/>
      <c r="S219" s="22"/>
      <c r="T219" s="22"/>
      <c r="U219" s="22"/>
      <c r="W219" s="22"/>
      <c r="X219" s="22"/>
      <c r="Y219" s="22"/>
      <c r="AA219" s="22"/>
      <c r="AB219" s="22"/>
      <c r="AC219" s="22"/>
      <c r="AE219" s="24"/>
      <c r="AF219" s="24"/>
      <c r="AG219" s="24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6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</row>
    <row r="220" spans="1:200" s="23" customFormat="1" ht="14.25" customHeight="1" x14ac:dyDescent="0.2">
      <c r="A220" s="20"/>
      <c r="B220" s="21"/>
      <c r="C220" s="22"/>
      <c r="D220" s="22"/>
      <c r="E220" s="22"/>
      <c r="G220" s="22"/>
      <c r="H220" s="22"/>
      <c r="I220" s="22"/>
      <c r="K220" s="22"/>
      <c r="L220" s="22"/>
      <c r="M220" s="22"/>
      <c r="O220" s="22"/>
      <c r="P220" s="22"/>
      <c r="Q220" s="22"/>
      <c r="S220" s="22"/>
      <c r="T220" s="22"/>
      <c r="U220" s="22"/>
      <c r="W220" s="22"/>
      <c r="X220" s="22"/>
      <c r="Y220" s="22"/>
      <c r="AA220" s="22"/>
      <c r="AB220" s="22"/>
      <c r="AC220" s="22"/>
      <c r="AE220" s="24"/>
      <c r="AF220" s="24"/>
      <c r="AG220" s="24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6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</row>
    <row r="221" spans="1:200" s="23" customFormat="1" ht="14.25" customHeight="1" x14ac:dyDescent="0.2">
      <c r="A221" s="20"/>
      <c r="B221" s="21"/>
      <c r="C221" s="22"/>
      <c r="D221" s="22"/>
      <c r="E221" s="22"/>
      <c r="G221" s="22"/>
      <c r="H221" s="22"/>
      <c r="I221" s="22"/>
      <c r="K221" s="22"/>
      <c r="L221" s="22"/>
      <c r="M221" s="22"/>
      <c r="O221" s="22"/>
      <c r="P221" s="22"/>
      <c r="Q221" s="22"/>
      <c r="S221" s="22"/>
      <c r="T221" s="22"/>
      <c r="U221" s="22"/>
      <c r="W221" s="22"/>
      <c r="X221" s="22"/>
      <c r="Y221" s="22"/>
      <c r="AA221" s="22"/>
      <c r="AB221" s="22"/>
      <c r="AC221" s="22"/>
      <c r="AE221" s="24"/>
      <c r="AF221" s="24"/>
      <c r="AG221" s="24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6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</row>
    <row r="222" spans="1:200" s="23" customFormat="1" ht="14.25" customHeight="1" x14ac:dyDescent="0.2">
      <c r="A222" s="20"/>
      <c r="B222" s="21"/>
      <c r="C222" s="22"/>
      <c r="D222" s="22"/>
      <c r="E222" s="22"/>
      <c r="G222" s="22"/>
      <c r="H222" s="22"/>
      <c r="I222" s="22"/>
      <c r="K222" s="22"/>
      <c r="L222" s="22"/>
      <c r="M222" s="22"/>
      <c r="O222" s="22"/>
      <c r="P222" s="22"/>
      <c r="Q222" s="22"/>
      <c r="S222" s="22"/>
      <c r="T222" s="22"/>
      <c r="U222" s="22"/>
      <c r="W222" s="22"/>
      <c r="X222" s="22"/>
      <c r="Y222" s="22"/>
      <c r="AA222" s="22"/>
      <c r="AB222" s="22"/>
      <c r="AC222" s="22"/>
      <c r="AE222" s="24"/>
      <c r="AF222" s="24"/>
      <c r="AG222" s="24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6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</row>
    <row r="223" spans="1:200" s="23" customFormat="1" ht="14.25" customHeight="1" x14ac:dyDescent="0.2">
      <c r="A223" s="20"/>
      <c r="B223" s="21"/>
      <c r="C223" s="22"/>
      <c r="D223" s="22"/>
      <c r="E223" s="22"/>
      <c r="G223" s="22"/>
      <c r="H223" s="22"/>
      <c r="I223" s="22"/>
      <c r="K223" s="22"/>
      <c r="L223" s="22"/>
      <c r="M223" s="22"/>
      <c r="O223" s="22"/>
      <c r="P223" s="22"/>
      <c r="Q223" s="22"/>
      <c r="S223" s="22"/>
      <c r="T223" s="22"/>
      <c r="U223" s="22"/>
      <c r="W223" s="22"/>
      <c r="X223" s="22"/>
      <c r="Y223" s="22"/>
      <c r="AA223" s="22"/>
      <c r="AB223" s="22"/>
      <c r="AC223" s="22"/>
      <c r="AE223" s="24"/>
      <c r="AF223" s="24"/>
      <c r="AG223" s="24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6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</row>
    <row r="224" spans="1:200" s="23" customFormat="1" ht="14.25" customHeight="1" x14ac:dyDescent="0.2">
      <c r="A224" s="20"/>
      <c r="B224" s="21"/>
      <c r="C224" s="22"/>
      <c r="D224" s="22"/>
      <c r="E224" s="22"/>
      <c r="G224" s="22"/>
      <c r="H224" s="22"/>
      <c r="I224" s="22"/>
      <c r="K224" s="22"/>
      <c r="L224" s="22"/>
      <c r="M224" s="22"/>
      <c r="O224" s="22"/>
      <c r="P224" s="22"/>
      <c r="Q224" s="22"/>
      <c r="S224" s="22"/>
      <c r="T224" s="22"/>
      <c r="U224" s="22"/>
      <c r="W224" s="22"/>
      <c r="X224" s="22"/>
      <c r="Y224" s="22"/>
      <c r="AA224" s="22"/>
      <c r="AB224" s="22"/>
      <c r="AC224" s="22"/>
      <c r="AE224" s="24"/>
      <c r="AF224" s="24"/>
      <c r="AG224" s="24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6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</row>
    <row r="225" spans="1:200" s="23" customFormat="1" ht="14.25" customHeight="1" x14ac:dyDescent="0.2">
      <c r="A225" s="20"/>
      <c r="B225" s="21"/>
      <c r="C225" s="22"/>
      <c r="D225" s="22"/>
      <c r="E225" s="22"/>
      <c r="G225" s="22"/>
      <c r="H225" s="22"/>
      <c r="I225" s="22"/>
      <c r="K225" s="22"/>
      <c r="L225" s="22"/>
      <c r="M225" s="22"/>
      <c r="O225" s="22"/>
      <c r="P225" s="22"/>
      <c r="Q225" s="22"/>
      <c r="S225" s="22"/>
      <c r="T225" s="22"/>
      <c r="U225" s="22"/>
      <c r="W225" s="22"/>
      <c r="X225" s="22"/>
      <c r="Y225" s="22"/>
      <c r="AA225" s="22"/>
      <c r="AB225" s="22"/>
      <c r="AC225" s="22"/>
      <c r="AE225" s="24"/>
      <c r="AF225" s="24"/>
      <c r="AG225" s="24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6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</row>
    <row r="226" spans="1:200" s="23" customFormat="1" ht="14.25" customHeight="1" x14ac:dyDescent="0.2">
      <c r="A226" s="20"/>
      <c r="B226" s="21"/>
      <c r="C226" s="22"/>
      <c r="D226" s="22"/>
      <c r="E226" s="22"/>
      <c r="G226" s="22"/>
      <c r="H226" s="22"/>
      <c r="I226" s="22"/>
      <c r="K226" s="22"/>
      <c r="L226" s="22"/>
      <c r="M226" s="22"/>
      <c r="O226" s="22"/>
      <c r="P226" s="22"/>
      <c r="Q226" s="22"/>
      <c r="S226" s="22"/>
      <c r="T226" s="22"/>
      <c r="U226" s="22"/>
      <c r="W226" s="22"/>
      <c r="X226" s="22"/>
      <c r="Y226" s="22"/>
      <c r="AA226" s="22"/>
      <c r="AB226" s="22"/>
      <c r="AC226" s="22"/>
      <c r="AE226" s="24"/>
      <c r="AF226" s="24"/>
      <c r="AG226" s="24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6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</row>
    <row r="227" spans="1:200" s="23" customFormat="1" ht="14.25" customHeight="1" x14ac:dyDescent="0.2">
      <c r="A227" s="20"/>
      <c r="B227" s="21"/>
      <c r="C227" s="22"/>
      <c r="D227" s="22"/>
      <c r="E227" s="22"/>
      <c r="G227" s="22"/>
      <c r="H227" s="22"/>
      <c r="I227" s="22"/>
      <c r="K227" s="22"/>
      <c r="L227" s="22"/>
      <c r="M227" s="22"/>
      <c r="O227" s="22"/>
      <c r="P227" s="22"/>
      <c r="Q227" s="22"/>
      <c r="S227" s="22"/>
      <c r="T227" s="22"/>
      <c r="U227" s="22"/>
      <c r="W227" s="22"/>
      <c r="X227" s="22"/>
      <c r="Y227" s="22"/>
      <c r="AA227" s="22"/>
      <c r="AB227" s="22"/>
      <c r="AC227" s="22"/>
      <c r="AE227" s="24"/>
      <c r="AF227" s="24"/>
      <c r="AG227" s="24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6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</row>
    <row r="228" spans="1:200" s="23" customFormat="1" ht="14.25" customHeight="1" x14ac:dyDescent="0.2">
      <c r="A228" s="20"/>
      <c r="B228" s="21"/>
      <c r="C228" s="22"/>
      <c r="D228" s="22"/>
      <c r="E228" s="22"/>
      <c r="G228" s="22"/>
      <c r="H228" s="22"/>
      <c r="I228" s="22"/>
      <c r="K228" s="22"/>
      <c r="L228" s="22"/>
      <c r="M228" s="22"/>
      <c r="O228" s="22"/>
      <c r="P228" s="22"/>
      <c r="Q228" s="22"/>
      <c r="S228" s="22"/>
      <c r="T228" s="22"/>
      <c r="U228" s="22"/>
      <c r="W228" s="22"/>
      <c r="X228" s="22"/>
      <c r="Y228" s="22"/>
      <c r="AA228" s="22"/>
      <c r="AB228" s="22"/>
      <c r="AC228" s="22"/>
      <c r="AE228" s="24"/>
      <c r="AF228" s="24"/>
      <c r="AG228" s="24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6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</row>
    <row r="229" spans="1:200" s="23" customFormat="1" ht="14.25" customHeight="1" x14ac:dyDescent="0.2">
      <c r="A229" s="20"/>
      <c r="B229" s="21"/>
      <c r="C229" s="22"/>
      <c r="D229" s="22"/>
      <c r="E229" s="22"/>
      <c r="G229" s="22"/>
      <c r="H229" s="22"/>
      <c r="I229" s="22"/>
      <c r="K229" s="22"/>
      <c r="L229" s="22"/>
      <c r="M229" s="22"/>
      <c r="O229" s="22"/>
      <c r="P229" s="22"/>
      <c r="Q229" s="22"/>
      <c r="S229" s="22"/>
      <c r="T229" s="22"/>
      <c r="U229" s="22"/>
      <c r="W229" s="22"/>
      <c r="X229" s="22"/>
      <c r="Y229" s="22"/>
      <c r="AA229" s="22"/>
      <c r="AB229" s="22"/>
      <c r="AC229" s="22"/>
      <c r="AE229" s="24"/>
      <c r="AF229" s="24"/>
      <c r="AG229" s="24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6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</row>
    <row r="230" spans="1:200" s="23" customFormat="1" ht="14.25" customHeight="1" x14ac:dyDescent="0.2">
      <c r="A230" s="20"/>
      <c r="B230" s="21"/>
      <c r="C230" s="22"/>
      <c r="D230" s="22"/>
      <c r="E230" s="22"/>
      <c r="G230" s="22"/>
      <c r="H230" s="22"/>
      <c r="I230" s="22"/>
      <c r="K230" s="22"/>
      <c r="L230" s="22"/>
      <c r="M230" s="22"/>
      <c r="O230" s="22"/>
      <c r="P230" s="22"/>
      <c r="Q230" s="22"/>
      <c r="S230" s="22"/>
      <c r="T230" s="22"/>
      <c r="U230" s="22"/>
      <c r="W230" s="22"/>
      <c r="X230" s="22"/>
      <c r="Y230" s="22"/>
      <c r="AA230" s="22"/>
      <c r="AB230" s="22"/>
      <c r="AC230" s="22"/>
      <c r="AE230" s="24"/>
      <c r="AF230" s="24"/>
      <c r="AG230" s="24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6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</row>
    <row r="231" spans="1:200" s="23" customFormat="1" ht="14.25" customHeight="1" x14ac:dyDescent="0.2">
      <c r="A231" s="20"/>
      <c r="B231" s="21"/>
      <c r="C231" s="22"/>
      <c r="D231" s="22"/>
      <c r="E231" s="22"/>
      <c r="G231" s="22"/>
      <c r="H231" s="22"/>
      <c r="I231" s="22"/>
      <c r="K231" s="22"/>
      <c r="L231" s="22"/>
      <c r="M231" s="22"/>
      <c r="O231" s="22"/>
      <c r="P231" s="22"/>
      <c r="Q231" s="22"/>
      <c r="S231" s="22"/>
      <c r="T231" s="22"/>
      <c r="U231" s="22"/>
      <c r="W231" s="22"/>
      <c r="X231" s="22"/>
      <c r="Y231" s="22"/>
      <c r="AA231" s="22"/>
      <c r="AB231" s="22"/>
      <c r="AC231" s="22"/>
      <c r="AE231" s="24"/>
      <c r="AF231" s="24"/>
      <c r="AG231" s="24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6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</row>
    <row r="232" spans="1:200" s="23" customFormat="1" ht="14.25" customHeight="1" x14ac:dyDescent="0.2">
      <c r="A232" s="20"/>
      <c r="B232" s="21"/>
      <c r="C232" s="22"/>
      <c r="D232" s="22"/>
      <c r="E232" s="22"/>
      <c r="G232" s="22"/>
      <c r="H232" s="22"/>
      <c r="I232" s="22"/>
      <c r="K232" s="22"/>
      <c r="L232" s="22"/>
      <c r="M232" s="22"/>
      <c r="O232" s="22"/>
      <c r="P232" s="22"/>
      <c r="Q232" s="22"/>
      <c r="S232" s="22"/>
      <c r="T232" s="22"/>
      <c r="U232" s="22"/>
      <c r="W232" s="22"/>
      <c r="X232" s="22"/>
      <c r="Y232" s="22"/>
      <c r="AA232" s="22"/>
      <c r="AB232" s="22"/>
      <c r="AC232" s="22"/>
      <c r="AE232" s="24"/>
      <c r="AF232" s="24"/>
      <c r="AG232" s="24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6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</row>
    <row r="233" spans="1:200" s="23" customFormat="1" ht="14.25" customHeight="1" x14ac:dyDescent="0.2">
      <c r="A233" s="20"/>
      <c r="B233" s="21"/>
      <c r="C233" s="22"/>
      <c r="D233" s="22"/>
      <c r="E233" s="22"/>
      <c r="G233" s="22"/>
      <c r="H233" s="22"/>
      <c r="I233" s="22"/>
      <c r="K233" s="22"/>
      <c r="L233" s="22"/>
      <c r="M233" s="22"/>
      <c r="O233" s="22"/>
      <c r="P233" s="22"/>
      <c r="Q233" s="22"/>
      <c r="S233" s="22"/>
      <c r="T233" s="22"/>
      <c r="U233" s="22"/>
      <c r="W233" s="22"/>
      <c r="X233" s="22"/>
      <c r="Y233" s="22"/>
      <c r="AA233" s="22"/>
      <c r="AB233" s="22"/>
      <c r="AC233" s="22"/>
      <c r="AE233" s="24"/>
      <c r="AF233" s="24"/>
      <c r="AG233" s="24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6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</row>
    <row r="234" spans="1:200" s="23" customFormat="1" ht="14.25" customHeight="1" x14ac:dyDescent="0.2">
      <c r="A234" s="20"/>
      <c r="B234" s="21"/>
      <c r="C234" s="22"/>
      <c r="D234" s="22"/>
      <c r="E234" s="22"/>
      <c r="G234" s="22"/>
      <c r="H234" s="22"/>
      <c r="I234" s="22"/>
      <c r="K234" s="22"/>
      <c r="L234" s="22"/>
      <c r="M234" s="22"/>
      <c r="O234" s="22"/>
      <c r="P234" s="22"/>
      <c r="Q234" s="22"/>
      <c r="S234" s="22"/>
      <c r="T234" s="22"/>
      <c r="U234" s="22"/>
      <c r="W234" s="22"/>
      <c r="X234" s="22"/>
      <c r="Y234" s="22"/>
      <c r="AA234" s="22"/>
      <c r="AB234" s="22"/>
      <c r="AC234" s="22"/>
      <c r="AE234" s="24"/>
      <c r="AF234" s="24"/>
      <c r="AG234" s="24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6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</row>
    <row r="235" spans="1:200" s="23" customFormat="1" ht="14.25" customHeight="1" x14ac:dyDescent="0.2">
      <c r="A235" s="20"/>
      <c r="B235" s="21"/>
      <c r="C235" s="22"/>
      <c r="D235" s="22"/>
      <c r="E235" s="22"/>
      <c r="G235" s="22"/>
      <c r="H235" s="22"/>
      <c r="I235" s="22"/>
      <c r="K235" s="22"/>
      <c r="L235" s="22"/>
      <c r="M235" s="22"/>
      <c r="O235" s="22"/>
      <c r="P235" s="22"/>
      <c r="Q235" s="22"/>
      <c r="S235" s="22"/>
      <c r="T235" s="22"/>
      <c r="U235" s="22"/>
      <c r="W235" s="22"/>
      <c r="X235" s="22"/>
      <c r="Y235" s="22"/>
      <c r="AA235" s="22"/>
      <c r="AB235" s="22"/>
      <c r="AC235" s="22"/>
      <c r="AE235" s="24"/>
      <c r="AF235" s="24"/>
      <c r="AG235" s="24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6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</row>
    <row r="236" spans="1:200" s="23" customFormat="1" ht="14.25" customHeight="1" x14ac:dyDescent="0.2">
      <c r="A236" s="20"/>
      <c r="B236" s="21"/>
      <c r="C236" s="22"/>
      <c r="D236" s="22"/>
      <c r="E236" s="22"/>
      <c r="G236" s="22"/>
      <c r="H236" s="22"/>
      <c r="I236" s="22"/>
      <c r="K236" s="22"/>
      <c r="L236" s="22"/>
      <c r="M236" s="22"/>
      <c r="O236" s="22"/>
      <c r="P236" s="22"/>
      <c r="Q236" s="22"/>
      <c r="S236" s="22"/>
      <c r="T236" s="22"/>
      <c r="U236" s="22"/>
      <c r="W236" s="22"/>
      <c r="X236" s="22"/>
      <c r="Y236" s="22"/>
      <c r="AA236" s="22"/>
      <c r="AB236" s="22"/>
      <c r="AC236" s="22"/>
      <c r="AE236" s="24"/>
      <c r="AF236" s="24"/>
      <c r="AG236" s="24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6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</row>
    <row r="237" spans="1:200" s="23" customFormat="1" ht="14.25" customHeight="1" x14ac:dyDescent="0.2">
      <c r="A237" s="20"/>
      <c r="B237" s="21"/>
      <c r="C237" s="22"/>
      <c r="D237" s="22"/>
      <c r="E237" s="22"/>
      <c r="G237" s="22"/>
      <c r="H237" s="22"/>
      <c r="I237" s="22"/>
      <c r="K237" s="22"/>
      <c r="L237" s="22"/>
      <c r="M237" s="22"/>
      <c r="O237" s="22"/>
      <c r="P237" s="22"/>
      <c r="Q237" s="22"/>
      <c r="S237" s="22"/>
      <c r="T237" s="22"/>
      <c r="U237" s="22"/>
      <c r="W237" s="22"/>
      <c r="X237" s="22"/>
      <c r="Y237" s="22"/>
      <c r="AA237" s="22"/>
      <c r="AB237" s="22"/>
      <c r="AC237" s="22"/>
      <c r="AE237" s="24"/>
      <c r="AF237" s="24"/>
      <c r="AG237" s="24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6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</row>
    <row r="238" spans="1:200" s="23" customFormat="1" ht="14.25" customHeight="1" x14ac:dyDescent="0.2">
      <c r="A238" s="20"/>
      <c r="B238" s="21"/>
      <c r="C238" s="22"/>
      <c r="D238" s="22"/>
      <c r="E238" s="22"/>
      <c r="G238" s="22"/>
      <c r="H238" s="22"/>
      <c r="I238" s="22"/>
      <c r="K238" s="22"/>
      <c r="L238" s="22"/>
      <c r="M238" s="22"/>
      <c r="O238" s="22"/>
      <c r="P238" s="22"/>
      <c r="Q238" s="22"/>
      <c r="S238" s="22"/>
      <c r="T238" s="22"/>
      <c r="U238" s="22"/>
      <c r="W238" s="22"/>
      <c r="X238" s="22"/>
      <c r="Y238" s="22"/>
      <c r="AA238" s="22"/>
      <c r="AB238" s="22"/>
      <c r="AC238" s="22"/>
      <c r="AE238" s="24"/>
      <c r="AF238" s="24"/>
      <c r="AG238" s="24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6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</row>
    <row r="239" spans="1:200" s="23" customFormat="1" ht="14.25" customHeight="1" x14ac:dyDescent="0.2">
      <c r="A239" s="20"/>
      <c r="B239" s="21"/>
      <c r="C239" s="22"/>
      <c r="D239" s="22"/>
      <c r="E239" s="22"/>
      <c r="G239" s="22"/>
      <c r="H239" s="22"/>
      <c r="I239" s="22"/>
      <c r="K239" s="22"/>
      <c r="L239" s="22"/>
      <c r="M239" s="22"/>
      <c r="O239" s="22"/>
      <c r="P239" s="22"/>
      <c r="Q239" s="22"/>
      <c r="S239" s="22"/>
      <c r="T239" s="22"/>
      <c r="U239" s="22"/>
      <c r="W239" s="22"/>
      <c r="X239" s="22"/>
      <c r="Y239" s="22"/>
      <c r="AA239" s="22"/>
      <c r="AB239" s="22"/>
      <c r="AC239" s="22"/>
      <c r="AE239" s="24"/>
      <c r="AF239" s="24"/>
      <c r="AG239" s="24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6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</row>
    <row r="240" spans="1:200" s="23" customFormat="1" ht="14.25" customHeight="1" x14ac:dyDescent="0.2">
      <c r="A240" s="20"/>
      <c r="B240" s="21"/>
      <c r="C240" s="22"/>
      <c r="D240" s="22"/>
      <c r="E240" s="22"/>
      <c r="G240" s="22"/>
      <c r="H240" s="22"/>
      <c r="I240" s="22"/>
      <c r="K240" s="22"/>
      <c r="L240" s="22"/>
      <c r="M240" s="22"/>
      <c r="O240" s="22"/>
      <c r="P240" s="22"/>
      <c r="Q240" s="22"/>
      <c r="S240" s="22"/>
      <c r="T240" s="22"/>
      <c r="U240" s="22"/>
      <c r="W240" s="22"/>
      <c r="X240" s="22"/>
      <c r="Y240" s="22"/>
      <c r="AA240" s="22"/>
      <c r="AB240" s="22"/>
      <c r="AC240" s="22"/>
      <c r="AE240" s="24"/>
      <c r="AF240" s="24"/>
      <c r="AG240" s="24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6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</row>
    <row r="241" spans="1:200" s="23" customFormat="1" ht="14.25" customHeight="1" x14ac:dyDescent="0.2">
      <c r="A241" s="20"/>
      <c r="B241" s="21"/>
      <c r="C241" s="22"/>
      <c r="D241" s="22"/>
      <c r="E241" s="22"/>
      <c r="G241" s="22"/>
      <c r="H241" s="22"/>
      <c r="I241" s="22"/>
      <c r="K241" s="22"/>
      <c r="L241" s="22"/>
      <c r="M241" s="22"/>
      <c r="O241" s="22"/>
      <c r="P241" s="22"/>
      <c r="Q241" s="22"/>
      <c r="S241" s="22"/>
      <c r="T241" s="22"/>
      <c r="U241" s="22"/>
      <c r="W241" s="22"/>
      <c r="X241" s="22"/>
      <c r="Y241" s="22"/>
      <c r="AA241" s="22"/>
      <c r="AB241" s="22"/>
      <c r="AC241" s="22"/>
      <c r="AE241" s="24"/>
      <c r="AF241" s="24"/>
      <c r="AG241" s="24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6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</row>
    <row r="242" spans="1:200" s="23" customFormat="1" ht="14.25" customHeight="1" x14ac:dyDescent="0.2">
      <c r="A242" s="20"/>
      <c r="B242" s="21"/>
      <c r="C242" s="22"/>
      <c r="D242" s="22"/>
      <c r="E242" s="22"/>
      <c r="G242" s="22"/>
      <c r="H242" s="22"/>
      <c r="I242" s="22"/>
      <c r="K242" s="22"/>
      <c r="L242" s="22"/>
      <c r="M242" s="22"/>
      <c r="O242" s="22"/>
      <c r="P242" s="22"/>
      <c r="Q242" s="22"/>
      <c r="S242" s="22"/>
      <c r="T242" s="22"/>
      <c r="U242" s="22"/>
      <c r="W242" s="22"/>
      <c r="X242" s="22"/>
      <c r="Y242" s="22"/>
      <c r="AA242" s="22"/>
      <c r="AB242" s="22"/>
      <c r="AC242" s="22"/>
      <c r="AE242" s="24"/>
      <c r="AF242" s="24"/>
      <c r="AG242" s="24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6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</row>
    <row r="243" spans="1:200" s="23" customFormat="1" ht="14.25" customHeight="1" x14ac:dyDescent="0.2">
      <c r="A243" s="20"/>
      <c r="B243" s="21"/>
      <c r="C243" s="22"/>
      <c r="D243" s="22"/>
      <c r="E243" s="22"/>
      <c r="G243" s="22"/>
      <c r="H243" s="22"/>
      <c r="I243" s="22"/>
      <c r="K243" s="22"/>
      <c r="L243" s="22"/>
      <c r="M243" s="22"/>
      <c r="O243" s="22"/>
      <c r="P243" s="22"/>
      <c r="Q243" s="22"/>
      <c r="S243" s="22"/>
      <c r="T243" s="22"/>
      <c r="U243" s="22"/>
      <c r="W243" s="22"/>
      <c r="X243" s="22"/>
      <c r="Y243" s="22"/>
      <c r="AA243" s="22"/>
      <c r="AB243" s="22"/>
      <c r="AC243" s="22"/>
      <c r="AE243" s="24"/>
      <c r="AF243" s="24"/>
      <c r="AG243" s="24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6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</row>
    <row r="244" spans="1:200" s="23" customFormat="1" ht="14.25" customHeight="1" x14ac:dyDescent="0.2">
      <c r="A244" s="20"/>
      <c r="B244" s="21"/>
      <c r="C244" s="22"/>
      <c r="D244" s="22"/>
      <c r="E244" s="22"/>
      <c r="G244" s="22"/>
      <c r="H244" s="22"/>
      <c r="I244" s="22"/>
      <c r="K244" s="22"/>
      <c r="L244" s="22"/>
      <c r="M244" s="22"/>
      <c r="O244" s="22"/>
      <c r="P244" s="22"/>
      <c r="Q244" s="22"/>
      <c r="S244" s="22"/>
      <c r="T244" s="22"/>
      <c r="U244" s="22"/>
      <c r="W244" s="22"/>
      <c r="X244" s="22"/>
      <c r="Y244" s="22"/>
      <c r="AA244" s="22"/>
      <c r="AB244" s="22"/>
      <c r="AC244" s="22"/>
      <c r="AE244" s="24"/>
      <c r="AF244" s="24"/>
      <c r="AG244" s="24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6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</row>
    <row r="245" spans="1:200" s="23" customFormat="1" ht="14.25" customHeight="1" x14ac:dyDescent="0.2">
      <c r="A245" s="20"/>
      <c r="B245" s="21"/>
      <c r="C245" s="22"/>
      <c r="D245" s="22"/>
      <c r="E245" s="22"/>
      <c r="G245" s="22"/>
      <c r="H245" s="22"/>
      <c r="I245" s="22"/>
      <c r="K245" s="22"/>
      <c r="L245" s="22"/>
      <c r="M245" s="22"/>
      <c r="O245" s="22"/>
      <c r="P245" s="22"/>
      <c r="Q245" s="22"/>
      <c r="S245" s="22"/>
      <c r="T245" s="22"/>
      <c r="U245" s="22"/>
      <c r="W245" s="22"/>
      <c r="X245" s="22"/>
      <c r="Y245" s="22"/>
      <c r="AA245" s="22"/>
      <c r="AB245" s="22"/>
      <c r="AC245" s="22"/>
      <c r="AE245" s="24"/>
      <c r="AF245" s="24"/>
      <c r="AG245" s="24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6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</row>
    <row r="246" spans="1:200" s="23" customFormat="1" ht="14.25" customHeight="1" x14ac:dyDescent="0.2">
      <c r="A246" s="20"/>
      <c r="B246" s="21"/>
      <c r="C246" s="22"/>
      <c r="D246" s="22"/>
      <c r="E246" s="22"/>
      <c r="G246" s="22"/>
      <c r="H246" s="22"/>
      <c r="I246" s="22"/>
      <c r="K246" s="22"/>
      <c r="L246" s="22"/>
      <c r="M246" s="22"/>
      <c r="O246" s="22"/>
      <c r="P246" s="22"/>
      <c r="Q246" s="22"/>
      <c r="S246" s="22"/>
      <c r="T246" s="22"/>
      <c r="U246" s="22"/>
      <c r="W246" s="22"/>
      <c r="X246" s="22"/>
      <c r="Y246" s="22"/>
      <c r="AA246" s="22"/>
      <c r="AB246" s="22"/>
      <c r="AC246" s="22"/>
      <c r="AE246" s="24"/>
      <c r="AF246" s="24"/>
      <c r="AG246" s="24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6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</row>
    <row r="247" spans="1:200" s="23" customFormat="1" ht="14.25" customHeight="1" x14ac:dyDescent="0.2">
      <c r="A247" s="20"/>
      <c r="B247" s="21"/>
      <c r="C247" s="22"/>
      <c r="D247" s="22"/>
      <c r="E247" s="22"/>
      <c r="G247" s="22"/>
      <c r="H247" s="22"/>
      <c r="I247" s="22"/>
      <c r="K247" s="22"/>
      <c r="L247" s="22"/>
      <c r="M247" s="22"/>
      <c r="O247" s="22"/>
      <c r="P247" s="22"/>
      <c r="Q247" s="22"/>
      <c r="S247" s="22"/>
      <c r="T247" s="22"/>
      <c r="U247" s="22"/>
      <c r="W247" s="22"/>
      <c r="X247" s="22"/>
      <c r="Y247" s="22"/>
      <c r="AA247" s="22"/>
      <c r="AB247" s="22"/>
      <c r="AC247" s="22"/>
      <c r="AE247" s="24"/>
      <c r="AF247" s="24"/>
      <c r="AG247" s="24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6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</row>
    <row r="248" spans="1:200" s="23" customFormat="1" ht="14.25" customHeight="1" x14ac:dyDescent="0.2">
      <c r="A248" s="20"/>
      <c r="B248" s="21"/>
      <c r="C248" s="22"/>
      <c r="D248" s="22"/>
      <c r="E248" s="22"/>
      <c r="G248" s="22"/>
      <c r="H248" s="22"/>
      <c r="I248" s="22"/>
      <c r="K248" s="22"/>
      <c r="L248" s="22"/>
      <c r="M248" s="22"/>
      <c r="O248" s="22"/>
      <c r="P248" s="22"/>
      <c r="Q248" s="22"/>
      <c r="S248" s="22"/>
      <c r="T248" s="22"/>
      <c r="U248" s="22"/>
      <c r="W248" s="22"/>
      <c r="X248" s="22"/>
      <c r="Y248" s="22"/>
      <c r="AA248" s="22"/>
      <c r="AB248" s="22"/>
      <c r="AC248" s="22"/>
      <c r="AE248" s="24"/>
      <c r="AF248" s="24"/>
      <c r="AG248" s="24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6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</row>
    <row r="249" spans="1:200" s="23" customFormat="1" ht="14.25" customHeight="1" x14ac:dyDescent="0.2">
      <c r="A249" s="20"/>
      <c r="B249" s="21"/>
      <c r="C249" s="22"/>
      <c r="D249" s="22"/>
      <c r="E249" s="22"/>
      <c r="G249" s="22"/>
      <c r="H249" s="22"/>
      <c r="I249" s="22"/>
      <c r="K249" s="22"/>
      <c r="L249" s="22"/>
      <c r="M249" s="22"/>
      <c r="O249" s="22"/>
      <c r="P249" s="22"/>
      <c r="Q249" s="22"/>
      <c r="S249" s="22"/>
      <c r="T249" s="22"/>
      <c r="U249" s="22"/>
      <c r="W249" s="22"/>
      <c r="X249" s="22"/>
      <c r="Y249" s="22"/>
      <c r="AA249" s="22"/>
      <c r="AB249" s="22"/>
      <c r="AC249" s="22"/>
      <c r="AE249" s="24"/>
      <c r="AF249" s="24"/>
      <c r="AG249" s="24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6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</row>
    <row r="250" spans="1:200" s="23" customFormat="1" ht="14.25" customHeight="1" x14ac:dyDescent="0.2">
      <c r="A250" s="20"/>
      <c r="B250" s="21"/>
      <c r="C250" s="22"/>
      <c r="D250" s="22"/>
      <c r="E250" s="22"/>
      <c r="G250" s="22"/>
      <c r="H250" s="22"/>
      <c r="I250" s="22"/>
      <c r="K250" s="22"/>
      <c r="L250" s="22"/>
      <c r="M250" s="22"/>
      <c r="O250" s="22"/>
      <c r="P250" s="22"/>
      <c r="Q250" s="22"/>
      <c r="S250" s="22"/>
      <c r="T250" s="22"/>
      <c r="U250" s="22"/>
      <c r="W250" s="22"/>
      <c r="X250" s="22"/>
      <c r="Y250" s="22"/>
      <c r="AA250" s="22"/>
      <c r="AB250" s="22"/>
      <c r="AC250" s="22"/>
      <c r="AE250" s="24"/>
      <c r="AF250" s="24"/>
      <c r="AG250" s="24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6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</row>
    <row r="251" spans="1:200" s="23" customFormat="1" ht="14.25" customHeight="1" x14ac:dyDescent="0.2">
      <c r="A251" s="20"/>
      <c r="B251" s="21"/>
      <c r="C251" s="22"/>
      <c r="D251" s="22"/>
      <c r="E251" s="22"/>
      <c r="G251" s="22"/>
      <c r="H251" s="22"/>
      <c r="I251" s="22"/>
      <c r="K251" s="22"/>
      <c r="L251" s="22"/>
      <c r="M251" s="22"/>
      <c r="O251" s="22"/>
      <c r="P251" s="22"/>
      <c r="Q251" s="22"/>
      <c r="S251" s="22"/>
      <c r="T251" s="22"/>
      <c r="U251" s="22"/>
      <c r="W251" s="22"/>
      <c r="X251" s="22"/>
      <c r="Y251" s="22"/>
      <c r="AA251" s="22"/>
      <c r="AB251" s="22"/>
      <c r="AC251" s="22"/>
      <c r="AE251" s="24"/>
      <c r="AF251" s="24"/>
      <c r="AG251" s="24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6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</row>
    <row r="252" spans="1:200" s="23" customFormat="1" ht="14.25" customHeight="1" x14ac:dyDescent="0.2">
      <c r="A252" s="20"/>
      <c r="B252" s="21"/>
      <c r="C252" s="22"/>
      <c r="D252" s="22"/>
      <c r="E252" s="22"/>
      <c r="G252" s="22"/>
      <c r="H252" s="22"/>
      <c r="I252" s="22"/>
      <c r="K252" s="22"/>
      <c r="L252" s="22"/>
      <c r="M252" s="22"/>
      <c r="O252" s="22"/>
      <c r="P252" s="22"/>
      <c r="Q252" s="22"/>
      <c r="S252" s="22"/>
      <c r="T252" s="22"/>
      <c r="U252" s="22"/>
      <c r="W252" s="22"/>
      <c r="X252" s="22"/>
      <c r="Y252" s="22"/>
      <c r="AA252" s="22"/>
      <c r="AB252" s="22"/>
      <c r="AC252" s="22"/>
      <c r="AE252" s="24"/>
      <c r="AF252" s="24"/>
      <c r="AG252" s="24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6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</row>
    <row r="253" spans="1:200" s="23" customFormat="1" ht="14.25" customHeight="1" x14ac:dyDescent="0.2">
      <c r="A253" s="20"/>
      <c r="B253" s="21"/>
      <c r="C253" s="22"/>
      <c r="D253" s="22"/>
      <c r="E253" s="22"/>
      <c r="G253" s="22"/>
      <c r="H253" s="22"/>
      <c r="I253" s="22"/>
      <c r="K253" s="22"/>
      <c r="L253" s="22"/>
      <c r="M253" s="22"/>
      <c r="O253" s="22"/>
      <c r="P253" s="22"/>
      <c r="Q253" s="22"/>
      <c r="S253" s="22"/>
      <c r="T253" s="22"/>
      <c r="U253" s="22"/>
      <c r="W253" s="22"/>
      <c r="X253" s="22"/>
      <c r="Y253" s="22"/>
      <c r="AA253" s="22"/>
      <c r="AB253" s="22"/>
      <c r="AC253" s="22"/>
      <c r="AE253" s="24"/>
      <c r="AF253" s="24"/>
      <c r="AG253" s="24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6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4"/>
      <c r="GQ253" s="24"/>
      <c r="GR253" s="24"/>
    </row>
    <row r="254" spans="1:200" s="23" customFormat="1" ht="14.25" customHeight="1" x14ac:dyDescent="0.2">
      <c r="A254" s="20"/>
      <c r="B254" s="21"/>
      <c r="C254" s="22"/>
      <c r="D254" s="22"/>
      <c r="E254" s="22"/>
      <c r="G254" s="22"/>
      <c r="H254" s="22"/>
      <c r="I254" s="22"/>
      <c r="K254" s="22"/>
      <c r="L254" s="22"/>
      <c r="M254" s="22"/>
      <c r="O254" s="22"/>
      <c r="P254" s="22"/>
      <c r="Q254" s="22"/>
      <c r="S254" s="22"/>
      <c r="T254" s="22"/>
      <c r="U254" s="22"/>
      <c r="W254" s="22"/>
      <c r="X254" s="22"/>
      <c r="Y254" s="22"/>
      <c r="AA254" s="22"/>
      <c r="AB254" s="22"/>
      <c r="AC254" s="22"/>
      <c r="AE254" s="24"/>
      <c r="AF254" s="24"/>
      <c r="AG254" s="24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6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</row>
    <row r="255" spans="1:200" s="23" customFormat="1" ht="14.25" customHeight="1" x14ac:dyDescent="0.2">
      <c r="A255" s="20"/>
      <c r="B255" s="21"/>
      <c r="C255" s="22"/>
      <c r="D255" s="22"/>
      <c r="E255" s="22"/>
      <c r="G255" s="22"/>
      <c r="H255" s="22"/>
      <c r="I255" s="22"/>
      <c r="K255" s="22"/>
      <c r="L255" s="22"/>
      <c r="M255" s="22"/>
      <c r="O255" s="22"/>
      <c r="P255" s="22"/>
      <c r="Q255" s="22"/>
      <c r="S255" s="22"/>
      <c r="T255" s="22"/>
      <c r="U255" s="22"/>
      <c r="W255" s="22"/>
      <c r="X255" s="22"/>
      <c r="Y255" s="22"/>
      <c r="AA255" s="22"/>
      <c r="AB255" s="22"/>
      <c r="AC255" s="22"/>
      <c r="AE255" s="24"/>
      <c r="AF255" s="24"/>
      <c r="AG255" s="24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6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</row>
    <row r="256" spans="1:200" s="23" customFormat="1" ht="14.25" customHeight="1" x14ac:dyDescent="0.2">
      <c r="A256" s="20"/>
      <c r="B256" s="21"/>
      <c r="C256" s="22"/>
      <c r="D256" s="22"/>
      <c r="E256" s="22"/>
      <c r="G256" s="22"/>
      <c r="H256" s="22"/>
      <c r="I256" s="22"/>
      <c r="K256" s="22"/>
      <c r="L256" s="22"/>
      <c r="M256" s="22"/>
      <c r="O256" s="22"/>
      <c r="P256" s="22"/>
      <c r="Q256" s="22"/>
      <c r="S256" s="22"/>
      <c r="T256" s="22"/>
      <c r="U256" s="22"/>
      <c r="W256" s="22"/>
      <c r="X256" s="22"/>
      <c r="Y256" s="22"/>
      <c r="AA256" s="22"/>
      <c r="AB256" s="22"/>
      <c r="AC256" s="22"/>
      <c r="AE256" s="24"/>
      <c r="AF256" s="24"/>
      <c r="AG256" s="24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6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</row>
    <row r="257" spans="1:200" s="23" customFormat="1" ht="14.25" customHeight="1" x14ac:dyDescent="0.2">
      <c r="A257" s="20"/>
      <c r="B257" s="21"/>
      <c r="C257" s="22"/>
      <c r="D257" s="22"/>
      <c r="E257" s="22"/>
      <c r="G257" s="22"/>
      <c r="H257" s="22"/>
      <c r="I257" s="22"/>
      <c r="K257" s="22"/>
      <c r="L257" s="22"/>
      <c r="M257" s="22"/>
      <c r="O257" s="22"/>
      <c r="P257" s="22"/>
      <c r="Q257" s="22"/>
      <c r="S257" s="22"/>
      <c r="T257" s="22"/>
      <c r="U257" s="22"/>
      <c r="W257" s="22"/>
      <c r="X257" s="22"/>
      <c r="Y257" s="22"/>
      <c r="AA257" s="22"/>
      <c r="AB257" s="22"/>
      <c r="AC257" s="22"/>
      <c r="AE257" s="24"/>
      <c r="AF257" s="24"/>
      <c r="AG257" s="24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6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</row>
    <row r="258" spans="1:200" s="23" customFormat="1" ht="14.25" customHeight="1" x14ac:dyDescent="0.2">
      <c r="A258" s="20"/>
      <c r="B258" s="21"/>
      <c r="C258" s="22"/>
      <c r="D258" s="22"/>
      <c r="E258" s="22"/>
      <c r="G258" s="22"/>
      <c r="H258" s="22"/>
      <c r="I258" s="22"/>
      <c r="K258" s="22"/>
      <c r="L258" s="22"/>
      <c r="M258" s="22"/>
      <c r="O258" s="22"/>
      <c r="P258" s="22"/>
      <c r="Q258" s="22"/>
      <c r="S258" s="22"/>
      <c r="T258" s="22"/>
      <c r="U258" s="22"/>
      <c r="W258" s="22"/>
      <c r="X258" s="22"/>
      <c r="Y258" s="22"/>
      <c r="AA258" s="22"/>
      <c r="AB258" s="22"/>
      <c r="AC258" s="22"/>
      <c r="AE258" s="24"/>
      <c r="AF258" s="24"/>
      <c r="AG258" s="24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6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</row>
    <row r="259" spans="1:200" s="23" customFormat="1" ht="14.25" customHeight="1" x14ac:dyDescent="0.2">
      <c r="A259" s="20"/>
      <c r="B259" s="21"/>
      <c r="C259" s="22"/>
      <c r="D259" s="22"/>
      <c r="E259" s="22"/>
      <c r="G259" s="22"/>
      <c r="H259" s="22"/>
      <c r="I259" s="22"/>
      <c r="K259" s="22"/>
      <c r="L259" s="22"/>
      <c r="M259" s="22"/>
      <c r="O259" s="22"/>
      <c r="P259" s="22"/>
      <c r="Q259" s="22"/>
      <c r="S259" s="22"/>
      <c r="T259" s="22"/>
      <c r="U259" s="22"/>
      <c r="W259" s="22"/>
      <c r="X259" s="22"/>
      <c r="Y259" s="22"/>
      <c r="AA259" s="22"/>
      <c r="AB259" s="22"/>
      <c r="AC259" s="22"/>
      <c r="AE259" s="24"/>
      <c r="AF259" s="24"/>
      <c r="AG259" s="24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6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</row>
    <row r="260" spans="1:200" s="23" customFormat="1" ht="14.25" customHeight="1" x14ac:dyDescent="0.2">
      <c r="A260" s="20"/>
      <c r="B260" s="21"/>
      <c r="C260" s="22"/>
      <c r="D260" s="22"/>
      <c r="E260" s="22"/>
      <c r="G260" s="22"/>
      <c r="H260" s="22"/>
      <c r="I260" s="22"/>
      <c r="K260" s="22"/>
      <c r="L260" s="22"/>
      <c r="M260" s="22"/>
      <c r="O260" s="22"/>
      <c r="P260" s="22"/>
      <c r="Q260" s="22"/>
      <c r="S260" s="22"/>
      <c r="T260" s="22"/>
      <c r="U260" s="22"/>
      <c r="W260" s="22"/>
      <c r="X260" s="22"/>
      <c r="Y260" s="22"/>
      <c r="AA260" s="22"/>
      <c r="AB260" s="22"/>
      <c r="AC260" s="22"/>
      <c r="AE260" s="24"/>
      <c r="AF260" s="24"/>
      <c r="AG260" s="24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6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</row>
    <row r="261" spans="1:200" s="23" customFormat="1" ht="14.25" customHeight="1" x14ac:dyDescent="0.2">
      <c r="A261" s="20"/>
      <c r="B261" s="21"/>
      <c r="C261" s="22"/>
      <c r="D261" s="22"/>
      <c r="E261" s="22"/>
      <c r="G261" s="22"/>
      <c r="H261" s="22"/>
      <c r="I261" s="22"/>
      <c r="K261" s="22"/>
      <c r="L261" s="22"/>
      <c r="M261" s="22"/>
      <c r="O261" s="22"/>
      <c r="P261" s="22"/>
      <c r="Q261" s="22"/>
      <c r="S261" s="22"/>
      <c r="T261" s="22"/>
      <c r="U261" s="22"/>
      <c r="W261" s="22"/>
      <c r="X261" s="22"/>
      <c r="Y261" s="22"/>
      <c r="AA261" s="22"/>
      <c r="AB261" s="22"/>
      <c r="AC261" s="22"/>
      <c r="AE261" s="24"/>
      <c r="AF261" s="24"/>
      <c r="AG261" s="24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6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</row>
    <row r="262" spans="1:200" s="23" customFormat="1" ht="14.25" customHeight="1" x14ac:dyDescent="0.2">
      <c r="A262" s="20"/>
      <c r="B262" s="21"/>
      <c r="C262" s="22"/>
      <c r="D262" s="22"/>
      <c r="E262" s="22"/>
      <c r="G262" s="22"/>
      <c r="H262" s="22"/>
      <c r="I262" s="22"/>
      <c r="K262" s="22"/>
      <c r="L262" s="22"/>
      <c r="M262" s="22"/>
      <c r="O262" s="22"/>
      <c r="P262" s="22"/>
      <c r="Q262" s="22"/>
      <c r="S262" s="22"/>
      <c r="T262" s="22"/>
      <c r="U262" s="22"/>
      <c r="W262" s="22"/>
      <c r="X262" s="22"/>
      <c r="Y262" s="22"/>
      <c r="AA262" s="22"/>
      <c r="AB262" s="22"/>
      <c r="AC262" s="22"/>
      <c r="AE262" s="24"/>
      <c r="AF262" s="24"/>
      <c r="AG262" s="24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6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</row>
    <row r="263" spans="1:200" s="23" customFormat="1" ht="14.25" customHeight="1" x14ac:dyDescent="0.2">
      <c r="A263" s="20"/>
      <c r="B263" s="21"/>
      <c r="C263" s="22"/>
      <c r="D263" s="22"/>
      <c r="E263" s="22"/>
      <c r="G263" s="22"/>
      <c r="H263" s="22"/>
      <c r="I263" s="22"/>
      <c r="K263" s="22"/>
      <c r="L263" s="22"/>
      <c r="M263" s="22"/>
      <c r="O263" s="22"/>
      <c r="P263" s="22"/>
      <c r="Q263" s="22"/>
      <c r="S263" s="22"/>
      <c r="T263" s="22"/>
      <c r="U263" s="22"/>
      <c r="W263" s="22"/>
      <c r="X263" s="22"/>
      <c r="Y263" s="22"/>
      <c r="AA263" s="22"/>
      <c r="AB263" s="22"/>
      <c r="AC263" s="22"/>
      <c r="AE263" s="24"/>
      <c r="AF263" s="24"/>
      <c r="AG263" s="24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6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24"/>
      <c r="GQ263" s="24"/>
      <c r="GR263" s="24"/>
    </row>
    <row r="264" spans="1:200" s="23" customFormat="1" ht="14.25" customHeight="1" x14ac:dyDescent="0.2">
      <c r="A264" s="20"/>
      <c r="B264" s="21"/>
      <c r="C264" s="22"/>
      <c r="D264" s="22"/>
      <c r="E264" s="22"/>
      <c r="G264" s="22"/>
      <c r="H264" s="22"/>
      <c r="I264" s="22"/>
      <c r="K264" s="22"/>
      <c r="L264" s="22"/>
      <c r="M264" s="22"/>
      <c r="O264" s="22"/>
      <c r="P264" s="22"/>
      <c r="Q264" s="22"/>
      <c r="S264" s="22"/>
      <c r="T264" s="22"/>
      <c r="U264" s="22"/>
      <c r="W264" s="22"/>
      <c r="X264" s="22"/>
      <c r="Y264" s="22"/>
      <c r="AA264" s="22"/>
      <c r="AB264" s="22"/>
      <c r="AC264" s="22"/>
      <c r="AE264" s="24"/>
      <c r="AF264" s="24"/>
      <c r="AG264" s="24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6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</row>
    <row r="265" spans="1:200" s="23" customFormat="1" ht="14.25" customHeight="1" x14ac:dyDescent="0.2">
      <c r="A265" s="20"/>
      <c r="B265" s="21"/>
      <c r="C265" s="22"/>
      <c r="D265" s="22"/>
      <c r="E265" s="22"/>
      <c r="G265" s="22"/>
      <c r="H265" s="22"/>
      <c r="I265" s="22"/>
      <c r="K265" s="22"/>
      <c r="L265" s="22"/>
      <c r="M265" s="22"/>
      <c r="O265" s="22"/>
      <c r="P265" s="22"/>
      <c r="Q265" s="22"/>
      <c r="S265" s="22"/>
      <c r="T265" s="22"/>
      <c r="U265" s="22"/>
      <c r="W265" s="22"/>
      <c r="X265" s="22"/>
      <c r="Y265" s="22"/>
      <c r="AA265" s="22"/>
      <c r="AB265" s="22"/>
      <c r="AC265" s="22"/>
      <c r="AE265" s="24"/>
      <c r="AF265" s="24"/>
      <c r="AG265" s="24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6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24"/>
      <c r="GQ265" s="24"/>
      <c r="GR265" s="24"/>
    </row>
    <row r="266" spans="1:200" s="23" customFormat="1" ht="14.25" customHeight="1" x14ac:dyDescent="0.2">
      <c r="A266" s="20"/>
      <c r="B266" s="21"/>
      <c r="C266" s="22"/>
      <c r="D266" s="22"/>
      <c r="E266" s="22"/>
      <c r="G266" s="22"/>
      <c r="H266" s="22"/>
      <c r="I266" s="22"/>
      <c r="K266" s="22"/>
      <c r="L266" s="22"/>
      <c r="M266" s="22"/>
      <c r="O266" s="22"/>
      <c r="P266" s="22"/>
      <c r="Q266" s="22"/>
      <c r="S266" s="22"/>
      <c r="T266" s="22"/>
      <c r="U266" s="22"/>
      <c r="W266" s="22"/>
      <c r="X266" s="22"/>
      <c r="Y266" s="22"/>
      <c r="AA266" s="22"/>
      <c r="AB266" s="22"/>
      <c r="AC266" s="22"/>
      <c r="AE266" s="24"/>
      <c r="AF266" s="24"/>
      <c r="AG266" s="24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6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</row>
    <row r="267" spans="1:200" s="23" customFormat="1" ht="14.25" customHeight="1" x14ac:dyDescent="0.2">
      <c r="A267" s="20"/>
      <c r="B267" s="21"/>
      <c r="C267" s="22"/>
      <c r="D267" s="22"/>
      <c r="E267" s="22"/>
      <c r="G267" s="22"/>
      <c r="H267" s="22"/>
      <c r="I267" s="22"/>
      <c r="K267" s="22"/>
      <c r="L267" s="22"/>
      <c r="M267" s="22"/>
      <c r="O267" s="22"/>
      <c r="P267" s="22"/>
      <c r="Q267" s="22"/>
      <c r="S267" s="22"/>
      <c r="T267" s="22"/>
      <c r="U267" s="22"/>
      <c r="W267" s="22"/>
      <c r="X267" s="22"/>
      <c r="Y267" s="22"/>
      <c r="AA267" s="22"/>
      <c r="AB267" s="22"/>
      <c r="AC267" s="22"/>
      <c r="AE267" s="24"/>
      <c r="AF267" s="24"/>
      <c r="AG267" s="24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6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  <c r="FZ267" s="24"/>
      <c r="GA267" s="24"/>
      <c r="GB267" s="24"/>
      <c r="GC267" s="24"/>
      <c r="GD267" s="24"/>
      <c r="GE267" s="24"/>
      <c r="GF267" s="24"/>
      <c r="GG267" s="24"/>
      <c r="GH267" s="24"/>
      <c r="GI267" s="24"/>
      <c r="GJ267" s="24"/>
      <c r="GK267" s="24"/>
      <c r="GL267" s="24"/>
      <c r="GM267" s="24"/>
      <c r="GN267" s="24"/>
      <c r="GO267" s="24"/>
      <c r="GP267" s="24"/>
      <c r="GQ267" s="24"/>
      <c r="GR267" s="24"/>
    </row>
    <row r="268" spans="1:200" s="23" customFormat="1" ht="14.25" customHeight="1" x14ac:dyDescent="0.2">
      <c r="A268" s="20"/>
      <c r="B268" s="21"/>
      <c r="C268" s="22"/>
      <c r="D268" s="22"/>
      <c r="E268" s="22"/>
      <c r="G268" s="22"/>
      <c r="H268" s="22"/>
      <c r="I268" s="22"/>
      <c r="K268" s="22"/>
      <c r="L268" s="22"/>
      <c r="M268" s="22"/>
      <c r="O268" s="22"/>
      <c r="P268" s="22"/>
      <c r="Q268" s="22"/>
      <c r="S268" s="22"/>
      <c r="T268" s="22"/>
      <c r="U268" s="22"/>
      <c r="W268" s="22"/>
      <c r="X268" s="22"/>
      <c r="Y268" s="22"/>
      <c r="AA268" s="22"/>
      <c r="AB268" s="22"/>
      <c r="AC268" s="22"/>
      <c r="AE268" s="24"/>
      <c r="AF268" s="24"/>
      <c r="AG268" s="24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6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24"/>
      <c r="GQ268" s="24"/>
      <c r="GR268" s="24"/>
    </row>
    <row r="269" spans="1:200" s="23" customFormat="1" ht="14.25" customHeight="1" x14ac:dyDescent="0.2">
      <c r="A269" s="20"/>
      <c r="B269" s="21"/>
      <c r="C269" s="22"/>
      <c r="D269" s="22"/>
      <c r="E269" s="22"/>
      <c r="G269" s="22"/>
      <c r="H269" s="22"/>
      <c r="I269" s="22"/>
      <c r="K269" s="22"/>
      <c r="L269" s="22"/>
      <c r="M269" s="22"/>
      <c r="O269" s="22"/>
      <c r="P269" s="22"/>
      <c r="Q269" s="22"/>
      <c r="S269" s="22"/>
      <c r="T269" s="22"/>
      <c r="U269" s="22"/>
      <c r="W269" s="22"/>
      <c r="X269" s="22"/>
      <c r="Y269" s="22"/>
      <c r="AA269" s="22"/>
      <c r="AB269" s="22"/>
      <c r="AC269" s="22"/>
      <c r="AE269" s="24"/>
      <c r="AF269" s="24"/>
      <c r="AG269" s="24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6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24"/>
      <c r="GQ269" s="24"/>
      <c r="GR269" s="24"/>
    </row>
    <row r="270" spans="1:200" s="23" customFormat="1" ht="14.25" customHeight="1" x14ac:dyDescent="0.2">
      <c r="A270" s="20"/>
      <c r="B270" s="21"/>
      <c r="C270" s="22"/>
      <c r="D270" s="22"/>
      <c r="E270" s="22"/>
      <c r="G270" s="22"/>
      <c r="H270" s="22"/>
      <c r="I270" s="22"/>
      <c r="K270" s="22"/>
      <c r="L270" s="22"/>
      <c r="M270" s="22"/>
      <c r="O270" s="22"/>
      <c r="P270" s="22"/>
      <c r="Q270" s="22"/>
      <c r="S270" s="22"/>
      <c r="T270" s="22"/>
      <c r="U270" s="22"/>
      <c r="W270" s="22"/>
      <c r="X270" s="22"/>
      <c r="Y270" s="22"/>
      <c r="AA270" s="22"/>
      <c r="AB270" s="22"/>
      <c r="AC270" s="22"/>
      <c r="AE270" s="24"/>
      <c r="AF270" s="24"/>
      <c r="AG270" s="24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6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/>
      <c r="GH270" s="24"/>
      <c r="GI270" s="24"/>
      <c r="GJ270" s="24"/>
      <c r="GK270" s="24"/>
      <c r="GL270" s="24"/>
      <c r="GM270" s="24"/>
      <c r="GN270" s="24"/>
      <c r="GO270" s="24"/>
      <c r="GP270" s="24"/>
      <c r="GQ270" s="24"/>
      <c r="GR270" s="24"/>
    </row>
    <row r="271" spans="1:200" s="23" customFormat="1" ht="14.25" customHeight="1" x14ac:dyDescent="0.2">
      <c r="A271" s="20"/>
      <c r="B271" s="21"/>
      <c r="C271" s="22"/>
      <c r="D271" s="22"/>
      <c r="E271" s="22"/>
      <c r="G271" s="22"/>
      <c r="H271" s="22"/>
      <c r="I271" s="22"/>
      <c r="K271" s="22"/>
      <c r="L271" s="22"/>
      <c r="M271" s="22"/>
      <c r="O271" s="22"/>
      <c r="P271" s="22"/>
      <c r="Q271" s="22"/>
      <c r="S271" s="22"/>
      <c r="T271" s="22"/>
      <c r="U271" s="22"/>
      <c r="W271" s="22"/>
      <c r="X271" s="22"/>
      <c r="Y271" s="22"/>
      <c r="AA271" s="22"/>
      <c r="AB271" s="22"/>
      <c r="AC271" s="22"/>
      <c r="AE271" s="24"/>
      <c r="AF271" s="24"/>
      <c r="AG271" s="24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6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24"/>
      <c r="GQ271" s="24"/>
      <c r="GR271" s="24"/>
    </row>
    <row r="272" spans="1:200" s="23" customFormat="1" ht="14.25" customHeight="1" x14ac:dyDescent="0.2">
      <c r="A272" s="20"/>
      <c r="B272" s="21"/>
      <c r="C272" s="22"/>
      <c r="D272" s="22"/>
      <c r="E272" s="22"/>
      <c r="G272" s="22"/>
      <c r="H272" s="22"/>
      <c r="I272" s="22"/>
      <c r="K272" s="22"/>
      <c r="L272" s="22"/>
      <c r="M272" s="22"/>
      <c r="O272" s="22"/>
      <c r="P272" s="22"/>
      <c r="Q272" s="22"/>
      <c r="S272" s="22"/>
      <c r="T272" s="22"/>
      <c r="U272" s="22"/>
      <c r="W272" s="22"/>
      <c r="X272" s="22"/>
      <c r="Y272" s="22"/>
      <c r="AA272" s="22"/>
      <c r="AB272" s="22"/>
      <c r="AC272" s="22"/>
      <c r="AE272" s="24"/>
      <c r="AF272" s="24"/>
      <c r="AG272" s="24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6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24"/>
      <c r="GQ272" s="24"/>
      <c r="GR272" s="24"/>
    </row>
    <row r="273" spans="1:200" s="23" customFormat="1" ht="14.25" customHeight="1" x14ac:dyDescent="0.2">
      <c r="A273" s="20"/>
      <c r="B273" s="21"/>
      <c r="C273" s="22"/>
      <c r="D273" s="22"/>
      <c r="E273" s="22"/>
      <c r="G273" s="22"/>
      <c r="H273" s="22"/>
      <c r="I273" s="22"/>
      <c r="K273" s="22"/>
      <c r="L273" s="22"/>
      <c r="M273" s="22"/>
      <c r="O273" s="22"/>
      <c r="P273" s="22"/>
      <c r="Q273" s="22"/>
      <c r="S273" s="22"/>
      <c r="T273" s="22"/>
      <c r="U273" s="22"/>
      <c r="W273" s="22"/>
      <c r="X273" s="22"/>
      <c r="Y273" s="22"/>
      <c r="AA273" s="22"/>
      <c r="AB273" s="22"/>
      <c r="AC273" s="22"/>
      <c r="AE273" s="24"/>
      <c r="AF273" s="24"/>
      <c r="AG273" s="24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6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4"/>
      <c r="GQ273" s="24"/>
      <c r="GR273" s="24"/>
    </row>
    <row r="274" spans="1:200" s="23" customFormat="1" ht="14.25" customHeight="1" x14ac:dyDescent="0.2">
      <c r="A274" s="20"/>
      <c r="B274" s="21"/>
      <c r="C274" s="22"/>
      <c r="D274" s="22"/>
      <c r="E274" s="22"/>
      <c r="G274" s="22"/>
      <c r="H274" s="22"/>
      <c r="I274" s="22"/>
      <c r="K274" s="22"/>
      <c r="L274" s="22"/>
      <c r="M274" s="22"/>
      <c r="O274" s="22"/>
      <c r="P274" s="22"/>
      <c r="Q274" s="22"/>
      <c r="S274" s="22"/>
      <c r="T274" s="22"/>
      <c r="U274" s="22"/>
      <c r="W274" s="22"/>
      <c r="X274" s="22"/>
      <c r="Y274" s="22"/>
      <c r="AA274" s="22"/>
      <c r="AB274" s="22"/>
      <c r="AC274" s="22"/>
      <c r="AE274" s="24"/>
      <c r="AF274" s="24"/>
      <c r="AG274" s="24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6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/>
      <c r="GB274" s="24"/>
      <c r="GC274" s="24"/>
      <c r="GD274" s="24"/>
      <c r="GE274" s="24"/>
      <c r="GF274" s="24"/>
      <c r="GG274" s="24"/>
      <c r="GH274" s="24"/>
      <c r="GI274" s="24"/>
      <c r="GJ274" s="24"/>
      <c r="GK274" s="24"/>
      <c r="GL274" s="24"/>
      <c r="GM274" s="24"/>
      <c r="GN274" s="24"/>
      <c r="GO274" s="24"/>
      <c r="GP274" s="24"/>
      <c r="GQ274" s="24"/>
      <c r="GR274" s="24"/>
    </row>
    <row r="275" spans="1:200" s="23" customFormat="1" ht="14.25" customHeight="1" x14ac:dyDescent="0.2">
      <c r="A275" s="20"/>
      <c r="B275" s="21"/>
      <c r="C275" s="22"/>
      <c r="D275" s="22"/>
      <c r="E275" s="22"/>
      <c r="G275" s="22"/>
      <c r="H275" s="22"/>
      <c r="I275" s="22"/>
      <c r="K275" s="22"/>
      <c r="L275" s="22"/>
      <c r="M275" s="22"/>
      <c r="O275" s="22"/>
      <c r="P275" s="22"/>
      <c r="Q275" s="22"/>
      <c r="S275" s="22"/>
      <c r="T275" s="22"/>
      <c r="U275" s="22"/>
      <c r="W275" s="22"/>
      <c r="X275" s="22"/>
      <c r="Y275" s="22"/>
      <c r="AA275" s="22"/>
      <c r="AB275" s="22"/>
      <c r="AC275" s="22"/>
      <c r="AE275" s="24"/>
      <c r="AF275" s="24"/>
      <c r="AG275" s="24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6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/>
      <c r="GI275" s="24"/>
      <c r="GJ275" s="24"/>
      <c r="GK275" s="24"/>
      <c r="GL275" s="24"/>
      <c r="GM275" s="24"/>
      <c r="GN275" s="24"/>
      <c r="GO275" s="24"/>
      <c r="GP275" s="24"/>
      <c r="GQ275" s="24"/>
      <c r="GR275" s="24"/>
    </row>
    <row r="276" spans="1:200" s="23" customFormat="1" ht="14.25" customHeight="1" x14ac:dyDescent="0.2">
      <c r="A276" s="20"/>
      <c r="B276" s="21"/>
      <c r="C276" s="22"/>
      <c r="D276" s="22"/>
      <c r="E276" s="22"/>
      <c r="G276" s="22"/>
      <c r="H276" s="22"/>
      <c r="I276" s="22"/>
      <c r="K276" s="22"/>
      <c r="L276" s="22"/>
      <c r="M276" s="22"/>
      <c r="O276" s="22"/>
      <c r="P276" s="22"/>
      <c r="Q276" s="22"/>
      <c r="S276" s="22"/>
      <c r="T276" s="22"/>
      <c r="U276" s="22"/>
      <c r="W276" s="22"/>
      <c r="X276" s="22"/>
      <c r="Y276" s="22"/>
      <c r="AA276" s="22"/>
      <c r="AB276" s="22"/>
      <c r="AC276" s="22"/>
      <c r="AE276" s="24"/>
      <c r="AF276" s="24"/>
      <c r="AG276" s="24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6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</row>
    <row r="277" spans="1:200" s="23" customFormat="1" ht="14.25" customHeight="1" x14ac:dyDescent="0.2">
      <c r="A277" s="20"/>
      <c r="B277" s="21"/>
      <c r="C277" s="22"/>
      <c r="D277" s="22"/>
      <c r="E277" s="22"/>
      <c r="G277" s="22"/>
      <c r="H277" s="22"/>
      <c r="I277" s="22"/>
      <c r="K277" s="22"/>
      <c r="L277" s="22"/>
      <c r="M277" s="22"/>
      <c r="O277" s="22"/>
      <c r="P277" s="22"/>
      <c r="Q277" s="22"/>
      <c r="S277" s="22"/>
      <c r="T277" s="22"/>
      <c r="U277" s="22"/>
      <c r="W277" s="22"/>
      <c r="X277" s="22"/>
      <c r="Y277" s="22"/>
      <c r="AA277" s="22"/>
      <c r="AB277" s="22"/>
      <c r="AC277" s="22"/>
      <c r="AE277" s="24"/>
      <c r="AF277" s="24"/>
      <c r="AG277" s="24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6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/>
      <c r="GD277" s="24"/>
      <c r="GE277" s="24"/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24"/>
      <c r="GQ277" s="24"/>
      <c r="GR277" s="24"/>
    </row>
    <row r="278" spans="1:200" s="23" customFormat="1" ht="14.25" customHeight="1" x14ac:dyDescent="0.2">
      <c r="A278" s="20"/>
      <c r="B278" s="21"/>
      <c r="C278" s="22"/>
      <c r="D278" s="22"/>
      <c r="E278" s="22"/>
      <c r="G278" s="22"/>
      <c r="H278" s="22"/>
      <c r="I278" s="22"/>
      <c r="K278" s="22"/>
      <c r="L278" s="22"/>
      <c r="M278" s="22"/>
      <c r="O278" s="22"/>
      <c r="P278" s="22"/>
      <c r="Q278" s="22"/>
      <c r="S278" s="22"/>
      <c r="T278" s="22"/>
      <c r="U278" s="22"/>
      <c r="W278" s="22"/>
      <c r="X278" s="22"/>
      <c r="Y278" s="22"/>
      <c r="AA278" s="22"/>
      <c r="AB278" s="22"/>
      <c r="AC278" s="22"/>
      <c r="AE278" s="24"/>
      <c r="AF278" s="24"/>
      <c r="AG278" s="24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6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</row>
    <row r="279" spans="1:200" s="23" customFormat="1" ht="14.25" customHeight="1" x14ac:dyDescent="0.2">
      <c r="A279" s="20"/>
      <c r="B279" s="21"/>
      <c r="C279" s="22"/>
      <c r="D279" s="22"/>
      <c r="E279" s="22"/>
      <c r="G279" s="22"/>
      <c r="H279" s="22"/>
      <c r="I279" s="22"/>
      <c r="K279" s="22"/>
      <c r="L279" s="22"/>
      <c r="M279" s="22"/>
      <c r="O279" s="22"/>
      <c r="P279" s="22"/>
      <c r="Q279" s="22"/>
      <c r="S279" s="22"/>
      <c r="T279" s="22"/>
      <c r="U279" s="22"/>
      <c r="W279" s="22"/>
      <c r="X279" s="22"/>
      <c r="Y279" s="22"/>
      <c r="AA279" s="22"/>
      <c r="AB279" s="22"/>
      <c r="AC279" s="22"/>
      <c r="AE279" s="24"/>
      <c r="AF279" s="24"/>
      <c r="AG279" s="24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6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24"/>
      <c r="GQ279" s="24"/>
      <c r="GR279" s="24"/>
    </row>
    <row r="280" spans="1:200" s="23" customFormat="1" ht="14.25" customHeight="1" x14ac:dyDescent="0.2">
      <c r="A280" s="20"/>
      <c r="B280" s="21"/>
      <c r="C280" s="22"/>
      <c r="D280" s="22"/>
      <c r="E280" s="22"/>
      <c r="G280" s="22"/>
      <c r="H280" s="22"/>
      <c r="I280" s="22"/>
      <c r="K280" s="22"/>
      <c r="L280" s="22"/>
      <c r="M280" s="22"/>
      <c r="O280" s="22"/>
      <c r="P280" s="22"/>
      <c r="Q280" s="22"/>
      <c r="S280" s="22"/>
      <c r="T280" s="22"/>
      <c r="U280" s="22"/>
      <c r="W280" s="22"/>
      <c r="X280" s="22"/>
      <c r="Y280" s="22"/>
      <c r="AA280" s="22"/>
      <c r="AB280" s="22"/>
      <c r="AC280" s="22"/>
      <c r="AE280" s="24"/>
      <c r="AF280" s="24"/>
      <c r="AG280" s="24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6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24"/>
      <c r="GQ280" s="24"/>
      <c r="GR280" s="24"/>
    </row>
    <row r="281" spans="1:200" s="23" customFormat="1" ht="14.25" customHeight="1" x14ac:dyDescent="0.2">
      <c r="A281" s="20"/>
      <c r="B281" s="21"/>
      <c r="C281" s="22"/>
      <c r="D281" s="22"/>
      <c r="E281" s="22"/>
      <c r="G281" s="22"/>
      <c r="H281" s="22"/>
      <c r="I281" s="22"/>
      <c r="K281" s="22"/>
      <c r="L281" s="22"/>
      <c r="M281" s="22"/>
      <c r="O281" s="22"/>
      <c r="P281" s="22"/>
      <c r="Q281" s="22"/>
      <c r="S281" s="22"/>
      <c r="T281" s="22"/>
      <c r="U281" s="22"/>
      <c r="W281" s="22"/>
      <c r="X281" s="22"/>
      <c r="Y281" s="22"/>
      <c r="AA281" s="22"/>
      <c r="AB281" s="22"/>
      <c r="AC281" s="22"/>
      <c r="AE281" s="24"/>
      <c r="AF281" s="24"/>
      <c r="AG281" s="24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6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/>
      <c r="GD281" s="24"/>
      <c r="GE281" s="24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</row>
    <row r="282" spans="1:200" s="23" customFormat="1" ht="14.25" customHeight="1" x14ac:dyDescent="0.2">
      <c r="A282" s="20"/>
      <c r="B282" s="21"/>
      <c r="C282" s="22"/>
      <c r="D282" s="22"/>
      <c r="E282" s="22"/>
      <c r="G282" s="22"/>
      <c r="H282" s="22"/>
      <c r="I282" s="22"/>
      <c r="K282" s="22"/>
      <c r="L282" s="22"/>
      <c r="M282" s="22"/>
      <c r="O282" s="22"/>
      <c r="P282" s="22"/>
      <c r="Q282" s="22"/>
      <c r="S282" s="22"/>
      <c r="T282" s="22"/>
      <c r="U282" s="22"/>
      <c r="W282" s="22"/>
      <c r="X282" s="22"/>
      <c r="Y282" s="22"/>
      <c r="AA282" s="22"/>
      <c r="AB282" s="22"/>
      <c r="AC282" s="22"/>
      <c r="AE282" s="24"/>
      <c r="AF282" s="24"/>
      <c r="AG282" s="24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6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/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24"/>
      <c r="GQ282" s="24"/>
      <c r="GR282" s="24"/>
    </row>
    <row r="283" spans="1:200" s="23" customFormat="1" ht="14.25" customHeight="1" x14ac:dyDescent="0.2">
      <c r="A283" s="20"/>
      <c r="B283" s="21"/>
      <c r="C283" s="22"/>
      <c r="D283" s="22"/>
      <c r="E283" s="22"/>
      <c r="G283" s="22"/>
      <c r="H283" s="22"/>
      <c r="I283" s="22"/>
      <c r="K283" s="22"/>
      <c r="L283" s="22"/>
      <c r="M283" s="22"/>
      <c r="O283" s="22"/>
      <c r="P283" s="22"/>
      <c r="Q283" s="22"/>
      <c r="S283" s="22"/>
      <c r="T283" s="22"/>
      <c r="U283" s="22"/>
      <c r="W283" s="22"/>
      <c r="X283" s="22"/>
      <c r="Y283" s="22"/>
      <c r="AA283" s="22"/>
      <c r="AB283" s="22"/>
      <c r="AC283" s="22"/>
      <c r="AE283" s="24"/>
      <c r="AF283" s="24"/>
      <c r="AG283" s="24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6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24"/>
      <c r="GQ283" s="24"/>
      <c r="GR283" s="24"/>
    </row>
    <row r="284" spans="1:200" s="23" customFormat="1" ht="14.25" customHeight="1" x14ac:dyDescent="0.2">
      <c r="A284" s="20"/>
      <c r="B284" s="21"/>
      <c r="C284" s="22"/>
      <c r="D284" s="22"/>
      <c r="E284" s="22"/>
      <c r="G284" s="22"/>
      <c r="H284" s="22"/>
      <c r="I284" s="22"/>
      <c r="K284" s="22"/>
      <c r="L284" s="22"/>
      <c r="M284" s="22"/>
      <c r="O284" s="22"/>
      <c r="P284" s="22"/>
      <c r="Q284" s="22"/>
      <c r="S284" s="22"/>
      <c r="T284" s="22"/>
      <c r="U284" s="22"/>
      <c r="W284" s="22"/>
      <c r="X284" s="22"/>
      <c r="Y284" s="22"/>
      <c r="AA284" s="22"/>
      <c r="AB284" s="22"/>
      <c r="AC284" s="22"/>
      <c r="AE284" s="24"/>
      <c r="AF284" s="24"/>
      <c r="AG284" s="24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6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24"/>
      <c r="GQ284" s="24"/>
      <c r="GR284" s="24"/>
    </row>
    <row r="285" spans="1:200" s="23" customFormat="1" ht="14.25" customHeight="1" x14ac:dyDescent="0.2">
      <c r="A285" s="20"/>
      <c r="B285" s="21"/>
      <c r="C285" s="22"/>
      <c r="D285" s="22"/>
      <c r="E285" s="22"/>
      <c r="G285" s="22"/>
      <c r="H285" s="22"/>
      <c r="I285" s="22"/>
      <c r="K285" s="22"/>
      <c r="L285" s="22"/>
      <c r="M285" s="22"/>
      <c r="O285" s="22"/>
      <c r="P285" s="22"/>
      <c r="Q285" s="22"/>
      <c r="S285" s="22"/>
      <c r="T285" s="22"/>
      <c r="U285" s="22"/>
      <c r="W285" s="22"/>
      <c r="X285" s="22"/>
      <c r="Y285" s="22"/>
      <c r="AA285" s="22"/>
      <c r="AB285" s="22"/>
      <c r="AC285" s="22"/>
      <c r="AE285" s="24"/>
      <c r="AF285" s="24"/>
      <c r="AG285" s="24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6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/>
      <c r="GA285" s="24"/>
      <c r="GB285" s="24"/>
      <c r="GC285" s="24"/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24"/>
      <c r="GQ285" s="24"/>
      <c r="GR285" s="24"/>
    </row>
    <row r="286" spans="1:200" s="23" customFormat="1" ht="14.25" customHeight="1" x14ac:dyDescent="0.2">
      <c r="A286" s="20"/>
      <c r="B286" s="21"/>
      <c r="C286" s="22"/>
      <c r="D286" s="22"/>
      <c r="E286" s="22"/>
      <c r="G286" s="22"/>
      <c r="H286" s="22"/>
      <c r="I286" s="22"/>
      <c r="K286" s="22"/>
      <c r="L286" s="22"/>
      <c r="M286" s="22"/>
      <c r="O286" s="22"/>
      <c r="P286" s="22"/>
      <c r="Q286" s="22"/>
      <c r="S286" s="22"/>
      <c r="T286" s="22"/>
      <c r="U286" s="22"/>
      <c r="W286" s="22"/>
      <c r="X286" s="22"/>
      <c r="Y286" s="22"/>
      <c r="AA286" s="22"/>
      <c r="AB286" s="22"/>
      <c r="AC286" s="22"/>
      <c r="AE286" s="24"/>
      <c r="AF286" s="24"/>
      <c r="AG286" s="24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6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/>
      <c r="GC286" s="24"/>
      <c r="GD286" s="24"/>
      <c r="GE286" s="24"/>
      <c r="GF286" s="24"/>
      <c r="GG286" s="24"/>
      <c r="GH286" s="24"/>
      <c r="GI286" s="24"/>
      <c r="GJ286" s="24"/>
      <c r="GK286" s="24"/>
      <c r="GL286" s="24"/>
      <c r="GM286" s="24"/>
      <c r="GN286" s="24"/>
      <c r="GO286" s="24"/>
      <c r="GP286" s="24"/>
      <c r="GQ286" s="24"/>
      <c r="GR286" s="24"/>
    </row>
    <row r="287" spans="1:200" s="23" customFormat="1" ht="14.25" customHeight="1" x14ac:dyDescent="0.2">
      <c r="A287" s="20"/>
      <c r="B287" s="21"/>
      <c r="C287" s="22"/>
      <c r="D287" s="22"/>
      <c r="E287" s="22"/>
      <c r="G287" s="22"/>
      <c r="H287" s="22"/>
      <c r="I287" s="22"/>
      <c r="K287" s="22"/>
      <c r="L287" s="22"/>
      <c r="M287" s="22"/>
      <c r="O287" s="22"/>
      <c r="P287" s="22"/>
      <c r="Q287" s="22"/>
      <c r="S287" s="22"/>
      <c r="T287" s="22"/>
      <c r="U287" s="22"/>
      <c r="W287" s="22"/>
      <c r="X287" s="22"/>
      <c r="Y287" s="22"/>
      <c r="AA287" s="22"/>
      <c r="AB287" s="22"/>
      <c r="AC287" s="22"/>
      <c r="AE287" s="24"/>
      <c r="AF287" s="24"/>
      <c r="AG287" s="24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6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/>
      <c r="GO287" s="24"/>
      <c r="GP287" s="24"/>
      <c r="GQ287" s="24"/>
      <c r="GR287" s="24"/>
    </row>
    <row r="288" spans="1:200" s="23" customFormat="1" ht="14.25" customHeight="1" x14ac:dyDescent="0.2">
      <c r="A288" s="20"/>
      <c r="B288" s="21"/>
      <c r="C288" s="22"/>
      <c r="D288" s="22"/>
      <c r="E288" s="22"/>
      <c r="G288" s="22"/>
      <c r="H288" s="22"/>
      <c r="I288" s="22"/>
      <c r="K288" s="22"/>
      <c r="L288" s="22"/>
      <c r="M288" s="22"/>
      <c r="O288" s="22"/>
      <c r="P288" s="22"/>
      <c r="Q288" s="22"/>
      <c r="S288" s="22"/>
      <c r="T288" s="22"/>
      <c r="U288" s="22"/>
      <c r="W288" s="22"/>
      <c r="X288" s="22"/>
      <c r="Y288" s="22"/>
      <c r="AA288" s="22"/>
      <c r="AB288" s="22"/>
      <c r="AC288" s="22"/>
      <c r="AE288" s="24"/>
      <c r="AF288" s="24"/>
      <c r="AG288" s="24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6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24"/>
      <c r="GQ288" s="24"/>
      <c r="GR288" s="24"/>
    </row>
    <row r="289" spans="1:200" s="23" customFormat="1" ht="14.25" customHeight="1" x14ac:dyDescent="0.2">
      <c r="A289" s="20"/>
      <c r="B289" s="21"/>
      <c r="C289" s="22"/>
      <c r="D289" s="22"/>
      <c r="E289" s="22"/>
      <c r="G289" s="22"/>
      <c r="H289" s="22"/>
      <c r="I289" s="22"/>
      <c r="K289" s="22"/>
      <c r="L289" s="22"/>
      <c r="M289" s="22"/>
      <c r="O289" s="22"/>
      <c r="P289" s="22"/>
      <c r="Q289" s="22"/>
      <c r="S289" s="22"/>
      <c r="T289" s="22"/>
      <c r="U289" s="22"/>
      <c r="W289" s="22"/>
      <c r="X289" s="22"/>
      <c r="Y289" s="22"/>
      <c r="AA289" s="22"/>
      <c r="AB289" s="22"/>
      <c r="AC289" s="22"/>
      <c r="AE289" s="24"/>
      <c r="AF289" s="24"/>
      <c r="AG289" s="24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6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/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24"/>
      <c r="GQ289" s="24"/>
      <c r="GR289" s="24"/>
    </row>
    <row r="290" spans="1:200" s="23" customFormat="1" ht="14.25" customHeight="1" x14ac:dyDescent="0.2">
      <c r="A290" s="20"/>
      <c r="B290" s="21"/>
      <c r="C290" s="22"/>
      <c r="D290" s="22"/>
      <c r="E290" s="22"/>
      <c r="G290" s="22"/>
      <c r="H290" s="22"/>
      <c r="I290" s="22"/>
      <c r="K290" s="22"/>
      <c r="L290" s="22"/>
      <c r="M290" s="22"/>
      <c r="O290" s="22"/>
      <c r="P290" s="22"/>
      <c r="Q290" s="22"/>
      <c r="S290" s="22"/>
      <c r="T290" s="22"/>
      <c r="U290" s="22"/>
      <c r="W290" s="22"/>
      <c r="X290" s="22"/>
      <c r="Y290" s="22"/>
      <c r="AA290" s="22"/>
      <c r="AB290" s="22"/>
      <c r="AC290" s="22"/>
      <c r="AE290" s="24"/>
      <c r="AF290" s="24"/>
      <c r="AG290" s="24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6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24"/>
      <c r="GQ290" s="24"/>
      <c r="GR290" s="24"/>
    </row>
    <row r="291" spans="1:200" s="23" customFormat="1" ht="14.25" customHeight="1" x14ac:dyDescent="0.2">
      <c r="A291" s="20"/>
      <c r="B291" s="21"/>
      <c r="C291" s="22"/>
      <c r="D291" s="22"/>
      <c r="E291" s="22"/>
      <c r="G291" s="22"/>
      <c r="H291" s="22"/>
      <c r="I291" s="22"/>
      <c r="K291" s="22"/>
      <c r="L291" s="22"/>
      <c r="M291" s="22"/>
      <c r="O291" s="22"/>
      <c r="P291" s="22"/>
      <c r="Q291" s="22"/>
      <c r="S291" s="22"/>
      <c r="T291" s="22"/>
      <c r="U291" s="22"/>
      <c r="W291" s="22"/>
      <c r="X291" s="22"/>
      <c r="Y291" s="22"/>
      <c r="AA291" s="22"/>
      <c r="AB291" s="22"/>
      <c r="AC291" s="22"/>
      <c r="AE291" s="24"/>
      <c r="AF291" s="24"/>
      <c r="AG291" s="24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6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/>
      <c r="GL291" s="24"/>
      <c r="GM291" s="24"/>
      <c r="GN291" s="24"/>
      <c r="GO291" s="24"/>
      <c r="GP291" s="24"/>
      <c r="GQ291" s="24"/>
      <c r="GR291" s="24"/>
    </row>
    <row r="292" spans="1:200" s="23" customFormat="1" ht="14.25" customHeight="1" x14ac:dyDescent="0.2">
      <c r="A292" s="20"/>
      <c r="B292" s="21"/>
      <c r="C292" s="22"/>
      <c r="D292" s="22"/>
      <c r="E292" s="22"/>
      <c r="G292" s="22"/>
      <c r="H292" s="22"/>
      <c r="I292" s="22"/>
      <c r="K292" s="22"/>
      <c r="L292" s="22"/>
      <c r="M292" s="22"/>
      <c r="O292" s="22"/>
      <c r="P292" s="22"/>
      <c r="Q292" s="22"/>
      <c r="S292" s="22"/>
      <c r="T292" s="22"/>
      <c r="U292" s="22"/>
      <c r="W292" s="22"/>
      <c r="X292" s="22"/>
      <c r="Y292" s="22"/>
      <c r="AA292" s="22"/>
      <c r="AB292" s="22"/>
      <c r="AC292" s="22"/>
      <c r="AE292" s="24"/>
      <c r="AF292" s="24"/>
      <c r="AG292" s="24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6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24"/>
      <c r="GQ292" s="24"/>
      <c r="GR292" s="24"/>
    </row>
    <row r="293" spans="1:200" s="23" customFormat="1" ht="14.25" customHeight="1" x14ac:dyDescent="0.2">
      <c r="A293" s="20"/>
      <c r="B293" s="21"/>
      <c r="C293" s="22"/>
      <c r="D293" s="22"/>
      <c r="E293" s="22"/>
      <c r="G293" s="22"/>
      <c r="H293" s="22"/>
      <c r="I293" s="22"/>
      <c r="K293" s="22"/>
      <c r="L293" s="22"/>
      <c r="M293" s="22"/>
      <c r="O293" s="22"/>
      <c r="P293" s="22"/>
      <c r="Q293" s="22"/>
      <c r="S293" s="22"/>
      <c r="T293" s="22"/>
      <c r="U293" s="22"/>
      <c r="W293" s="22"/>
      <c r="X293" s="22"/>
      <c r="Y293" s="22"/>
      <c r="AA293" s="22"/>
      <c r="AB293" s="22"/>
      <c r="AC293" s="22"/>
      <c r="AE293" s="24"/>
      <c r="AF293" s="24"/>
      <c r="AG293" s="24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6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4"/>
      <c r="GQ293" s="24"/>
      <c r="GR293" s="24"/>
    </row>
    <row r="294" spans="1:200" s="23" customFormat="1" ht="14.25" customHeight="1" x14ac:dyDescent="0.2">
      <c r="A294" s="20"/>
      <c r="B294" s="21"/>
      <c r="C294" s="22"/>
      <c r="D294" s="22"/>
      <c r="E294" s="22"/>
      <c r="G294" s="22"/>
      <c r="H294" s="22"/>
      <c r="I294" s="22"/>
      <c r="K294" s="22"/>
      <c r="L294" s="22"/>
      <c r="M294" s="22"/>
      <c r="O294" s="22"/>
      <c r="P294" s="22"/>
      <c r="Q294" s="22"/>
      <c r="S294" s="22"/>
      <c r="T294" s="22"/>
      <c r="U294" s="22"/>
      <c r="W294" s="22"/>
      <c r="X294" s="22"/>
      <c r="Y294" s="22"/>
      <c r="AA294" s="22"/>
      <c r="AB294" s="22"/>
      <c r="AC294" s="22"/>
      <c r="AE294" s="24"/>
      <c r="AF294" s="24"/>
      <c r="AG294" s="24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6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/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24"/>
      <c r="GQ294" s="24"/>
      <c r="GR294" s="24"/>
    </row>
    <row r="295" spans="1:200" s="23" customFormat="1" ht="14.25" customHeight="1" x14ac:dyDescent="0.2">
      <c r="A295" s="20"/>
      <c r="B295" s="21"/>
      <c r="C295" s="22"/>
      <c r="D295" s="22"/>
      <c r="E295" s="22"/>
      <c r="G295" s="22"/>
      <c r="H295" s="22"/>
      <c r="I295" s="22"/>
      <c r="K295" s="22"/>
      <c r="L295" s="22"/>
      <c r="M295" s="22"/>
      <c r="O295" s="22"/>
      <c r="P295" s="22"/>
      <c r="Q295" s="22"/>
      <c r="S295" s="22"/>
      <c r="T295" s="22"/>
      <c r="U295" s="22"/>
      <c r="W295" s="22"/>
      <c r="X295" s="22"/>
      <c r="Y295" s="22"/>
      <c r="AA295" s="22"/>
      <c r="AB295" s="22"/>
      <c r="AC295" s="22"/>
      <c r="AE295" s="24"/>
      <c r="AF295" s="24"/>
      <c r="AG295" s="24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6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/>
      <c r="GF295" s="24"/>
      <c r="GG295" s="24"/>
      <c r="GH295" s="24"/>
      <c r="GI295" s="24"/>
      <c r="GJ295" s="24"/>
      <c r="GK295" s="24"/>
      <c r="GL295" s="24"/>
      <c r="GM295" s="24"/>
      <c r="GN295" s="24"/>
      <c r="GO295" s="24"/>
      <c r="GP295" s="24"/>
      <c r="GQ295" s="24"/>
      <c r="GR295" s="24"/>
    </row>
    <row r="296" spans="1:200" s="23" customFormat="1" ht="14.25" customHeight="1" x14ac:dyDescent="0.2">
      <c r="A296" s="20"/>
      <c r="B296" s="21"/>
      <c r="C296" s="22"/>
      <c r="D296" s="22"/>
      <c r="E296" s="22"/>
      <c r="G296" s="22"/>
      <c r="H296" s="22"/>
      <c r="I296" s="22"/>
      <c r="K296" s="22"/>
      <c r="L296" s="22"/>
      <c r="M296" s="22"/>
      <c r="O296" s="22"/>
      <c r="P296" s="22"/>
      <c r="Q296" s="22"/>
      <c r="S296" s="22"/>
      <c r="T296" s="22"/>
      <c r="U296" s="22"/>
      <c r="W296" s="22"/>
      <c r="X296" s="22"/>
      <c r="Y296" s="22"/>
      <c r="AA296" s="22"/>
      <c r="AB296" s="22"/>
      <c r="AC296" s="22"/>
      <c r="AE296" s="24"/>
      <c r="AF296" s="24"/>
      <c r="AG296" s="24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6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/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24"/>
      <c r="GQ296" s="24"/>
      <c r="GR296" s="24"/>
    </row>
    <row r="297" spans="1:200" s="23" customFormat="1" ht="14.25" customHeight="1" x14ac:dyDescent="0.2">
      <c r="A297" s="20"/>
      <c r="B297" s="21"/>
      <c r="C297" s="22"/>
      <c r="D297" s="22"/>
      <c r="E297" s="22"/>
      <c r="G297" s="22"/>
      <c r="H297" s="22"/>
      <c r="I297" s="22"/>
      <c r="K297" s="22"/>
      <c r="L297" s="22"/>
      <c r="M297" s="22"/>
      <c r="O297" s="22"/>
      <c r="P297" s="22"/>
      <c r="Q297" s="22"/>
      <c r="S297" s="22"/>
      <c r="T297" s="22"/>
      <c r="U297" s="22"/>
      <c r="W297" s="22"/>
      <c r="X297" s="22"/>
      <c r="Y297" s="22"/>
      <c r="AA297" s="22"/>
      <c r="AB297" s="22"/>
      <c r="AC297" s="22"/>
      <c r="AE297" s="24"/>
      <c r="AF297" s="24"/>
      <c r="AG297" s="24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6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24"/>
      <c r="GQ297" s="24"/>
      <c r="GR297" s="24"/>
    </row>
    <row r="298" spans="1:200" s="23" customFormat="1" ht="14.25" customHeight="1" x14ac:dyDescent="0.2">
      <c r="A298" s="20"/>
      <c r="B298" s="21"/>
      <c r="C298" s="22"/>
      <c r="D298" s="22"/>
      <c r="E298" s="22"/>
      <c r="G298" s="22"/>
      <c r="H298" s="22"/>
      <c r="I298" s="22"/>
      <c r="K298" s="22"/>
      <c r="L298" s="22"/>
      <c r="M298" s="22"/>
      <c r="O298" s="22"/>
      <c r="P298" s="22"/>
      <c r="Q298" s="22"/>
      <c r="S298" s="22"/>
      <c r="T298" s="22"/>
      <c r="U298" s="22"/>
      <c r="W298" s="22"/>
      <c r="X298" s="22"/>
      <c r="Y298" s="22"/>
      <c r="AA298" s="22"/>
      <c r="AB298" s="22"/>
      <c r="AC298" s="22"/>
      <c r="AE298" s="24"/>
      <c r="AF298" s="24"/>
      <c r="AG298" s="24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6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/>
      <c r="GO298" s="24"/>
      <c r="GP298" s="24"/>
      <c r="GQ298" s="24"/>
      <c r="GR298" s="24"/>
    </row>
    <row r="299" spans="1:200" s="23" customFormat="1" ht="14.25" customHeight="1" x14ac:dyDescent="0.2">
      <c r="A299" s="20"/>
      <c r="B299" s="21"/>
      <c r="C299" s="22"/>
      <c r="D299" s="22"/>
      <c r="E299" s="22"/>
      <c r="G299" s="22"/>
      <c r="H299" s="22"/>
      <c r="I299" s="22"/>
      <c r="K299" s="22"/>
      <c r="L299" s="22"/>
      <c r="M299" s="22"/>
      <c r="O299" s="22"/>
      <c r="P299" s="22"/>
      <c r="Q299" s="22"/>
      <c r="S299" s="22"/>
      <c r="T299" s="22"/>
      <c r="U299" s="22"/>
      <c r="W299" s="22"/>
      <c r="X299" s="22"/>
      <c r="Y299" s="22"/>
      <c r="AA299" s="22"/>
      <c r="AB299" s="22"/>
      <c r="AC299" s="22"/>
      <c r="AE299" s="24"/>
      <c r="AF299" s="24"/>
      <c r="AG299" s="24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6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/>
      <c r="GK299" s="24"/>
      <c r="GL299" s="24"/>
      <c r="GM299" s="24"/>
      <c r="GN299" s="24"/>
      <c r="GO299" s="24"/>
      <c r="GP299" s="24"/>
      <c r="GQ299" s="24"/>
      <c r="GR299" s="24"/>
    </row>
    <row r="300" spans="1:200" s="23" customFormat="1" ht="14.25" customHeight="1" x14ac:dyDescent="0.2">
      <c r="A300" s="20"/>
      <c r="B300" s="21"/>
      <c r="C300" s="22"/>
      <c r="D300" s="22"/>
      <c r="E300" s="22"/>
      <c r="G300" s="22"/>
      <c r="H300" s="22"/>
      <c r="I300" s="22"/>
      <c r="K300" s="22"/>
      <c r="L300" s="22"/>
      <c r="M300" s="22"/>
      <c r="O300" s="22"/>
      <c r="P300" s="22"/>
      <c r="Q300" s="22"/>
      <c r="S300" s="22"/>
      <c r="T300" s="22"/>
      <c r="U300" s="22"/>
      <c r="W300" s="22"/>
      <c r="X300" s="22"/>
      <c r="Y300" s="22"/>
      <c r="AA300" s="22"/>
      <c r="AB300" s="22"/>
      <c r="AC300" s="22"/>
      <c r="AE300" s="24"/>
      <c r="AF300" s="24"/>
      <c r="AG300" s="24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6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</row>
    <row r="301" spans="1:200" s="23" customFormat="1" ht="14.25" customHeight="1" x14ac:dyDescent="0.2">
      <c r="A301" s="20"/>
      <c r="B301" s="21"/>
      <c r="C301" s="22"/>
      <c r="D301" s="22"/>
      <c r="E301" s="22"/>
      <c r="G301" s="22"/>
      <c r="H301" s="22"/>
      <c r="I301" s="22"/>
      <c r="K301" s="22"/>
      <c r="L301" s="22"/>
      <c r="M301" s="22"/>
      <c r="O301" s="22"/>
      <c r="P301" s="22"/>
      <c r="Q301" s="22"/>
      <c r="S301" s="22"/>
      <c r="T301" s="22"/>
      <c r="U301" s="22"/>
      <c r="W301" s="22"/>
      <c r="X301" s="22"/>
      <c r="Y301" s="22"/>
      <c r="AA301" s="22"/>
      <c r="AB301" s="22"/>
      <c r="AC301" s="22"/>
      <c r="AE301" s="24"/>
      <c r="AF301" s="24"/>
      <c r="AG301" s="24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6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24"/>
      <c r="GQ301" s="24"/>
      <c r="GR301" s="24"/>
    </row>
    <row r="302" spans="1:200" s="23" customFormat="1" ht="14.25" customHeight="1" x14ac:dyDescent="0.2">
      <c r="A302" s="20"/>
      <c r="B302" s="21"/>
      <c r="C302" s="22"/>
      <c r="D302" s="22"/>
      <c r="E302" s="22"/>
      <c r="G302" s="22"/>
      <c r="H302" s="22"/>
      <c r="I302" s="22"/>
      <c r="K302" s="22"/>
      <c r="L302" s="22"/>
      <c r="M302" s="22"/>
      <c r="O302" s="22"/>
      <c r="P302" s="22"/>
      <c r="Q302" s="22"/>
      <c r="S302" s="22"/>
      <c r="T302" s="22"/>
      <c r="U302" s="22"/>
      <c r="W302" s="22"/>
      <c r="X302" s="22"/>
      <c r="Y302" s="22"/>
      <c r="AA302" s="22"/>
      <c r="AB302" s="22"/>
      <c r="AC302" s="22"/>
      <c r="AE302" s="24"/>
      <c r="AF302" s="24"/>
      <c r="AG302" s="24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6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24"/>
      <c r="GQ302" s="24"/>
      <c r="GR302" s="24"/>
    </row>
    <row r="303" spans="1:200" s="23" customFormat="1" ht="14.25" customHeight="1" x14ac:dyDescent="0.2">
      <c r="A303" s="20"/>
      <c r="B303" s="21"/>
      <c r="C303" s="22"/>
      <c r="D303" s="22"/>
      <c r="E303" s="22"/>
      <c r="G303" s="22"/>
      <c r="H303" s="22"/>
      <c r="I303" s="22"/>
      <c r="K303" s="22"/>
      <c r="L303" s="22"/>
      <c r="M303" s="22"/>
      <c r="O303" s="22"/>
      <c r="P303" s="22"/>
      <c r="Q303" s="22"/>
      <c r="S303" s="22"/>
      <c r="T303" s="22"/>
      <c r="U303" s="22"/>
      <c r="W303" s="22"/>
      <c r="X303" s="22"/>
      <c r="Y303" s="22"/>
      <c r="AA303" s="22"/>
      <c r="AB303" s="22"/>
      <c r="AC303" s="22"/>
      <c r="AE303" s="24"/>
      <c r="AF303" s="24"/>
      <c r="AG303" s="24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6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</row>
    <row r="304" spans="1:200" s="23" customFormat="1" ht="14.25" customHeight="1" x14ac:dyDescent="0.2">
      <c r="A304" s="20"/>
      <c r="B304" s="21"/>
      <c r="C304" s="22"/>
      <c r="D304" s="22"/>
      <c r="E304" s="22"/>
      <c r="G304" s="22"/>
      <c r="H304" s="22"/>
      <c r="I304" s="22"/>
      <c r="K304" s="22"/>
      <c r="L304" s="22"/>
      <c r="M304" s="22"/>
      <c r="O304" s="22"/>
      <c r="P304" s="22"/>
      <c r="Q304" s="22"/>
      <c r="S304" s="22"/>
      <c r="T304" s="22"/>
      <c r="U304" s="22"/>
      <c r="W304" s="22"/>
      <c r="X304" s="22"/>
      <c r="Y304" s="22"/>
      <c r="AA304" s="22"/>
      <c r="AB304" s="22"/>
      <c r="AC304" s="22"/>
      <c r="AE304" s="24"/>
      <c r="AF304" s="24"/>
      <c r="AG304" s="24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6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</row>
    <row r="305" spans="1:200" s="23" customFormat="1" ht="14.25" customHeight="1" x14ac:dyDescent="0.2">
      <c r="A305" s="20"/>
      <c r="B305" s="21"/>
      <c r="C305" s="22"/>
      <c r="D305" s="22"/>
      <c r="E305" s="22"/>
      <c r="G305" s="22"/>
      <c r="H305" s="22"/>
      <c r="I305" s="22"/>
      <c r="K305" s="22"/>
      <c r="L305" s="22"/>
      <c r="M305" s="22"/>
      <c r="O305" s="22"/>
      <c r="P305" s="22"/>
      <c r="Q305" s="22"/>
      <c r="S305" s="22"/>
      <c r="T305" s="22"/>
      <c r="U305" s="22"/>
      <c r="W305" s="22"/>
      <c r="X305" s="22"/>
      <c r="Y305" s="22"/>
      <c r="AA305" s="22"/>
      <c r="AB305" s="22"/>
      <c r="AC305" s="22"/>
      <c r="AE305" s="24"/>
      <c r="AF305" s="24"/>
      <c r="AG305" s="24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6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</row>
    <row r="306" spans="1:200" s="23" customFormat="1" ht="14.25" customHeight="1" x14ac:dyDescent="0.2">
      <c r="A306" s="20"/>
      <c r="B306" s="21"/>
      <c r="C306" s="22"/>
      <c r="D306" s="22"/>
      <c r="E306" s="22"/>
      <c r="G306" s="22"/>
      <c r="H306" s="22"/>
      <c r="I306" s="22"/>
      <c r="K306" s="22"/>
      <c r="L306" s="22"/>
      <c r="M306" s="22"/>
      <c r="O306" s="22"/>
      <c r="P306" s="22"/>
      <c r="Q306" s="22"/>
      <c r="S306" s="22"/>
      <c r="T306" s="22"/>
      <c r="U306" s="22"/>
      <c r="W306" s="22"/>
      <c r="X306" s="22"/>
      <c r="Y306" s="22"/>
      <c r="AA306" s="22"/>
      <c r="AB306" s="22"/>
      <c r="AC306" s="22"/>
      <c r="AE306" s="24"/>
      <c r="AF306" s="24"/>
      <c r="AG306" s="24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6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</row>
    <row r="307" spans="1:200" s="23" customFormat="1" ht="14.25" customHeight="1" x14ac:dyDescent="0.2">
      <c r="A307" s="20"/>
      <c r="B307" s="21"/>
      <c r="C307" s="22"/>
      <c r="D307" s="22"/>
      <c r="E307" s="22"/>
      <c r="G307" s="22"/>
      <c r="H307" s="22"/>
      <c r="I307" s="22"/>
      <c r="K307" s="22"/>
      <c r="L307" s="22"/>
      <c r="M307" s="22"/>
      <c r="O307" s="22"/>
      <c r="P307" s="22"/>
      <c r="Q307" s="22"/>
      <c r="S307" s="22"/>
      <c r="T307" s="22"/>
      <c r="U307" s="22"/>
      <c r="W307" s="22"/>
      <c r="X307" s="22"/>
      <c r="Y307" s="22"/>
      <c r="AA307" s="22"/>
      <c r="AB307" s="22"/>
      <c r="AC307" s="22"/>
      <c r="AE307" s="24"/>
      <c r="AF307" s="24"/>
      <c r="AG307" s="24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6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</row>
    <row r="308" spans="1:200" s="23" customFormat="1" ht="14.25" customHeight="1" x14ac:dyDescent="0.2">
      <c r="A308" s="20"/>
      <c r="B308" s="21"/>
      <c r="C308" s="22"/>
      <c r="D308" s="22"/>
      <c r="E308" s="22"/>
      <c r="G308" s="22"/>
      <c r="H308" s="22"/>
      <c r="I308" s="22"/>
      <c r="K308" s="22"/>
      <c r="L308" s="22"/>
      <c r="M308" s="22"/>
      <c r="O308" s="22"/>
      <c r="P308" s="22"/>
      <c r="Q308" s="22"/>
      <c r="S308" s="22"/>
      <c r="T308" s="22"/>
      <c r="U308" s="22"/>
      <c r="W308" s="22"/>
      <c r="X308" s="22"/>
      <c r="Y308" s="22"/>
      <c r="AA308" s="22"/>
      <c r="AB308" s="22"/>
      <c r="AC308" s="22"/>
      <c r="AE308" s="24"/>
      <c r="AF308" s="24"/>
      <c r="AG308" s="24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6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</row>
    <row r="309" spans="1:200" s="23" customFormat="1" ht="14.25" customHeight="1" x14ac:dyDescent="0.2">
      <c r="A309" s="20"/>
      <c r="B309" s="21"/>
      <c r="C309" s="22"/>
      <c r="D309" s="22"/>
      <c r="E309" s="22"/>
      <c r="G309" s="22"/>
      <c r="H309" s="22"/>
      <c r="I309" s="22"/>
      <c r="K309" s="22"/>
      <c r="L309" s="22"/>
      <c r="M309" s="22"/>
      <c r="O309" s="22"/>
      <c r="P309" s="22"/>
      <c r="Q309" s="22"/>
      <c r="S309" s="22"/>
      <c r="T309" s="22"/>
      <c r="U309" s="22"/>
      <c r="W309" s="22"/>
      <c r="X309" s="22"/>
      <c r="Y309" s="22"/>
      <c r="AA309" s="22"/>
      <c r="AB309" s="22"/>
      <c r="AC309" s="22"/>
      <c r="AE309" s="24"/>
      <c r="AF309" s="24"/>
      <c r="AG309" s="24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6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</row>
    <row r="310" spans="1:200" s="23" customFormat="1" ht="14.25" customHeight="1" x14ac:dyDescent="0.2">
      <c r="A310" s="20"/>
      <c r="B310" s="21"/>
      <c r="C310" s="22"/>
      <c r="D310" s="22"/>
      <c r="E310" s="22"/>
      <c r="G310" s="22"/>
      <c r="H310" s="22"/>
      <c r="I310" s="22"/>
      <c r="K310" s="22"/>
      <c r="L310" s="22"/>
      <c r="M310" s="22"/>
      <c r="O310" s="22"/>
      <c r="P310" s="22"/>
      <c r="Q310" s="22"/>
      <c r="S310" s="22"/>
      <c r="T310" s="22"/>
      <c r="U310" s="22"/>
      <c r="W310" s="22"/>
      <c r="X310" s="22"/>
      <c r="Y310" s="22"/>
      <c r="AA310" s="22"/>
      <c r="AB310" s="22"/>
      <c r="AC310" s="22"/>
      <c r="AE310" s="24"/>
      <c r="AF310" s="24"/>
      <c r="AG310" s="24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6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</row>
    <row r="311" spans="1:200" s="23" customFormat="1" ht="14.25" customHeight="1" x14ac:dyDescent="0.2">
      <c r="A311" s="20"/>
      <c r="B311" s="21"/>
      <c r="C311" s="22"/>
      <c r="D311" s="22"/>
      <c r="E311" s="22"/>
      <c r="G311" s="22"/>
      <c r="H311" s="22"/>
      <c r="I311" s="22"/>
      <c r="K311" s="22"/>
      <c r="L311" s="22"/>
      <c r="M311" s="22"/>
      <c r="O311" s="22"/>
      <c r="P311" s="22"/>
      <c r="Q311" s="22"/>
      <c r="S311" s="22"/>
      <c r="T311" s="22"/>
      <c r="U311" s="22"/>
      <c r="W311" s="22"/>
      <c r="X311" s="22"/>
      <c r="Y311" s="22"/>
      <c r="AA311" s="22"/>
      <c r="AB311" s="22"/>
      <c r="AC311" s="22"/>
      <c r="AE311" s="24"/>
      <c r="AF311" s="24"/>
      <c r="AG311" s="24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6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</row>
    <row r="312" spans="1:200" s="23" customFormat="1" ht="14.25" customHeight="1" x14ac:dyDescent="0.2">
      <c r="A312" s="20"/>
      <c r="B312" s="21"/>
      <c r="C312" s="22"/>
      <c r="D312" s="22"/>
      <c r="E312" s="22"/>
      <c r="G312" s="22"/>
      <c r="H312" s="22"/>
      <c r="I312" s="22"/>
      <c r="K312" s="22"/>
      <c r="L312" s="22"/>
      <c r="M312" s="22"/>
      <c r="O312" s="22"/>
      <c r="P312" s="22"/>
      <c r="Q312" s="22"/>
      <c r="S312" s="22"/>
      <c r="T312" s="22"/>
      <c r="U312" s="22"/>
      <c r="W312" s="22"/>
      <c r="X312" s="22"/>
      <c r="Y312" s="22"/>
      <c r="AA312" s="22"/>
      <c r="AB312" s="22"/>
      <c r="AC312" s="22"/>
      <c r="AE312" s="24"/>
      <c r="AF312" s="24"/>
      <c r="AG312" s="24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6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</row>
    <row r="313" spans="1:200" s="23" customFormat="1" ht="14.25" customHeight="1" x14ac:dyDescent="0.2">
      <c r="A313" s="20"/>
      <c r="B313" s="21"/>
      <c r="C313" s="22"/>
      <c r="D313" s="22"/>
      <c r="E313" s="22"/>
      <c r="G313" s="22"/>
      <c r="H313" s="22"/>
      <c r="I313" s="22"/>
      <c r="K313" s="22"/>
      <c r="L313" s="22"/>
      <c r="M313" s="22"/>
      <c r="O313" s="22"/>
      <c r="P313" s="22"/>
      <c r="Q313" s="22"/>
      <c r="S313" s="22"/>
      <c r="T313" s="22"/>
      <c r="U313" s="22"/>
      <c r="W313" s="22"/>
      <c r="X313" s="22"/>
      <c r="Y313" s="22"/>
      <c r="AA313" s="22"/>
      <c r="AB313" s="22"/>
      <c r="AC313" s="22"/>
      <c r="AE313" s="24"/>
      <c r="AF313" s="24"/>
      <c r="AG313" s="24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6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/>
    </row>
    <row r="314" spans="1:200" s="23" customFormat="1" ht="14.25" customHeight="1" x14ac:dyDescent="0.2">
      <c r="A314" s="20"/>
      <c r="B314" s="21"/>
      <c r="C314" s="22"/>
      <c r="D314" s="22"/>
      <c r="E314" s="22"/>
      <c r="G314" s="22"/>
      <c r="H314" s="22"/>
      <c r="I314" s="22"/>
      <c r="K314" s="22"/>
      <c r="L314" s="22"/>
      <c r="M314" s="22"/>
      <c r="O314" s="22"/>
      <c r="P314" s="22"/>
      <c r="Q314" s="22"/>
      <c r="S314" s="22"/>
      <c r="T314" s="22"/>
      <c r="U314" s="22"/>
      <c r="W314" s="22"/>
      <c r="X314" s="22"/>
      <c r="Y314" s="22"/>
      <c r="AA314" s="22"/>
      <c r="AB314" s="22"/>
      <c r="AC314" s="22"/>
      <c r="AE314" s="24"/>
      <c r="AF314" s="24"/>
      <c r="AG314" s="24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6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</row>
    <row r="315" spans="1:200" s="23" customFormat="1" ht="14.25" customHeight="1" x14ac:dyDescent="0.2">
      <c r="A315" s="20"/>
      <c r="B315" s="21"/>
      <c r="C315" s="22"/>
      <c r="D315" s="22"/>
      <c r="E315" s="22"/>
      <c r="G315" s="22"/>
      <c r="H315" s="22"/>
      <c r="I315" s="22"/>
      <c r="K315" s="22"/>
      <c r="L315" s="22"/>
      <c r="M315" s="22"/>
      <c r="O315" s="22"/>
      <c r="P315" s="22"/>
      <c r="Q315" s="22"/>
      <c r="S315" s="22"/>
      <c r="T315" s="22"/>
      <c r="U315" s="22"/>
      <c r="W315" s="22"/>
      <c r="X315" s="22"/>
      <c r="Y315" s="22"/>
      <c r="AA315" s="22"/>
      <c r="AB315" s="22"/>
      <c r="AC315" s="22"/>
      <c r="AE315" s="24"/>
      <c r="AF315" s="24"/>
      <c r="AG315" s="24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6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</row>
    <row r="316" spans="1:200" s="23" customFormat="1" ht="14.25" customHeight="1" x14ac:dyDescent="0.2">
      <c r="A316" s="20"/>
      <c r="B316" s="21"/>
      <c r="C316" s="22"/>
      <c r="D316" s="22"/>
      <c r="E316" s="22"/>
      <c r="G316" s="22"/>
      <c r="H316" s="22"/>
      <c r="I316" s="22"/>
      <c r="K316" s="22"/>
      <c r="L316" s="22"/>
      <c r="M316" s="22"/>
      <c r="O316" s="22"/>
      <c r="P316" s="22"/>
      <c r="Q316" s="22"/>
      <c r="S316" s="22"/>
      <c r="T316" s="22"/>
      <c r="U316" s="22"/>
      <c r="W316" s="22"/>
      <c r="X316" s="22"/>
      <c r="Y316" s="22"/>
      <c r="AA316" s="22"/>
      <c r="AB316" s="22"/>
      <c r="AC316" s="22"/>
      <c r="AE316" s="24"/>
      <c r="AF316" s="24"/>
      <c r="AG316" s="24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6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</row>
    <row r="317" spans="1:200" s="23" customFormat="1" ht="14.25" customHeight="1" x14ac:dyDescent="0.2">
      <c r="A317" s="20"/>
      <c r="B317" s="21"/>
      <c r="C317" s="22"/>
      <c r="D317" s="22"/>
      <c r="E317" s="22"/>
      <c r="G317" s="22"/>
      <c r="H317" s="22"/>
      <c r="I317" s="22"/>
      <c r="K317" s="22"/>
      <c r="L317" s="22"/>
      <c r="M317" s="22"/>
      <c r="O317" s="22"/>
      <c r="P317" s="22"/>
      <c r="Q317" s="22"/>
      <c r="S317" s="22"/>
      <c r="T317" s="22"/>
      <c r="U317" s="22"/>
      <c r="W317" s="22"/>
      <c r="X317" s="22"/>
      <c r="Y317" s="22"/>
      <c r="AA317" s="22"/>
      <c r="AB317" s="22"/>
      <c r="AC317" s="22"/>
      <c r="AE317" s="24"/>
      <c r="AF317" s="24"/>
      <c r="AG317" s="24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6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</row>
    <row r="318" spans="1:200" s="23" customFormat="1" ht="14.25" customHeight="1" x14ac:dyDescent="0.2">
      <c r="A318" s="20"/>
      <c r="B318" s="21"/>
      <c r="C318" s="22"/>
      <c r="D318" s="22"/>
      <c r="E318" s="22"/>
      <c r="G318" s="22"/>
      <c r="H318" s="22"/>
      <c r="I318" s="22"/>
      <c r="K318" s="22"/>
      <c r="L318" s="22"/>
      <c r="M318" s="22"/>
      <c r="O318" s="22"/>
      <c r="P318" s="22"/>
      <c r="Q318" s="22"/>
      <c r="S318" s="22"/>
      <c r="T318" s="22"/>
      <c r="U318" s="22"/>
      <c r="W318" s="22"/>
      <c r="X318" s="22"/>
      <c r="Y318" s="22"/>
      <c r="AA318" s="22"/>
      <c r="AB318" s="22"/>
      <c r="AC318" s="22"/>
      <c r="AE318" s="24"/>
      <c r="AF318" s="24"/>
      <c r="AG318" s="24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6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</row>
    <row r="319" spans="1:200" s="23" customFormat="1" ht="14.25" customHeight="1" x14ac:dyDescent="0.2">
      <c r="A319" s="20"/>
      <c r="B319" s="21"/>
      <c r="C319" s="22"/>
      <c r="D319" s="22"/>
      <c r="E319" s="22"/>
      <c r="G319" s="22"/>
      <c r="H319" s="22"/>
      <c r="I319" s="22"/>
      <c r="K319" s="22"/>
      <c r="L319" s="22"/>
      <c r="M319" s="22"/>
      <c r="O319" s="22"/>
      <c r="P319" s="22"/>
      <c r="Q319" s="22"/>
      <c r="S319" s="22"/>
      <c r="T319" s="22"/>
      <c r="U319" s="22"/>
      <c r="W319" s="22"/>
      <c r="X319" s="22"/>
      <c r="Y319" s="22"/>
      <c r="AA319" s="22"/>
      <c r="AB319" s="22"/>
      <c r="AC319" s="22"/>
      <c r="AE319" s="24"/>
      <c r="AF319" s="24"/>
      <c r="AG319" s="24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6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</row>
    <row r="320" spans="1:200" s="23" customFormat="1" ht="14.25" customHeight="1" x14ac:dyDescent="0.2">
      <c r="A320" s="20"/>
      <c r="B320" s="21"/>
      <c r="C320" s="22"/>
      <c r="D320" s="22"/>
      <c r="E320" s="22"/>
      <c r="G320" s="22"/>
      <c r="H320" s="22"/>
      <c r="I320" s="22"/>
      <c r="K320" s="22"/>
      <c r="L320" s="22"/>
      <c r="M320" s="22"/>
      <c r="O320" s="22"/>
      <c r="P320" s="22"/>
      <c r="Q320" s="22"/>
      <c r="S320" s="22"/>
      <c r="T320" s="22"/>
      <c r="U320" s="22"/>
      <c r="W320" s="22"/>
      <c r="X320" s="22"/>
      <c r="Y320" s="22"/>
      <c r="AA320" s="22"/>
      <c r="AB320" s="22"/>
      <c r="AC320" s="22"/>
      <c r="AE320" s="24"/>
      <c r="AF320" s="24"/>
      <c r="AG320" s="24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6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</row>
    <row r="321" spans="1:200" s="23" customFormat="1" ht="14.25" customHeight="1" x14ac:dyDescent="0.2">
      <c r="A321" s="20"/>
      <c r="B321" s="21"/>
      <c r="C321" s="22"/>
      <c r="D321" s="22"/>
      <c r="E321" s="22"/>
      <c r="G321" s="22"/>
      <c r="H321" s="22"/>
      <c r="I321" s="22"/>
      <c r="K321" s="22"/>
      <c r="L321" s="22"/>
      <c r="M321" s="22"/>
      <c r="O321" s="22"/>
      <c r="P321" s="22"/>
      <c r="Q321" s="22"/>
      <c r="S321" s="22"/>
      <c r="T321" s="22"/>
      <c r="U321" s="22"/>
      <c r="W321" s="22"/>
      <c r="X321" s="22"/>
      <c r="Y321" s="22"/>
      <c r="AA321" s="22"/>
      <c r="AB321" s="22"/>
      <c r="AC321" s="22"/>
      <c r="AE321" s="24"/>
      <c r="AF321" s="24"/>
      <c r="AG321" s="24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6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24"/>
      <c r="GQ321" s="24"/>
      <c r="GR321" s="24"/>
    </row>
    <row r="322" spans="1:200" s="23" customFormat="1" ht="14.25" customHeight="1" x14ac:dyDescent="0.2">
      <c r="A322" s="20"/>
      <c r="B322" s="21"/>
      <c r="C322" s="22"/>
      <c r="D322" s="22"/>
      <c r="E322" s="22"/>
      <c r="G322" s="22"/>
      <c r="H322" s="22"/>
      <c r="I322" s="22"/>
      <c r="K322" s="22"/>
      <c r="L322" s="22"/>
      <c r="M322" s="22"/>
      <c r="O322" s="22"/>
      <c r="P322" s="22"/>
      <c r="Q322" s="22"/>
      <c r="S322" s="22"/>
      <c r="T322" s="22"/>
      <c r="U322" s="22"/>
      <c r="W322" s="22"/>
      <c r="X322" s="22"/>
      <c r="Y322" s="22"/>
      <c r="AA322" s="22"/>
      <c r="AB322" s="22"/>
      <c r="AC322" s="22"/>
      <c r="AE322" s="24"/>
      <c r="AF322" s="24"/>
      <c r="AG322" s="24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6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4"/>
      <c r="GQ322" s="24"/>
      <c r="GR322" s="24"/>
    </row>
    <row r="323" spans="1:200" s="23" customFormat="1" ht="14.25" customHeight="1" x14ac:dyDescent="0.2">
      <c r="A323" s="20"/>
      <c r="B323" s="21"/>
      <c r="C323" s="22"/>
      <c r="D323" s="22"/>
      <c r="E323" s="22"/>
      <c r="G323" s="22"/>
      <c r="H323" s="22"/>
      <c r="I323" s="22"/>
      <c r="K323" s="22"/>
      <c r="L323" s="22"/>
      <c r="M323" s="22"/>
      <c r="O323" s="22"/>
      <c r="P323" s="22"/>
      <c r="Q323" s="22"/>
      <c r="S323" s="22"/>
      <c r="T323" s="22"/>
      <c r="U323" s="22"/>
      <c r="W323" s="22"/>
      <c r="X323" s="22"/>
      <c r="Y323" s="22"/>
      <c r="AA323" s="22"/>
      <c r="AB323" s="22"/>
      <c r="AC323" s="22"/>
      <c r="AE323" s="24"/>
      <c r="AF323" s="24"/>
      <c r="AG323" s="24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6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</row>
    <row r="324" spans="1:200" s="23" customFormat="1" ht="14.25" customHeight="1" x14ac:dyDescent="0.2">
      <c r="A324" s="20"/>
      <c r="B324" s="21"/>
      <c r="C324" s="22"/>
      <c r="D324" s="22"/>
      <c r="E324" s="22"/>
      <c r="G324" s="22"/>
      <c r="H324" s="22"/>
      <c r="I324" s="22"/>
      <c r="K324" s="22"/>
      <c r="L324" s="22"/>
      <c r="M324" s="22"/>
      <c r="O324" s="22"/>
      <c r="P324" s="22"/>
      <c r="Q324" s="22"/>
      <c r="S324" s="22"/>
      <c r="T324" s="22"/>
      <c r="U324" s="22"/>
      <c r="W324" s="22"/>
      <c r="X324" s="22"/>
      <c r="Y324" s="22"/>
      <c r="AA324" s="22"/>
      <c r="AB324" s="22"/>
      <c r="AC324" s="22"/>
      <c r="AE324" s="24"/>
      <c r="AF324" s="24"/>
      <c r="AG324" s="24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6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</row>
    <row r="325" spans="1:200" s="23" customFormat="1" ht="14.25" customHeight="1" x14ac:dyDescent="0.2">
      <c r="A325" s="20"/>
      <c r="B325" s="21"/>
      <c r="C325" s="22"/>
      <c r="D325" s="22"/>
      <c r="E325" s="22"/>
      <c r="G325" s="22"/>
      <c r="H325" s="22"/>
      <c r="I325" s="22"/>
      <c r="K325" s="22"/>
      <c r="L325" s="22"/>
      <c r="M325" s="22"/>
      <c r="O325" s="22"/>
      <c r="P325" s="22"/>
      <c r="Q325" s="22"/>
      <c r="S325" s="22"/>
      <c r="T325" s="22"/>
      <c r="U325" s="22"/>
      <c r="W325" s="22"/>
      <c r="X325" s="22"/>
      <c r="Y325" s="22"/>
      <c r="AA325" s="22"/>
      <c r="AB325" s="22"/>
      <c r="AC325" s="22"/>
      <c r="AE325" s="24"/>
      <c r="AF325" s="24"/>
      <c r="AG325" s="24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6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/>
    </row>
    <row r="326" spans="1:200" s="23" customFormat="1" ht="14.25" customHeight="1" x14ac:dyDescent="0.2">
      <c r="A326" s="20"/>
      <c r="B326" s="21"/>
      <c r="C326" s="22"/>
      <c r="D326" s="22"/>
      <c r="E326" s="22"/>
      <c r="G326" s="22"/>
      <c r="H326" s="22"/>
      <c r="I326" s="22"/>
      <c r="K326" s="22"/>
      <c r="L326" s="22"/>
      <c r="M326" s="22"/>
      <c r="O326" s="22"/>
      <c r="P326" s="22"/>
      <c r="Q326" s="22"/>
      <c r="S326" s="22"/>
      <c r="T326" s="22"/>
      <c r="U326" s="22"/>
      <c r="W326" s="22"/>
      <c r="X326" s="22"/>
      <c r="Y326" s="22"/>
      <c r="AA326" s="22"/>
      <c r="AB326" s="22"/>
      <c r="AC326" s="22"/>
      <c r="AE326" s="24"/>
      <c r="AF326" s="24"/>
      <c r="AG326" s="24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6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</row>
    <row r="327" spans="1:200" s="23" customFormat="1" ht="14.25" customHeight="1" x14ac:dyDescent="0.2">
      <c r="A327" s="20"/>
      <c r="B327" s="21"/>
      <c r="C327" s="22"/>
      <c r="D327" s="22"/>
      <c r="E327" s="22"/>
      <c r="G327" s="22"/>
      <c r="H327" s="22"/>
      <c r="I327" s="22"/>
      <c r="K327" s="22"/>
      <c r="L327" s="22"/>
      <c r="M327" s="22"/>
      <c r="O327" s="22"/>
      <c r="P327" s="22"/>
      <c r="Q327" s="22"/>
      <c r="S327" s="22"/>
      <c r="T327" s="22"/>
      <c r="U327" s="22"/>
      <c r="W327" s="22"/>
      <c r="X327" s="22"/>
      <c r="Y327" s="22"/>
      <c r="AA327" s="22"/>
      <c r="AB327" s="22"/>
      <c r="AC327" s="22"/>
      <c r="AE327" s="24"/>
      <c r="AF327" s="24"/>
      <c r="AG327" s="24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6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</row>
    <row r="328" spans="1:200" s="23" customFormat="1" ht="14.25" customHeight="1" x14ac:dyDescent="0.2">
      <c r="A328" s="20"/>
      <c r="B328" s="21"/>
      <c r="C328" s="22"/>
      <c r="D328" s="22"/>
      <c r="E328" s="22"/>
      <c r="G328" s="22"/>
      <c r="H328" s="22"/>
      <c r="I328" s="22"/>
      <c r="K328" s="22"/>
      <c r="L328" s="22"/>
      <c r="M328" s="22"/>
      <c r="O328" s="22"/>
      <c r="P328" s="22"/>
      <c r="Q328" s="22"/>
      <c r="S328" s="22"/>
      <c r="T328" s="22"/>
      <c r="U328" s="22"/>
      <c r="W328" s="22"/>
      <c r="X328" s="22"/>
      <c r="Y328" s="22"/>
      <c r="AA328" s="22"/>
      <c r="AB328" s="22"/>
      <c r="AC328" s="22"/>
      <c r="AE328" s="24"/>
      <c r="AF328" s="24"/>
      <c r="AG328" s="24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6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</row>
    <row r="329" spans="1:200" s="23" customFormat="1" ht="14.25" customHeight="1" x14ac:dyDescent="0.2">
      <c r="A329" s="20"/>
      <c r="B329" s="21"/>
      <c r="C329" s="22"/>
      <c r="D329" s="22"/>
      <c r="E329" s="22"/>
      <c r="G329" s="22"/>
      <c r="H329" s="22"/>
      <c r="I329" s="22"/>
      <c r="K329" s="22"/>
      <c r="L329" s="22"/>
      <c r="M329" s="22"/>
      <c r="O329" s="22"/>
      <c r="P329" s="22"/>
      <c r="Q329" s="22"/>
      <c r="S329" s="22"/>
      <c r="T329" s="22"/>
      <c r="U329" s="22"/>
      <c r="W329" s="22"/>
      <c r="X329" s="22"/>
      <c r="Y329" s="22"/>
      <c r="AA329" s="22"/>
      <c r="AB329" s="22"/>
      <c r="AC329" s="22"/>
      <c r="AE329" s="24"/>
      <c r="AF329" s="24"/>
      <c r="AG329" s="24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6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</row>
    <row r="330" spans="1:200" s="23" customFormat="1" ht="14.25" customHeight="1" x14ac:dyDescent="0.2">
      <c r="A330" s="20"/>
      <c r="B330" s="21"/>
      <c r="C330" s="22"/>
      <c r="D330" s="22"/>
      <c r="E330" s="22"/>
      <c r="G330" s="22"/>
      <c r="H330" s="22"/>
      <c r="I330" s="22"/>
      <c r="K330" s="22"/>
      <c r="L330" s="22"/>
      <c r="M330" s="22"/>
      <c r="O330" s="22"/>
      <c r="P330" s="22"/>
      <c r="Q330" s="22"/>
      <c r="S330" s="22"/>
      <c r="T330" s="22"/>
      <c r="U330" s="22"/>
      <c r="W330" s="22"/>
      <c r="X330" s="22"/>
      <c r="Y330" s="22"/>
      <c r="AA330" s="22"/>
      <c r="AB330" s="22"/>
      <c r="AC330" s="22"/>
      <c r="AE330" s="24"/>
      <c r="AF330" s="24"/>
      <c r="AG330" s="24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6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24"/>
      <c r="GQ330" s="24"/>
      <c r="GR330" s="24"/>
    </row>
    <row r="331" spans="1:200" s="23" customFormat="1" ht="14.25" customHeight="1" x14ac:dyDescent="0.2">
      <c r="A331" s="20"/>
      <c r="B331" s="21"/>
      <c r="C331" s="22"/>
      <c r="D331" s="22"/>
      <c r="E331" s="22"/>
      <c r="G331" s="22"/>
      <c r="H331" s="22"/>
      <c r="I331" s="22"/>
      <c r="K331" s="22"/>
      <c r="L331" s="22"/>
      <c r="M331" s="22"/>
      <c r="O331" s="22"/>
      <c r="P331" s="22"/>
      <c r="Q331" s="22"/>
      <c r="S331" s="22"/>
      <c r="T331" s="22"/>
      <c r="U331" s="22"/>
      <c r="W331" s="22"/>
      <c r="X331" s="22"/>
      <c r="Y331" s="22"/>
      <c r="AA331" s="22"/>
      <c r="AB331" s="22"/>
      <c r="AC331" s="22"/>
      <c r="AE331" s="24"/>
      <c r="AF331" s="24"/>
      <c r="AG331" s="24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6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/>
      <c r="GN331" s="24"/>
      <c r="GO331" s="24"/>
      <c r="GP331" s="24"/>
      <c r="GQ331" s="24"/>
      <c r="GR331" s="24"/>
    </row>
    <row r="332" spans="1:200" s="23" customFormat="1" ht="14.25" customHeight="1" x14ac:dyDescent="0.2">
      <c r="A332" s="20"/>
      <c r="B332" s="21"/>
      <c r="C332" s="22"/>
      <c r="D332" s="22"/>
      <c r="E332" s="22"/>
      <c r="G332" s="22"/>
      <c r="H332" s="22"/>
      <c r="I332" s="22"/>
      <c r="K332" s="22"/>
      <c r="L332" s="22"/>
      <c r="M332" s="22"/>
      <c r="O332" s="22"/>
      <c r="P332" s="22"/>
      <c r="Q332" s="22"/>
      <c r="S332" s="22"/>
      <c r="T332" s="22"/>
      <c r="U332" s="22"/>
      <c r="W332" s="22"/>
      <c r="X332" s="22"/>
      <c r="Y332" s="22"/>
      <c r="AA332" s="22"/>
      <c r="AB332" s="22"/>
      <c r="AC332" s="22"/>
      <c r="AE332" s="24"/>
      <c r="AF332" s="24"/>
      <c r="AG332" s="24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6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4"/>
      <c r="GQ332" s="24"/>
      <c r="GR332" s="24"/>
    </row>
    <row r="333" spans="1:200" s="23" customFormat="1" ht="14.25" customHeight="1" x14ac:dyDescent="0.2">
      <c r="A333" s="20"/>
      <c r="B333" s="21"/>
      <c r="C333" s="22"/>
      <c r="D333" s="22"/>
      <c r="E333" s="22"/>
      <c r="G333" s="22"/>
      <c r="H333" s="22"/>
      <c r="I333" s="22"/>
      <c r="K333" s="22"/>
      <c r="L333" s="22"/>
      <c r="M333" s="22"/>
      <c r="O333" s="22"/>
      <c r="P333" s="22"/>
      <c r="Q333" s="22"/>
      <c r="S333" s="22"/>
      <c r="T333" s="22"/>
      <c r="U333" s="22"/>
      <c r="W333" s="22"/>
      <c r="X333" s="22"/>
      <c r="Y333" s="22"/>
      <c r="AA333" s="22"/>
      <c r="AB333" s="22"/>
      <c r="AC333" s="22"/>
      <c r="AE333" s="24"/>
      <c r="AF333" s="24"/>
      <c r="AG333" s="24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6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24"/>
      <c r="GQ333" s="24"/>
      <c r="GR333" s="24"/>
    </row>
    <row r="334" spans="1:200" s="23" customFormat="1" ht="14.25" customHeight="1" x14ac:dyDescent="0.2">
      <c r="A334" s="20"/>
      <c r="B334" s="21"/>
      <c r="C334" s="22"/>
      <c r="D334" s="22"/>
      <c r="E334" s="22"/>
      <c r="G334" s="22"/>
      <c r="H334" s="22"/>
      <c r="I334" s="22"/>
      <c r="K334" s="22"/>
      <c r="L334" s="22"/>
      <c r="M334" s="22"/>
      <c r="O334" s="22"/>
      <c r="P334" s="22"/>
      <c r="Q334" s="22"/>
      <c r="S334" s="22"/>
      <c r="T334" s="22"/>
      <c r="U334" s="22"/>
      <c r="W334" s="22"/>
      <c r="X334" s="22"/>
      <c r="Y334" s="22"/>
      <c r="AA334" s="22"/>
      <c r="AB334" s="22"/>
      <c r="AC334" s="22"/>
      <c r="AE334" s="24"/>
      <c r="AF334" s="24"/>
      <c r="AG334" s="24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6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24"/>
      <c r="GQ334" s="24"/>
      <c r="GR334" s="24"/>
    </row>
    <row r="335" spans="1:200" s="23" customFormat="1" ht="14.25" customHeight="1" x14ac:dyDescent="0.2">
      <c r="A335" s="20"/>
      <c r="B335" s="21"/>
      <c r="C335" s="22"/>
      <c r="D335" s="22"/>
      <c r="E335" s="22"/>
      <c r="G335" s="22"/>
      <c r="H335" s="22"/>
      <c r="I335" s="22"/>
      <c r="K335" s="22"/>
      <c r="L335" s="22"/>
      <c r="M335" s="22"/>
      <c r="O335" s="22"/>
      <c r="P335" s="22"/>
      <c r="Q335" s="22"/>
      <c r="S335" s="22"/>
      <c r="T335" s="22"/>
      <c r="U335" s="22"/>
      <c r="W335" s="22"/>
      <c r="X335" s="22"/>
      <c r="Y335" s="22"/>
      <c r="AA335" s="22"/>
      <c r="AB335" s="22"/>
      <c r="AC335" s="22"/>
      <c r="AE335" s="24"/>
      <c r="AF335" s="24"/>
      <c r="AG335" s="24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6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24"/>
      <c r="GQ335" s="24"/>
      <c r="GR335" s="24"/>
    </row>
    <row r="336" spans="1:200" s="23" customFormat="1" ht="14.25" customHeight="1" x14ac:dyDescent="0.2">
      <c r="A336" s="20"/>
      <c r="B336" s="21"/>
      <c r="C336" s="22"/>
      <c r="D336" s="22"/>
      <c r="E336" s="22"/>
      <c r="G336" s="22"/>
      <c r="H336" s="22"/>
      <c r="I336" s="22"/>
      <c r="K336" s="22"/>
      <c r="L336" s="22"/>
      <c r="M336" s="22"/>
      <c r="O336" s="22"/>
      <c r="P336" s="22"/>
      <c r="Q336" s="22"/>
      <c r="S336" s="22"/>
      <c r="T336" s="22"/>
      <c r="U336" s="22"/>
      <c r="W336" s="22"/>
      <c r="X336" s="22"/>
      <c r="Y336" s="22"/>
      <c r="AA336" s="22"/>
      <c r="AB336" s="22"/>
      <c r="AC336" s="22"/>
      <c r="AE336" s="24"/>
      <c r="AF336" s="24"/>
      <c r="AG336" s="24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6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/>
      <c r="GL336" s="24"/>
      <c r="GM336" s="24"/>
      <c r="GN336" s="24"/>
      <c r="GO336" s="24"/>
      <c r="GP336" s="24"/>
      <c r="GQ336" s="24"/>
      <c r="GR336" s="24"/>
    </row>
    <row r="337" spans="1:200" s="23" customFormat="1" ht="14.25" customHeight="1" x14ac:dyDescent="0.2">
      <c r="A337" s="20"/>
      <c r="B337" s="21"/>
      <c r="C337" s="22"/>
      <c r="D337" s="22"/>
      <c r="E337" s="22"/>
      <c r="G337" s="22"/>
      <c r="H337" s="22"/>
      <c r="I337" s="22"/>
      <c r="K337" s="22"/>
      <c r="L337" s="22"/>
      <c r="M337" s="22"/>
      <c r="O337" s="22"/>
      <c r="P337" s="22"/>
      <c r="Q337" s="22"/>
      <c r="S337" s="22"/>
      <c r="T337" s="22"/>
      <c r="U337" s="22"/>
      <c r="W337" s="22"/>
      <c r="X337" s="22"/>
      <c r="Y337" s="22"/>
      <c r="AA337" s="22"/>
      <c r="AB337" s="22"/>
      <c r="AC337" s="22"/>
      <c r="AE337" s="24"/>
      <c r="AF337" s="24"/>
      <c r="AG337" s="24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6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24"/>
      <c r="GQ337" s="24"/>
      <c r="GR337" s="24"/>
    </row>
    <row r="338" spans="1:200" s="23" customFormat="1" ht="14.25" customHeight="1" x14ac:dyDescent="0.2">
      <c r="A338" s="20"/>
      <c r="B338" s="21"/>
      <c r="C338" s="22"/>
      <c r="D338" s="22"/>
      <c r="E338" s="22"/>
      <c r="G338" s="22"/>
      <c r="H338" s="22"/>
      <c r="I338" s="22"/>
      <c r="K338" s="22"/>
      <c r="L338" s="22"/>
      <c r="M338" s="22"/>
      <c r="O338" s="22"/>
      <c r="P338" s="22"/>
      <c r="Q338" s="22"/>
      <c r="S338" s="22"/>
      <c r="T338" s="22"/>
      <c r="U338" s="22"/>
      <c r="W338" s="22"/>
      <c r="X338" s="22"/>
      <c r="Y338" s="22"/>
      <c r="AA338" s="22"/>
      <c r="AB338" s="22"/>
      <c r="AC338" s="22"/>
      <c r="AE338" s="24"/>
      <c r="AF338" s="24"/>
      <c r="AG338" s="24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6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24"/>
      <c r="GQ338" s="24"/>
      <c r="GR338" s="24"/>
    </row>
    <row r="339" spans="1:200" s="23" customFormat="1" ht="14.25" customHeight="1" x14ac:dyDescent="0.2">
      <c r="A339" s="20"/>
      <c r="B339" s="21"/>
      <c r="C339" s="22"/>
      <c r="D339" s="22"/>
      <c r="E339" s="22"/>
      <c r="G339" s="22"/>
      <c r="H339" s="22"/>
      <c r="I339" s="22"/>
      <c r="K339" s="22"/>
      <c r="L339" s="22"/>
      <c r="M339" s="22"/>
      <c r="O339" s="22"/>
      <c r="P339" s="22"/>
      <c r="Q339" s="22"/>
      <c r="S339" s="22"/>
      <c r="T339" s="22"/>
      <c r="U339" s="22"/>
      <c r="W339" s="22"/>
      <c r="X339" s="22"/>
      <c r="Y339" s="22"/>
      <c r="AA339" s="22"/>
      <c r="AB339" s="22"/>
      <c r="AC339" s="22"/>
      <c r="AE339" s="24"/>
      <c r="AF339" s="24"/>
      <c r="AG339" s="24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6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24"/>
      <c r="GQ339" s="24"/>
      <c r="GR339" s="24"/>
    </row>
    <row r="340" spans="1:200" s="23" customFormat="1" ht="14.25" customHeight="1" x14ac:dyDescent="0.2">
      <c r="A340" s="20"/>
      <c r="B340" s="21"/>
      <c r="C340" s="22"/>
      <c r="D340" s="22"/>
      <c r="E340" s="22"/>
      <c r="G340" s="22"/>
      <c r="H340" s="22"/>
      <c r="I340" s="22"/>
      <c r="K340" s="22"/>
      <c r="L340" s="22"/>
      <c r="M340" s="22"/>
      <c r="O340" s="22"/>
      <c r="P340" s="22"/>
      <c r="Q340" s="22"/>
      <c r="S340" s="22"/>
      <c r="T340" s="22"/>
      <c r="U340" s="22"/>
      <c r="W340" s="22"/>
      <c r="X340" s="22"/>
      <c r="Y340" s="22"/>
      <c r="AA340" s="22"/>
      <c r="AB340" s="22"/>
      <c r="AC340" s="22"/>
      <c r="AE340" s="24"/>
      <c r="AF340" s="24"/>
      <c r="AG340" s="24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6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24"/>
      <c r="GQ340" s="24"/>
      <c r="GR340" s="24"/>
    </row>
    <row r="341" spans="1:200" s="23" customFormat="1" ht="14.25" customHeight="1" x14ac:dyDescent="0.2">
      <c r="A341" s="20"/>
      <c r="B341" s="21"/>
      <c r="C341" s="22"/>
      <c r="D341" s="22"/>
      <c r="E341" s="22"/>
      <c r="G341" s="22"/>
      <c r="H341" s="22"/>
      <c r="I341" s="22"/>
      <c r="K341" s="22"/>
      <c r="L341" s="22"/>
      <c r="M341" s="22"/>
      <c r="O341" s="22"/>
      <c r="P341" s="22"/>
      <c r="Q341" s="22"/>
      <c r="S341" s="22"/>
      <c r="T341" s="22"/>
      <c r="U341" s="22"/>
      <c r="W341" s="22"/>
      <c r="X341" s="22"/>
      <c r="Y341" s="22"/>
      <c r="AA341" s="22"/>
      <c r="AB341" s="22"/>
      <c r="AC341" s="22"/>
      <c r="AE341" s="24"/>
      <c r="AF341" s="24"/>
      <c r="AG341" s="24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6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24"/>
      <c r="GQ341" s="24"/>
      <c r="GR341" s="24"/>
    </row>
    <row r="342" spans="1:200" s="23" customFormat="1" ht="14.25" customHeight="1" x14ac:dyDescent="0.2">
      <c r="A342" s="20"/>
      <c r="B342" s="21"/>
      <c r="C342" s="22"/>
      <c r="D342" s="22"/>
      <c r="E342" s="22"/>
      <c r="G342" s="22"/>
      <c r="H342" s="22"/>
      <c r="I342" s="22"/>
      <c r="K342" s="22"/>
      <c r="L342" s="22"/>
      <c r="M342" s="22"/>
      <c r="O342" s="22"/>
      <c r="P342" s="22"/>
      <c r="Q342" s="22"/>
      <c r="S342" s="22"/>
      <c r="T342" s="22"/>
      <c r="U342" s="22"/>
      <c r="W342" s="22"/>
      <c r="X342" s="22"/>
      <c r="Y342" s="22"/>
      <c r="AA342" s="22"/>
      <c r="AB342" s="22"/>
      <c r="AC342" s="22"/>
      <c r="AE342" s="24"/>
      <c r="AF342" s="24"/>
      <c r="AG342" s="24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6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4"/>
      <c r="GQ342" s="24"/>
      <c r="GR342" s="24"/>
    </row>
    <row r="343" spans="1:200" s="23" customFormat="1" ht="14.25" customHeight="1" x14ac:dyDescent="0.2">
      <c r="A343" s="20"/>
      <c r="B343" s="21"/>
      <c r="C343" s="22"/>
      <c r="D343" s="22"/>
      <c r="E343" s="22"/>
      <c r="G343" s="22"/>
      <c r="H343" s="22"/>
      <c r="I343" s="22"/>
      <c r="K343" s="22"/>
      <c r="L343" s="22"/>
      <c r="M343" s="22"/>
      <c r="O343" s="22"/>
      <c r="P343" s="22"/>
      <c r="Q343" s="22"/>
      <c r="S343" s="22"/>
      <c r="T343" s="22"/>
      <c r="U343" s="22"/>
      <c r="W343" s="22"/>
      <c r="X343" s="22"/>
      <c r="Y343" s="22"/>
      <c r="AA343" s="22"/>
      <c r="AB343" s="22"/>
      <c r="AC343" s="22"/>
      <c r="AE343" s="24"/>
      <c r="AF343" s="24"/>
      <c r="AG343" s="24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6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/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  <c r="FZ343" s="24"/>
      <c r="GA343" s="24"/>
      <c r="GB343" s="24"/>
      <c r="GC343" s="24"/>
      <c r="GD343" s="24"/>
      <c r="GE343" s="24"/>
      <c r="GF343" s="24"/>
      <c r="GG343" s="24"/>
      <c r="GH343" s="24"/>
      <c r="GI343" s="24"/>
      <c r="GJ343" s="24"/>
      <c r="GK343" s="24"/>
      <c r="GL343" s="24"/>
      <c r="GM343" s="24"/>
      <c r="GN343" s="24"/>
      <c r="GO343" s="24"/>
      <c r="GP343" s="24"/>
      <c r="GQ343" s="24"/>
      <c r="GR343" s="24"/>
    </row>
    <row r="344" spans="1:200" s="23" customFormat="1" ht="14.25" customHeight="1" x14ac:dyDescent="0.2">
      <c r="A344" s="20"/>
      <c r="B344" s="21"/>
      <c r="C344" s="22"/>
      <c r="D344" s="22"/>
      <c r="E344" s="22"/>
      <c r="G344" s="22"/>
      <c r="H344" s="22"/>
      <c r="I344" s="22"/>
      <c r="K344" s="22"/>
      <c r="L344" s="22"/>
      <c r="M344" s="22"/>
      <c r="O344" s="22"/>
      <c r="P344" s="22"/>
      <c r="Q344" s="22"/>
      <c r="S344" s="22"/>
      <c r="T344" s="22"/>
      <c r="U344" s="22"/>
      <c r="W344" s="22"/>
      <c r="X344" s="22"/>
      <c r="Y344" s="22"/>
      <c r="AA344" s="22"/>
      <c r="AB344" s="22"/>
      <c r="AC344" s="22"/>
      <c r="AE344" s="24"/>
      <c r="AF344" s="24"/>
      <c r="AG344" s="24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6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  <c r="FZ344" s="24"/>
      <c r="GA344" s="24"/>
      <c r="GB344" s="24"/>
      <c r="GC344" s="24"/>
      <c r="GD344" s="24"/>
      <c r="GE344" s="24"/>
      <c r="GF344" s="24"/>
      <c r="GG344" s="24"/>
      <c r="GH344" s="24"/>
      <c r="GI344" s="24"/>
      <c r="GJ344" s="24"/>
      <c r="GK344" s="24"/>
      <c r="GL344" s="24"/>
      <c r="GM344" s="24"/>
      <c r="GN344" s="24"/>
      <c r="GO344" s="24"/>
      <c r="GP344" s="24"/>
      <c r="GQ344" s="24"/>
      <c r="GR344" s="24"/>
    </row>
    <row r="345" spans="1:200" s="23" customFormat="1" ht="14.25" customHeight="1" x14ac:dyDescent="0.2">
      <c r="A345" s="20"/>
      <c r="B345" s="21"/>
      <c r="C345" s="22"/>
      <c r="D345" s="22"/>
      <c r="E345" s="22"/>
      <c r="G345" s="22"/>
      <c r="H345" s="22"/>
      <c r="I345" s="22"/>
      <c r="K345" s="22"/>
      <c r="L345" s="22"/>
      <c r="M345" s="22"/>
      <c r="O345" s="22"/>
      <c r="P345" s="22"/>
      <c r="Q345" s="22"/>
      <c r="S345" s="22"/>
      <c r="T345" s="22"/>
      <c r="U345" s="22"/>
      <c r="W345" s="22"/>
      <c r="X345" s="22"/>
      <c r="Y345" s="22"/>
      <c r="AA345" s="22"/>
      <c r="AB345" s="22"/>
      <c r="AC345" s="22"/>
      <c r="AE345" s="24"/>
      <c r="AF345" s="24"/>
      <c r="AG345" s="24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6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/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  <c r="FZ345" s="24"/>
      <c r="GA345" s="24"/>
      <c r="GB345" s="24"/>
      <c r="GC345" s="24"/>
      <c r="GD345" s="24"/>
      <c r="GE345" s="24"/>
      <c r="GF345" s="24"/>
      <c r="GG345" s="24"/>
      <c r="GH345" s="24"/>
      <c r="GI345" s="24"/>
      <c r="GJ345" s="24"/>
      <c r="GK345" s="24"/>
      <c r="GL345" s="24"/>
      <c r="GM345" s="24"/>
      <c r="GN345" s="24"/>
      <c r="GO345" s="24"/>
      <c r="GP345" s="24"/>
      <c r="GQ345" s="24"/>
      <c r="GR345" s="24"/>
    </row>
    <row r="346" spans="1:200" s="23" customFormat="1" ht="14.25" customHeight="1" x14ac:dyDescent="0.2">
      <c r="A346" s="20"/>
      <c r="B346" s="21"/>
      <c r="C346" s="22"/>
      <c r="D346" s="22"/>
      <c r="E346" s="22"/>
      <c r="G346" s="22"/>
      <c r="H346" s="22"/>
      <c r="I346" s="22"/>
      <c r="K346" s="22"/>
      <c r="L346" s="22"/>
      <c r="M346" s="22"/>
      <c r="O346" s="22"/>
      <c r="P346" s="22"/>
      <c r="Q346" s="22"/>
      <c r="S346" s="22"/>
      <c r="T346" s="22"/>
      <c r="U346" s="22"/>
      <c r="W346" s="22"/>
      <c r="X346" s="22"/>
      <c r="Y346" s="22"/>
      <c r="AA346" s="22"/>
      <c r="AB346" s="22"/>
      <c r="AC346" s="22"/>
      <c r="AE346" s="24"/>
      <c r="AF346" s="24"/>
      <c r="AG346" s="24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6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4"/>
      <c r="FC346" s="24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  <c r="FZ346" s="24"/>
      <c r="GA346" s="24"/>
      <c r="GB346" s="24"/>
      <c r="GC346" s="24"/>
      <c r="GD346" s="24"/>
      <c r="GE346" s="24"/>
      <c r="GF346" s="24"/>
      <c r="GG346" s="24"/>
      <c r="GH346" s="24"/>
      <c r="GI346" s="24"/>
      <c r="GJ346" s="24"/>
      <c r="GK346" s="24"/>
      <c r="GL346" s="24"/>
      <c r="GM346" s="24"/>
      <c r="GN346" s="24"/>
      <c r="GO346" s="24"/>
      <c r="GP346" s="24"/>
      <c r="GQ346" s="24"/>
      <c r="GR346" s="24"/>
    </row>
    <row r="347" spans="1:200" s="23" customFormat="1" ht="14.25" customHeight="1" x14ac:dyDescent="0.2">
      <c r="A347" s="20"/>
      <c r="B347" s="21"/>
      <c r="C347" s="22"/>
      <c r="D347" s="22"/>
      <c r="E347" s="22"/>
      <c r="G347" s="22"/>
      <c r="H347" s="22"/>
      <c r="I347" s="22"/>
      <c r="K347" s="22"/>
      <c r="L347" s="22"/>
      <c r="M347" s="22"/>
      <c r="O347" s="22"/>
      <c r="P347" s="22"/>
      <c r="Q347" s="22"/>
      <c r="S347" s="22"/>
      <c r="T347" s="22"/>
      <c r="U347" s="22"/>
      <c r="W347" s="22"/>
      <c r="X347" s="22"/>
      <c r="Y347" s="22"/>
      <c r="AA347" s="22"/>
      <c r="AB347" s="22"/>
      <c r="AC347" s="22"/>
      <c r="AE347" s="24"/>
      <c r="AF347" s="24"/>
      <c r="AG347" s="24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6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/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/>
      <c r="GP347" s="24"/>
      <c r="GQ347" s="24"/>
      <c r="GR347" s="24"/>
    </row>
    <row r="348" spans="1:200" s="23" customFormat="1" ht="14.25" customHeight="1" x14ac:dyDescent="0.2">
      <c r="A348" s="20"/>
      <c r="B348" s="21"/>
      <c r="C348" s="22"/>
      <c r="D348" s="22"/>
      <c r="E348" s="22"/>
      <c r="G348" s="22"/>
      <c r="H348" s="22"/>
      <c r="I348" s="22"/>
      <c r="K348" s="22"/>
      <c r="L348" s="22"/>
      <c r="M348" s="22"/>
      <c r="O348" s="22"/>
      <c r="P348" s="22"/>
      <c r="Q348" s="22"/>
      <c r="S348" s="22"/>
      <c r="T348" s="22"/>
      <c r="U348" s="22"/>
      <c r="W348" s="22"/>
      <c r="X348" s="22"/>
      <c r="Y348" s="22"/>
      <c r="AA348" s="22"/>
      <c r="AB348" s="22"/>
      <c r="AC348" s="22"/>
      <c r="AE348" s="24"/>
      <c r="AF348" s="24"/>
      <c r="AG348" s="24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6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/>
      <c r="FW348" s="24"/>
      <c r="FX348" s="24"/>
      <c r="FY348" s="24"/>
      <c r="FZ348" s="24"/>
      <c r="GA348" s="24"/>
      <c r="GB348" s="24"/>
      <c r="GC348" s="24"/>
      <c r="GD348" s="24"/>
      <c r="GE348" s="24"/>
      <c r="GF348" s="24"/>
      <c r="GG348" s="24"/>
      <c r="GH348" s="24"/>
      <c r="GI348" s="24"/>
      <c r="GJ348" s="24"/>
      <c r="GK348" s="24"/>
      <c r="GL348" s="24"/>
      <c r="GM348" s="24"/>
      <c r="GN348" s="24"/>
      <c r="GO348" s="24"/>
      <c r="GP348" s="24"/>
      <c r="GQ348" s="24"/>
      <c r="GR348" s="24"/>
    </row>
    <row r="349" spans="1:200" s="23" customFormat="1" ht="14.25" customHeight="1" x14ac:dyDescent="0.2">
      <c r="A349" s="20"/>
      <c r="B349" s="21"/>
      <c r="C349" s="22"/>
      <c r="D349" s="22"/>
      <c r="E349" s="22"/>
      <c r="G349" s="22"/>
      <c r="H349" s="22"/>
      <c r="I349" s="22"/>
      <c r="K349" s="22"/>
      <c r="L349" s="22"/>
      <c r="M349" s="22"/>
      <c r="O349" s="22"/>
      <c r="P349" s="22"/>
      <c r="Q349" s="22"/>
      <c r="S349" s="22"/>
      <c r="T349" s="22"/>
      <c r="U349" s="22"/>
      <c r="W349" s="22"/>
      <c r="X349" s="22"/>
      <c r="Y349" s="22"/>
      <c r="AA349" s="22"/>
      <c r="AB349" s="22"/>
      <c r="AC349" s="22"/>
      <c r="AE349" s="24"/>
      <c r="AF349" s="24"/>
      <c r="AG349" s="24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6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/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  <c r="FZ349" s="24"/>
      <c r="GA349" s="24"/>
      <c r="GB349" s="24"/>
      <c r="GC349" s="24"/>
      <c r="GD349" s="24"/>
      <c r="GE349" s="24"/>
      <c r="GF349" s="24"/>
      <c r="GG349" s="24"/>
      <c r="GH349" s="24"/>
      <c r="GI349" s="24"/>
      <c r="GJ349" s="24"/>
      <c r="GK349" s="24"/>
      <c r="GL349" s="24"/>
      <c r="GM349" s="24"/>
      <c r="GN349" s="24"/>
      <c r="GO349" s="24"/>
      <c r="GP349" s="24"/>
      <c r="GQ349" s="24"/>
      <c r="GR349" s="24"/>
    </row>
    <row r="350" spans="1:200" s="23" customFormat="1" ht="14.25" customHeight="1" x14ac:dyDescent="0.2">
      <c r="A350" s="20"/>
      <c r="B350" s="21"/>
      <c r="C350" s="22"/>
      <c r="D350" s="22"/>
      <c r="E350" s="22"/>
      <c r="G350" s="22"/>
      <c r="H350" s="22"/>
      <c r="I350" s="22"/>
      <c r="K350" s="22"/>
      <c r="L350" s="22"/>
      <c r="M350" s="22"/>
      <c r="O350" s="22"/>
      <c r="P350" s="22"/>
      <c r="Q350" s="22"/>
      <c r="S350" s="22"/>
      <c r="T350" s="22"/>
      <c r="U350" s="22"/>
      <c r="W350" s="22"/>
      <c r="X350" s="22"/>
      <c r="Y350" s="22"/>
      <c r="AA350" s="22"/>
      <c r="AB350" s="22"/>
      <c r="AC350" s="22"/>
      <c r="AE350" s="24"/>
      <c r="AF350" s="24"/>
      <c r="AG350" s="24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6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/>
      <c r="FS350" s="24"/>
      <c r="FT350" s="24"/>
      <c r="FU350" s="24"/>
      <c r="FV350" s="24"/>
      <c r="FW350" s="24"/>
      <c r="FX350" s="24"/>
      <c r="FY350" s="24"/>
      <c r="FZ350" s="24"/>
      <c r="GA350" s="24"/>
      <c r="GB350" s="24"/>
      <c r="GC350" s="24"/>
      <c r="GD350" s="24"/>
      <c r="GE350" s="24"/>
      <c r="GF350" s="24"/>
      <c r="GG350" s="24"/>
      <c r="GH350" s="24"/>
      <c r="GI350" s="24"/>
      <c r="GJ350" s="24"/>
      <c r="GK350" s="24"/>
      <c r="GL350" s="24"/>
      <c r="GM350" s="24"/>
      <c r="GN350" s="24"/>
      <c r="GO350" s="24"/>
      <c r="GP350" s="24"/>
      <c r="GQ350" s="24"/>
      <c r="GR350" s="24"/>
    </row>
    <row r="351" spans="1:200" s="23" customFormat="1" ht="14.25" customHeight="1" x14ac:dyDescent="0.2">
      <c r="A351" s="20"/>
      <c r="B351" s="21"/>
      <c r="C351" s="22"/>
      <c r="D351" s="22"/>
      <c r="E351" s="22"/>
      <c r="G351" s="22"/>
      <c r="H351" s="22"/>
      <c r="I351" s="22"/>
      <c r="K351" s="22"/>
      <c r="L351" s="22"/>
      <c r="M351" s="22"/>
      <c r="O351" s="22"/>
      <c r="P351" s="22"/>
      <c r="Q351" s="22"/>
      <c r="S351" s="22"/>
      <c r="T351" s="22"/>
      <c r="U351" s="22"/>
      <c r="W351" s="22"/>
      <c r="X351" s="22"/>
      <c r="Y351" s="22"/>
      <c r="AA351" s="22"/>
      <c r="AB351" s="22"/>
      <c r="AC351" s="22"/>
      <c r="AE351" s="24"/>
      <c r="AF351" s="24"/>
      <c r="AG351" s="24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6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/>
      <c r="EI351" s="24"/>
      <c r="EJ351" s="24"/>
      <c r="EK351" s="24"/>
      <c r="EL351" s="24"/>
      <c r="EM351" s="24"/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/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/>
      <c r="FQ351" s="24"/>
      <c r="FR351" s="24"/>
      <c r="FS351" s="24"/>
      <c r="FT351" s="24"/>
      <c r="FU351" s="24"/>
      <c r="FV351" s="24"/>
      <c r="FW351" s="24"/>
      <c r="FX351" s="24"/>
      <c r="FY351" s="24"/>
      <c r="FZ351" s="24"/>
      <c r="GA351" s="24"/>
      <c r="GB351" s="24"/>
      <c r="GC351" s="24"/>
      <c r="GD351" s="24"/>
      <c r="GE351" s="24"/>
      <c r="GF351" s="24"/>
      <c r="GG351" s="24"/>
      <c r="GH351" s="24"/>
      <c r="GI351" s="24"/>
      <c r="GJ351" s="24"/>
      <c r="GK351" s="24"/>
      <c r="GL351" s="24"/>
      <c r="GM351" s="24"/>
      <c r="GN351" s="24"/>
      <c r="GO351" s="24"/>
      <c r="GP351" s="24"/>
      <c r="GQ351" s="24"/>
      <c r="GR351" s="24"/>
    </row>
    <row r="352" spans="1:200" s="23" customFormat="1" ht="14.25" customHeight="1" x14ac:dyDescent="0.2">
      <c r="A352" s="20"/>
      <c r="B352" s="21"/>
      <c r="C352" s="22"/>
      <c r="D352" s="22"/>
      <c r="E352" s="22"/>
      <c r="G352" s="22"/>
      <c r="H352" s="22"/>
      <c r="I352" s="22"/>
      <c r="K352" s="22"/>
      <c r="L352" s="22"/>
      <c r="M352" s="22"/>
      <c r="O352" s="22"/>
      <c r="P352" s="22"/>
      <c r="Q352" s="22"/>
      <c r="S352" s="22"/>
      <c r="T352" s="22"/>
      <c r="U352" s="22"/>
      <c r="W352" s="22"/>
      <c r="X352" s="22"/>
      <c r="Y352" s="22"/>
      <c r="AA352" s="22"/>
      <c r="AB352" s="22"/>
      <c r="AC352" s="22"/>
      <c r="AE352" s="24"/>
      <c r="AF352" s="24"/>
      <c r="AG352" s="24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6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24"/>
      <c r="GQ352" s="24"/>
      <c r="GR352" s="24"/>
    </row>
    <row r="353" spans="1:200" s="23" customFormat="1" ht="14.25" customHeight="1" x14ac:dyDescent="0.2">
      <c r="A353" s="20"/>
      <c r="B353" s="21"/>
      <c r="C353" s="22"/>
      <c r="D353" s="22"/>
      <c r="E353" s="22"/>
      <c r="G353" s="22"/>
      <c r="H353" s="22"/>
      <c r="I353" s="22"/>
      <c r="K353" s="22"/>
      <c r="L353" s="22"/>
      <c r="M353" s="22"/>
      <c r="O353" s="22"/>
      <c r="P353" s="22"/>
      <c r="Q353" s="22"/>
      <c r="S353" s="22"/>
      <c r="T353" s="22"/>
      <c r="U353" s="22"/>
      <c r="W353" s="22"/>
      <c r="X353" s="22"/>
      <c r="Y353" s="22"/>
      <c r="AA353" s="22"/>
      <c r="AB353" s="22"/>
      <c r="AC353" s="22"/>
      <c r="AE353" s="24"/>
      <c r="AF353" s="24"/>
      <c r="AG353" s="24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6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/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  <c r="FZ353" s="24"/>
      <c r="GA353" s="24"/>
      <c r="GB353" s="24"/>
      <c r="GC353" s="24"/>
      <c r="GD353" s="24"/>
      <c r="GE353" s="24"/>
      <c r="GF353" s="24"/>
      <c r="GG353" s="24"/>
      <c r="GH353" s="24"/>
      <c r="GI353" s="24"/>
      <c r="GJ353" s="24"/>
      <c r="GK353" s="24"/>
      <c r="GL353" s="24"/>
      <c r="GM353" s="24"/>
      <c r="GN353" s="24"/>
      <c r="GO353" s="24"/>
      <c r="GP353" s="24"/>
      <c r="GQ353" s="24"/>
      <c r="GR353" s="24"/>
    </row>
    <row r="354" spans="1:200" s="23" customFormat="1" ht="14.25" customHeight="1" x14ac:dyDescent="0.2">
      <c r="A354" s="20"/>
      <c r="B354" s="21"/>
      <c r="C354" s="22"/>
      <c r="D354" s="22"/>
      <c r="E354" s="22"/>
      <c r="G354" s="22"/>
      <c r="H354" s="22"/>
      <c r="I354" s="22"/>
      <c r="K354" s="22"/>
      <c r="L354" s="22"/>
      <c r="M354" s="22"/>
      <c r="O354" s="22"/>
      <c r="P354" s="22"/>
      <c r="Q354" s="22"/>
      <c r="S354" s="22"/>
      <c r="T354" s="22"/>
      <c r="U354" s="22"/>
      <c r="W354" s="22"/>
      <c r="X354" s="22"/>
      <c r="Y354" s="22"/>
      <c r="AA354" s="22"/>
      <c r="AB354" s="22"/>
      <c r="AC354" s="22"/>
      <c r="AE354" s="24"/>
      <c r="AF354" s="24"/>
      <c r="AG354" s="24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6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4"/>
      <c r="EP354" s="24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  <c r="FZ354" s="24"/>
      <c r="GA354" s="24"/>
      <c r="GB354" s="24"/>
      <c r="GC354" s="24"/>
      <c r="GD354" s="24"/>
      <c r="GE354" s="24"/>
      <c r="GF354" s="24"/>
      <c r="GG354" s="24"/>
      <c r="GH354" s="24"/>
      <c r="GI354" s="24"/>
      <c r="GJ354" s="24"/>
      <c r="GK354" s="24"/>
      <c r="GL354" s="24"/>
      <c r="GM354" s="24"/>
      <c r="GN354" s="24"/>
      <c r="GO354" s="24"/>
      <c r="GP354" s="24"/>
      <c r="GQ354" s="24"/>
      <c r="GR354" s="24"/>
    </row>
    <row r="355" spans="1:200" s="23" customFormat="1" ht="14.25" customHeight="1" x14ac:dyDescent="0.2">
      <c r="A355" s="20"/>
      <c r="B355" s="21"/>
      <c r="C355" s="22"/>
      <c r="D355" s="22"/>
      <c r="E355" s="22"/>
      <c r="G355" s="22"/>
      <c r="H355" s="22"/>
      <c r="I355" s="22"/>
      <c r="K355" s="22"/>
      <c r="L355" s="22"/>
      <c r="M355" s="22"/>
      <c r="O355" s="22"/>
      <c r="P355" s="22"/>
      <c r="Q355" s="22"/>
      <c r="S355" s="22"/>
      <c r="T355" s="22"/>
      <c r="U355" s="22"/>
      <c r="W355" s="22"/>
      <c r="X355" s="22"/>
      <c r="Y355" s="22"/>
      <c r="AA355" s="22"/>
      <c r="AB355" s="22"/>
      <c r="AC355" s="22"/>
      <c r="AE355" s="24"/>
      <c r="AF355" s="24"/>
      <c r="AG355" s="24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6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/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/>
      <c r="FK355" s="24"/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  <c r="FZ355" s="24"/>
      <c r="GA355" s="24"/>
      <c r="GB355" s="24"/>
      <c r="GC355" s="24"/>
      <c r="GD355" s="24"/>
      <c r="GE355" s="24"/>
      <c r="GF355" s="24"/>
      <c r="GG355" s="24"/>
      <c r="GH355" s="24"/>
      <c r="GI355" s="24"/>
      <c r="GJ355" s="24"/>
      <c r="GK355" s="24"/>
      <c r="GL355" s="24"/>
      <c r="GM355" s="24"/>
      <c r="GN355" s="24"/>
      <c r="GO355" s="24"/>
      <c r="GP355" s="24"/>
      <c r="GQ355" s="24"/>
      <c r="GR355" s="24"/>
    </row>
    <row r="356" spans="1:200" s="23" customFormat="1" ht="14.25" customHeight="1" x14ac:dyDescent="0.2">
      <c r="A356" s="20"/>
      <c r="B356" s="21"/>
      <c r="C356" s="22"/>
      <c r="D356" s="22"/>
      <c r="E356" s="22"/>
      <c r="G356" s="22"/>
      <c r="H356" s="22"/>
      <c r="I356" s="22"/>
      <c r="K356" s="22"/>
      <c r="L356" s="22"/>
      <c r="M356" s="22"/>
      <c r="O356" s="22"/>
      <c r="P356" s="22"/>
      <c r="Q356" s="22"/>
      <c r="S356" s="22"/>
      <c r="T356" s="22"/>
      <c r="U356" s="22"/>
      <c r="W356" s="22"/>
      <c r="X356" s="22"/>
      <c r="Y356" s="22"/>
      <c r="AA356" s="22"/>
      <c r="AB356" s="22"/>
      <c r="AC356" s="22"/>
      <c r="AE356" s="24"/>
      <c r="AF356" s="24"/>
      <c r="AG356" s="24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6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  <c r="FZ356" s="24"/>
      <c r="GA356" s="24"/>
      <c r="GB356" s="24"/>
      <c r="GC356" s="24"/>
      <c r="GD356" s="24"/>
      <c r="GE356" s="24"/>
      <c r="GF356" s="24"/>
      <c r="GG356" s="24"/>
      <c r="GH356" s="24"/>
      <c r="GI356" s="24"/>
      <c r="GJ356" s="24"/>
      <c r="GK356" s="24"/>
      <c r="GL356" s="24"/>
      <c r="GM356" s="24"/>
      <c r="GN356" s="24"/>
      <c r="GO356" s="24"/>
      <c r="GP356" s="24"/>
      <c r="GQ356" s="24"/>
      <c r="GR356" s="24"/>
    </row>
    <row r="357" spans="1:200" s="23" customFormat="1" ht="14.25" customHeight="1" x14ac:dyDescent="0.2">
      <c r="A357" s="20"/>
      <c r="B357" s="21"/>
      <c r="C357" s="22"/>
      <c r="D357" s="22"/>
      <c r="E357" s="22"/>
      <c r="G357" s="22"/>
      <c r="H357" s="22"/>
      <c r="I357" s="22"/>
      <c r="K357" s="22"/>
      <c r="L357" s="22"/>
      <c r="M357" s="22"/>
      <c r="O357" s="22"/>
      <c r="P357" s="22"/>
      <c r="Q357" s="22"/>
      <c r="S357" s="22"/>
      <c r="T357" s="22"/>
      <c r="U357" s="22"/>
      <c r="W357" s="22"/>
      <c r="X357" s="22"/>
      <c r="Y357" s="22"/>
      <c r="AA357" s="22"/>
      <c r="AB357" s="22"/>
      <c r="AC357" s="22"/>
      <c r="AE357" s="24"/>
      <c r="AF357" s="24"/>
      <c r="AG357" s="24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6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/>
      <c r="DV357" s="24"/>
      <c r="DW357" s="24"/>
      <c r="DX357" s="24"/>
      <c r="DY357" s="24"/>
      <c r="DZ357" s="24"/>
      <c r="EA357" s="24"/>
      <c r="EB357" s="24"/>
      <c r="EC357" s="24"/>
      <c r="ED357" s="24"/>
      <c r="EE357" s="24"/>
      <c r="EF357" s="24"/>
      <c r="EG357" s="24"/>
      <c r="EH357" s="24"/>
      <c r="EI357" s="24"/>
      <c r="EJ357" s="24"/>
      <c r="EK357" s="24"/>
      <c r="EL357" s="24"/>
      <c r="EM357" s="24"/>
      <c r="EN357" s="24"/>
      <c r="EO357" s="24"/>
      <c r="EP357" s="24"/>
      <c r="EQ357" s="24"/>
      <c r="ER357" s="24"/>
      <c r="ES357" s="24"/>
      <c r="ET357" s="24"/>
      <c r="EU357" s="24"/>
      <c r="EV357" s="24"/>
      <c r="EW357" s="24"/>
      <c r="EX357" s="24"/>
      <c r="EY357" s="24"/>
      <c r="EZ357" s="24"/>
      <c r="FA357" s="24"/>
      <c r="FB357" s="24"/>
      <c r="FC357" s="24"/>
      <c r="FD357" s="24"/>
      <c r="FE357" s="24"/>
      <c r="FF357" s="24"/>
      <c r="FG357" s="24"/>
      <c r="FH357" s="24"/>
      <c r="FI357" s="24"/>
      <c r="FJ357" s="24"/>
      <c r="FK357" s="24"/>
      <c r="FL357" s="24"/>
      <c r="FM357" s="24"/>
      <c r="FN357" s="24"/>
      <c r="FO357" s="24"/>
      <c r="FP357" s="24"/>
      <c r="FQ357" s="24"/>
      <c r="FR357" s="24"/>
      <c r="FS357" s="24"/>
      <c r="FT357" s="24"/>
      <c r="FU357" s="24"/>
      <c r="FV357" s="24"/>
      <c r="FW357" s="24"/>
      <c r="FX357" s="24"/>
      <c r="FY357" s="24"/>
      <c r="FZ357" s="24"/>
      <c r="GA357" s="24"/>
      <c r="GB357" s="24"/>
      <c r="GC357" s="24"/>
      <c r="GD357" s="24"/>
      <c r="GE357" s="24"/>
      <c r="GF357" s="24"/>
      <c r="GG357" s="24"/>
      <c r="GH357" s="24"/>
      <c r="GI357" s="24"/>
      <c r="GJ357" s="24"/>
      <c r="GK357" s="24"/>
      <c r="GL357" s="24"/>
      <c r="GM357" s="24"/>
      <c r="GN357" s="24"/>
      <c r="GO357" s="24"/>
      <c r="GP357" s="24"/>
      <c r="GQ357" s="24"/>
      <c r="GR357" s="24"/>
    </row>
    <row r="358" spans="1:200" s="23" customFormat="1" ht="14.25" customHeight="1" x14ac:dyDescent="0.2">
      <c r="A358" s="20"/>
      <c r="B358" s="21"/>
      <c r="C358" s="22"/>
      <c r="D358" s="22"/>
      <c r="E358" s="22"/>
      <c r="G358" s="22"/>
      <c r="H358" s="22"/>
      <c r="I358" s="22"/>
      <c r="K358" s="22"/>
      <c r="L358" s="22"/>
      <c r="M358" s="22"/>
      <c r="O358" s="22"/>
      <c r="P358" s="22"/>
      <c r="Q358" s="22"/>
      <c r="S358" s="22"/>
      <c r="T358" s="22"/>
      <c r="U358" s="22"/>
      <c r="W358" s="22"/>
      <c r="X358" s="22"/>
      <c r="Y358" s="22"/>
      <c r="AA358" s="22"/>
      <c r="AB358" s="22"/>
      <c r="AC358" s="22"/>
      <c r="AE358" s="24"/>
      <c r="AF358" s="24"/>
      <c r="AG358" s="24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6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4"/>
      <c r="EC358" s="24"/>
      <c r="ED358" s="24"/>
      <c r="EE358" s="24"/>
      <c r="EF358" s="24"/>
      <c r="EG358" s="24"/>
      <c r="EH358" s="24"/>
      <c r="EI358" s="24"/>
      <c r="EJ358" s="24"/>
      <c r="EK358" s="24"/>
      <c r="EL358" s="24"/>
      <c r="EM358" s="24"/>
      <c r="EN358" s="24"/>
      <c r="EO358" s="24"/>
      <c r="EP358" s="24"/>
      <c r="EQ358" s="24"/>
      <c r="ER358" s="24"/>
      <c r="ES358" s="24"/>
      <c r="ET358" s="24"/>
      <c r="EU358" s="24"/>
      <c r="EV358" s="24"/>
      <c r="EW358" s="24"/>
      <c r="EX358" s="24"/>
      <c r="EY358" s="24"/>
      <c r="EZ358" s="24"/>
      <c r="FA358" s="24"/>
      <c r="FB358" s="24"/>
      <c r="FC358" s="24"/>
      <c r="FD358" s="24"/>
      <c r="FE358" s="24"/>
      <c r="FF358" s="24"/>
      <c r="FG358" s="24"/>
      <c r="FH358" s="24"/>
      <c r="FI358" s="24"/>
      <c r="FJ358" s="24"/>
      <c r="FK358" s="24"/>
      <c r="FL358" s="24"/>
      <c r="FM358" s="24"/>
      <c r="FN358" s="24"/>
      <c r="FO358" s="24"/>
      <c r="FP358" s="24"/>
      <c r="FQ358" s="24"/>
      <c r="FR358" s="24"/>
      <c r="FS358" s="24"/>
      <c r="FT358" s="24"/>
      <c r="FU358" s="24"/>
      <c r="FV358" s="24"/>
      <c r="FW358" s="24"/>
      <c r="FX358" s="24"/>
      <c r="FY358" s="24"/>
      <c r="FZ358" s="24"/>
      <c r="GA358" s="24"/>
      <c r="GB358" s="24"/>
      <c r="GC358" s="24"/>
      <c r="GD358" s="24"/>
      <c r="GE358" s="24"/>
      <c r="GF358" s="24"/>
      <c r="GG358" s="24"/>
      <c r="GH358" s="24"/>
      <c r="GI358" s="24"/>
      <c r="GJ358" s="24"/>
      <c r="GK358" s="24"/>
      <c r="GL358" s="24"/>
      <c r="GM358" s="24"/>
      <c r="GN358" s="24"/>
      <c r="GO358" s="24"/>
      <c r="GP358" s="24"/>
      <c r="GQ358" s="24"/>
      <c r="GR358" s="24"/>
    </row>
    <row r="359" spans="1:200" s="23" customFormat="1" ht="14.25" customHeight="1" x14ac:dyDescent="0.2">
      <c r="A359" s="20"/>
      <c r="B359" s="21"/>
      <c r="C359" s="22"/>
      <c r="D359" s="22"/>
      <c r="E359" s="22"/>
      <c r="G359" s="22"/>
      <c r="H359" s="22"/>
      <c r="I359" s="22"/>
      <c r="K359" s="22"/>
      <c r="L359" s="22"/>
      <c r="M359" s="22"/>
      <c r="O359" s="22"/>
      <c r="P359" s="22"/>
      <c r="Q359" s="22"/>
      <c r="S359" s="22"/>
      <c r="T359" s="22"/>
      <c r="U359" s="22"/>
      <c r="W359" s="22"/>
      <c r="X359" s="22"/>
      <c r="Y359" s="22"/>
      <c r="AA359" s="22"/>
      <c r="AB359" s="22"/>
      <c r="AC359" s="22"/>
      <c r="AE359" s="24"/>
      <c r="AF359" s="24"/>
      <c r="AG359" s="24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6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24"/>
      <c r="DJ359" s="24"/>
      <c r="DK359" s="24"/>
      <c r="DL359" s="24"/>
      <c r="DM359" s="24"/>
      <c r="DN359" s="24"/>
      <c r="DO359" s="24"/>
      <c r="DP359" s="24"/>
      <c r="DQ359" s="24"/>
      <c r="DR359" s="24"/>
      <c r="DS359" s="24"/>
      <c r="DT359" s="24"/>
      <c r="DU359" s="24"/>
      <c r="DV359" s="24"/>
      <c r="DW359" s="24"/>
      <c r="DX359" s="24"/>
      <c r="DY359" s="24"/>
      <c r="DZ359" s="24"/>
      <c r="EA359" s="24"/>
      <c r="EB359" s="24"/>
      <c r="EC359" s="24"/>
      <c r="ED359" s="24"/>
      <c r="EE359" s="24"/>
      <c r="EF359" s="24"/>
      <c r="EG359" s="24"/>
      <c r="EH359" s="24"/>
      <c r="EI359" s="24"/>
      <c r="EJ359" s="24"/>
      <c r="EK359" s="24"/>
      <c r="EL359" s="24"/>
      <c r="EM359" s="24"/>
      <c r="EN359" s="24"/>
      <c r="EO359" s="24"/>
      <c r="EP359" s="24"/>
      <c r="EQ359" s="24"/>
      <c r="ER359" s="24"/>
      <c r="ES359" s="24"/>
      <c r="ET359" s="24"/>
      <c r="EU359" s="24"/>
      <c r="EV359" s="24"/>
      <c r="EW359" s="24"/>
      <c r="EX359" s="24"/>
      <c r="EY359" s="24"/>
      <c r="EZ359" s="24"/>
      <c r="FA359" s="24"/>
      <c r="FB359" s="24"/>
      <c r="FC359" s="24"/>
      <c r="FD359" s="24"/>
      <c r="FE359" s="24"/>
      <c r="FF359" s="24"/>
      <c r="FG359" s="24"/>
      <c r="FH359" s="24"/>
      <c r="FI359" s="24"/>
      <c r="FJ359" s="24"/>
      <c r="FK359" s="24"/>
      <c r="FL359" s="24"/>
      <c r="FM359" s="24"/>
      <c r="FN359" s="24"/>
      <c r="FO359" s="24"/>
      <c r="FP359" s="24"/>
      <c r="FQ359" s="24"/>
      <c r="FR359" s="24"/>
      <c r="FS359" s="24"/>
      <c r="FT359" s="24"/>
      <c r="FU359" s="24"/>
      <c r="FV359" s="24"/>
      <c r="FW359" s="24"/>
      <c r="FX359" s="24"/>
      <c r="FY359" s="24"/>
      <c r="FZ359" s="24"/>
      <c r="GA359" s="24"/>
      <c r="GB359" s="24"/>
      <c r="GC359" s="24"/>
      <c r="GD359" s="24"/>
      <c r="GE359" s="24"/>
      <c r="GF359" s="24"/>
      <c r="GG359" s="24"/>
      <c r="GH359" s="24"/>
      <c r="GI359" s="24"/>
      <c r="GJ359" s="24"/>
      <c r="GK359" s="24"/>
      <c r="GL359" s="24"/>
      <c r="GM359" s="24"/>
      <c r="GN359" s="24"/>
      <c r="GO359" s="24"/>
      <c r="GP359" s="24"/>
      <c r="GQ359" s="24"/>
      <c r="GR359" s="24"/>
    </row>
    <row r="360" spans="1:200" s="23" customFormat="1" ht="14.25" customHeight="1" x14ac:dyDescent="0.2">
      <c r="A360" s="20"/>
      <c r="B360" s="21"/>
      <c r="C360" s="22"/>
      <c r="D360" s="22"/>
      <c r="E360" s="22"/>
      <c r="G360" s="22"/>
      <c r="H360" s="22"/>
      <c r="I360" s="22"/>
      <c r="K360" s="22"/>
      <c r="L360" s="22"/>
      <c r="M360" s="22"/>
      <c r="O360" s="22"/>
      <c r="P360" s="22"/>
      <c r="Q360" s="22"/>
      <c r="S360" s="22"/>
      <c r="T360" s="22"/>
      <c r="U360" s="22"/>
      <c r="W360" s="22"/>
      <c r="X360" s="22"/>
      <c r="Y360" s="22"/>
      <c r="AA360" s="22"/>
      <c r="AB360" s="22"/>
      <c r="AC360" s="22"/>
      <c r="AE360" s="24"/>
      <c r="AF360" s="24"/>
      <c r="AG360" s="24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6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24"/>
      <c r="DJ360" s="24"/>
      <c r="DK360" s="24"/>
      <c r="DL360" s="24"/>
      <c r="DM360" s="24"/>
      <c r="DN360" s="24"/>
      <c r="DO360" s="24"/>
      <c r="DP360" s="24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4"/>
      <c r="EC360" s="24"/>
      <c r="ED360" s="24"/>
      <c r="EE360" s="24"/>
      <c r="EF360" s="24"/>
      <c r="EG360" s="24"/>
      <c r="EH360" s="24"/>
      <c r="EI360" s="24"/>
      <c r="EJ360" s="24"/>
      <c r="EK360" s="24"/>
      <c r="EL360" s="24"/>
      <c r="EM360" s="24"/>
      <c r="EN360" s="24"/>
      <c r="EO360" s="24"/>
      <c r="EP360" s="24"/>
      <c r="EQ360" s="24"/>
      <c r="ER360" s="24"/>
      <c r="ES360" s="24"/>
      <c r="ET360" s="24"/>
      <c r="EU360" s="24"/>
      <c r="EV360" s="24"/>
      <c r="EW360" s="24"/>
      <c r="EX360" s="24"/>
      <c r="EY360" s="24"/>
      <c r="EZ360" s="24"/>
      <c r="FA360" s="24"/>
      <c r="FB360" s="24"/>
      <c r="FC360" s="24"/>
      <c r="FD360" s="24"/>
      <c r="FE360" s="24"/>
      <c r="FF360" s="24"/>
      <c r="FG360" s="24"/>
      <c r="FH360" s="24"/>
      <c r="FI360" s="24"/>
      <c r="FJ360" s="24"/>
      <c r="FK360" s="24"/>
      <c r="FL360" s="24"/>
      <c r="FM360" s="24"/>
      <c r="FN360" s="24"/>
      <c r="FO360" s="24"/>
      <c r="FP360" s="24"/>
      <c r="FQ360" s="24"/>
      <c r="FR360" s="24"/>
      <c r="FS360" s="24"/>
      <c r="FT360" s="24"/>
      <c r="FU360" s="24"/>
      <c r="FV360" s="24"/>
      <c r="FW360" s="24"/>
      <c r="FX360" s="24"/>
      <c r="FY360" s="24"/>
      <c r="FZ360" s="24"/>
      <c r="GA360" s="24"/>
      <c r="GB360" s="24"/>
      <c r="GC360" s="24"/>
      <c r="GD360" s="24"/>
      <c r="GE360" s="24"/>
      <c r="GF360" s="24"/>
      <c r="GG360" s="24"/>
      <c r="GH360" s="24"/>
      <c r="GI360" s="24"/>
      <c r="GJ360" s="24"/>
      <c r="GK360" s="24"/>
      <c r="GL360" s="24"/>
      <c r="GM360" s="24"/>
      <c r="GN360" s="24"/>
      <c r="GO360" s="24"/>
      <c r="GP360" s="24"/>
      <c r="GQ360" s="24"/>
      <c r="GR360" s="24"/>
    </row>
    <row r="361" spans="1:200" s="23" customFormat="1" ht="14.25" customHeight="1" x14ac:dyDescent="0.2">
      <c r="A361" s="20"/>
      <c r="B361" s="21"/>
      <c r="C361" s="22"/>
      <c r="D361" s="22"/>
      <c r="E361" s="22"/>
      <c r="G361" s="22"/>
      <c r="H361" s="22"/>
      <c r="I361" s="22"/>
      <c r="K361" s="22"/>
      <c r="L361" s="22"/>
      <c r="M361" s="22"/>
      <c r="O361" s="22"/>
      <c r="P361" s="22"/>
      <c r="Q361" s="22"/>
      <c r="S361" s="22"/>
      <c r="T361" s="22"/>
      <c r="U361" s="22"/>
      <c r="W361" s="22"/>
      <c r="X361" s="22"/>
      <c r="Y361" s="22"/>
      <c r="AA361" s="22"/>
      <c r="AB361" s="22"/>
      <c r="AC361" s="22"/>
      <c r="AE361" s="24"/>
      <c r="AF361" s="24"/>
      <c r="AG361" s="24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6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24"/>
      <c r="DJ361" s="24"/>
      <c r="DK361" s="24"/>
      <c r="DL361" s="24"/>
      <c r="DM361" s="24"/>
      <c r="DN361" s="24"/>
      <c r="DO361" s="24"/>
      <c r="DP361" s="24"/>
      <c r="DQ361" s="24"/>
      <c r="DR361" s="24"/>
      <c r="DS361" s="24"/>
      <c r="DT361" s="24"/>
      <c r="DU361" s="24"/>
      <c r="DV361" s="24"/>
      <c r="DW361" s="24"/>
      <c r="DX361" s="24"/>
      <c r="DY361" s="24"/>
      <c r="DZ361" s="24"/>
      <c r="EA361" s="24"/>
      <c r="EB361" s="24"/>
      <c r="EC361" s="24"/>
      <c r="ED361" s="24"/>
      <c r="EE361" s="24"/>
      <c r="EF361" s="24"/>
      <c r="EG361" s="24"/>
      <c r="EH361" s="24"/>
      <c r="EI361" s="24"/>
      <c r="EJ361" s="24"/>
      <c r="EK361" s="24"/>
      <c r="EL361" s="24"/>
      <c r="EM361" s="24"/>
      <c r="EN361" s="24"/>
      <c r="EO361" s="24"/>
      <c r="EP361" s="24"/>
      <c r="EQ361" s="24"/>
      <c r="ER361" s="24"/>
      <c r="ES361" s="24"/>
      <c r="ET361" s="24"/>
      <c r="EU361" s="24"/>
      <c r="EV361" s="24"/>
      <c r="EW361" s="24"/>
      <c r="EX361" s="24"/>
      <c r="EY361" s="24"/>
      <c r="EZ361" s="24"/>
      <c r="FA361" s="24"/>
      <c r="FB361" s="24"/>
      <c r="FC361" s="24"/>
      <c r="FD361" s="24"/>
      <c r="FE361" s="24"/>
      <c r="FF361" s="24"/>
      <c r="FG361" s="24"/>
      <c r="FH361" s="24"/>
      <c r="FI361" s="24"/>
      <c r="FJ361" s="24"/>
      <c r="FK361" s="24"/>
      <c r="FL361" s="24"/>
      <c r="FM361" s="24"/>
      <c r="FN361" s="24"/>
      <c r="FO361" s="24"/>
      <c r="FP361" s="24"/>
      <c r="FQ361" s="24"/>
      <c r="FR361" s="24"/>
      <c r="FS361" s="24"/>
      <c r="FT361" s="24"/>
      <c r="FU361" s="24"/>
      <c r="FV361" s="24"/>
      <c r="FW361" s="24"/>
      <c r="FX361" s="24"/>
      <c r="FY361" s="24"/>
      <c r="FZ361" s="24"/>
      <c r="GA361" s="24"/>
      <c r="GB361" s="24"/>
      <c r="GC361" s="24"/>
      <c r="GD361" s="24"/>
      <c r="GE361" s="24"/>
      <c r="GF361" s="24"/>
      <c r="GG361" s="24"/>
      <c r="GH361" s="24"/>
      <c r="GI361" s="24"/>
      <c r="GJ361" s="24"/>
      <c r="GK361" s="24"/>
      <c r="GL361" s="24"/>
      <c r="GM361" s="24"/>
      <c r="GN361" s="24"/>
      <c r="GO361" s="24"/>
      <c r="GP361" s="24"/>
      <c r="GQ361" s="24"/>
      <c r="GR361" s="24"/>
    </row>
    <row r="362" spans="1:200" s="23" customFormat="1" ht="14.25" customHeight="1" x14ac:dyDescent="0.2">
      <c r="A362" s="20"/>
      <c r="B362" s="21"/>
      <c r="C362" s="22"/>
      <c r="D362" s="22"/>
      <c r="E362" s="22"/>
      <c r="G362" s="22"/>
      <c r="H362" s="22"/>
      <c r="I362" s="22"/>
      <c r="K362" s="22"/>
      <c r="L362" s="22"/>
      <c r="M362" s="22"/>
      <c r="O362" s="22"/>
      <c r="P362" s="22"/>
      <c r="Q362" s="22"/>
      <c r="S362" s="22"/>
      <c r="T362" s="22"/>
      <c r="U362" s="22"/>
      <c r="W362" s="22"/>
      <c r="X362" s="22"/>
      <c r="Y362" s="22"/>
      <c r="AA362" s="22"/>
      <c r="AB362" s="22"/>
      <c r="AC362" s="22"/>
      <c r="AE362" s="24"/>
      <c r="AF362" s="24"/>
      <c r="AG362" s="24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6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  <c r="DI362" s="24"/>
      <c r="DJ362" s="24"/>
      <c r="DK362" s="24"/>
      <c r="DL362" s="24"/>
      <c r="DM362" s="24"/>
      <c r="DN362" s="24"/>
      <c r="DO362" s="24"/>
      <c r="DP362" s="24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4"/>
      <c r="EC362" s="24"/>
      <c r="ED362" s="24"/>
      <c r="EE362" s="24"/>
      <c r="EF362" s="24"/>
      <c r="EG362" s="24"/>
      <c r="EH362" s="24"/>
      <c r="EI362" s="24"/>
      <c r="EJ362" s="24"/>
      <c r="EK362" s="24"/>
      <c r="EL362" s="24"/>
      <c r="EM362" s="24"/>
      <c r="EN362" s="24"/>
      <c r="EO362" s="24"/>
      <c r="EP362" s="24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/>
      <c r="FA362" s="24"/>
      <c r="FB362" s="24"/>
      <c r="FC362" s="24"/>
      <c r="FD362" s="24"/>
      <c r="FE362" s="24"/>
      <c r="FF362" s="24"/>
      <c r="FG362" s="24"/>
      <c r="FH362" s="24"/>
      <c r="FI362" s="24"/>
      <c r="FJ362" s="24"/>
      <c r="FK362" s="24"/>
      <c r="FL362" s="24"/>
      <c r="FM362" s="24"/>
      <c r="FN362" s="24"/>
      <c r="FO362" s="24"/>
      <c r="FP362" s="24"/>
      <c r="FQ362" s="24"/>
      <c r="FR362" s="24"/>
      <c r="FS362" s="24"/>
      <c r="FT362" s="24"/>
      <c r="FU362" s="24"/>
      <c r="FV362" s="24"/>
      <c r="FW362" s="24"/>
      <c r="FX362" s="24"/>
      <c r="FY362" s="24"/>
      <c r="FZ362" s="24"/>
      <c r="GA362" s="24"/>
      <c r="GB362" s="24"/>
      <c r="GC362" s="24"/>
      <c r="GD362" s="24"/>
      <c r="GE362" s="24"/>
      <c r="GF362" s="24"/>
      <c r="GG362" s="24"/>
      <c r="GH362" s="24"/>
      <c r="GI362" s="24"/>
      <c r="GJ362" s="24"/>
      <c r="GK362" s="24"/>
      <c r="GL362" s="24"/>
      <c r="GM362" s="24"/>
      <c r="GN362" s="24"/>
      <c r="GO362" s="24"/>
      <c r="GP362" s="24"/>
      <c r="GQ362" s="24"/>
      <c r="GR362" s="24"/>
    </row>
    <row r="363" spans="1:200" s="23" customFormat="1" ht="14.25" customHeight="1" x14ac:dyDescent="0.2">
      <c r="A363" s="20"/>
      <c r="B363" s="21"/>
      <c r="C363" s="22"/>
      <c r="D363" s="22"/>
      <c r="E363" s="22"/>
      <c r="G363" s="22"/>
      <c r="H363" s="22"/>
      <c r="I363" s="22"/>
      <c r="K363" s="22"/>
      <c r="L363" s="22"/>
      <c r="M363" s="22"/>
      <c r="O363" s="22"/>
      <c r="P363" s="22"/>
      <c r="Q363" s="22"/>
      <c r="S363" s="22"/>
      <c r="T363" s="22"/>
      <c r="U363" s="22"/>
      <c r="W363" s="22"/>
      <c r="X363" s="22"/>
      <c r="Y363" s="22"/>
      <c r="AA363" s="22"/>
      <c r="AB363" s="22"/>
      <c r="AC363" s="22"/>
      <c r="AE363" s="24"/>
      <c r="AF363" s="24"/>
      <c r="AG363" s="24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6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24"/>
      <c r="DJ363" s="24"/>
      <c r="DK363" s="24"/>
      <c r="DL363" s="24"/>
      <c r="DM363" s="24"/>
      <c r="DN363" s="24"/>
      <c r="DO363" s="24"/>
      <c r="DP363" s="24"/>
      <c r="DQ363" s="24"/>
      <c r="DR363" s="24"/>
      <c r="DS363" s="24"/>
      <c r="DT363" s="24"/>
      <c r="DU363" s="24"/>
      <c r="DV363" s="24"/>
      <c r="DW363" s="24"/>
      <c r="DX363" s="24"/>
      <c r="DY363" s="24"/>
      <c r="DZ363" s="24"/>
      <c r="EA363" s="24"/>
      <c r="EB363" s="24"/>
      <c r="EC363" s="24"/>
      <c r="ED363" s="24"/>
      <c r="EE363" s="24"/>
      <c r="EF363" s="24"/>
      <c r="EG363" s="24"/>
      <c r="EH363" s="24"/>
      <c r="EI363" s="24"/>
      <c r="EJ363" s="24"/>
      <c r="EK363" s="24"/>
      <c r="EL363" s="24"/>
      <c r="EM363" s="24"/>
      <c r="EN363" s="24"/>
      <c r="EO363" s="24"/>
      <c r="EP363" s="24"/>
      <c r="EQ363" s="24"/>
      <c r="ER363" s="24"/>
      <c r="ES363" s="24"/>
      <c r="ET363" s="24"/>
      <c r="EU363" s="24"/>
      <c r="EV363" s="24"/>
      <c r="EW363" s="24"/>
      <c r="EX363" s="24"/>
      <c r="EY363" s="24"/>
      <c r="EZ363" s="24"/>
      <c r="FA363" s="24"/>
      <c r="FB363" s="24"/>
      <c r="FC363" s="24"/>
      <c r="FD363" s="24"/>
      <c r="FE363" s="24"/>
      <c r="FF363" s="24"/>
      <c r="FG363" s="24"/>
      <c r="FH363" s="24"/>
      <c r="FI363" s="24"/>
      <c r="FJ363" s="24"/>
      <c r="FK363" s="24"/>
      <c r="FL363" s="24"/>
      <c r="FM363" s="24"/>
      <c r="FN363" s="24"/>
      <c r="FO363" s="24"/>
      <c r="FP363" s="24"/>
      <c r="FQ363" s="24"/>
      <c r="FR363" s="24"/>
      <c r="FS363" s="24"/>
      <c r="FT363" s="24"/>
      <c r="FU363" s="24"/>
      <c r="FV363" s="24"/>
      <c r="FW363" s="24"/>
      <c r="FX363" s="24"/>
      <c r="FY363" s="24"/>
      <c r="FZ363" s="24"/>
      <c r="GA363" s="24"/>
      <c r="GB363" s="24"/>
      <c r="GC363" s="24"/>
      <c r="GD363" s="24"/>
      <c r="GE363" s="24"/>
      <c r="GF363" s="24"/>
      <c r="GG363" s="24"/>
      <c r="GH363" s="24"/>
      <c r="GI363" s="24"/>
      <c r="GJ363" s="24"/>
      <c r="GK363" s="24"/>
      <c r="GL363" s="24"/>
      <c r="GM363" s="24"/>
      <c r="GN363" s="24"/>
      <c r="GO363" s="24"/>
      <c r="GP363" s="24"/>
      <c r="GQ363" s="24"/>
      <c r="GR363" s="24"/>
    </row>
    <row r="364" spans="1:200" s="23" customFormat="1" ht="14.25" customHeight="1" x14ac:dyDescent="0.2">
      <c r="A364" s="20"/>
      <c r="B364" s="21"/>
      <c r="C364" s="22"/>
      <c r="D364" s="22"/>
      <c r="E364" s="22"/>
      <c r="G364" s="22"/>
      <c r="H364" s="22"/>
      <c r="I364" s="22"/>
      <c r="K364" s="22"/>
      <c r="L364" s="22"/>
      <c r="M364" s="22"/>
      <c r="O364" s="22"/>
      <c r="P364" s="22"/>
      <c r="Q364" s="22"/>
      <c r="S364" s="22"/>
      <c r="T364" s="22"/>
      <c r="U364" s="22"/>
      <c r="W364" s="22"/>
      <c r="X364" s="22"/>
      <c r="Y364" s="22"/>
      <c r="AA364" s="22"/>
      <c r="AB364" s="22"/>
      <c r="AC364" s="22"/>
      <c r="AE364" s="24"/>
      <c r="AF364" s="24"/>
      <c r="AG364" s="24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6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  <c r="DI364" s="24"/>
      <c r="DJ364" s="24"/>
      <c r="DK364" s="24"/>
      <c r="DL364" s="24"/>
      <c r="DM364" s="24"/>
      <c r="DN364" s="24"/>
      <c r="DO364" s="24"/>
      <c r="DP364" s="24"/>
      <c r="DQ364" s="24"/>
      <c r="DR364" s="24"/>
      <c r="DS364" s="24"/>
      <c r="DT364" s="24"/>
      <c r="DU364" s="24"/>
      <c r="DV364" s="24"/>
      <c r="DW364" s="24"/>
      <c r="DX364" s="24"/>
      <c r="DY364" s="24"/>
      <c r="DZ364" s="24"/>
      <c r="EA364" s="24"/>
      <c r="EB364" s="24"/>
      <c r="EC364" s="24"/>
      <c r="ED364" s="24"/>
      <c r="EE364" s="24"/>
      <c r="EF364" s="24"/>
      <c r="EG364" s="24"/>
      <c r="EH364" s="24"/>
      <c r="EI364" s="24"/>
      <c r="EJ364" s="24"/>
      <c r="EK364" s="24"/>
      <c r="EL364" s="24"/>
      <c r="EM364" s="24"/>
      <c r="EN364" s="24"/>
      <c r="EO364" s="24"/>
      <c r="EP364" s="24"/>
      <c r="EQ364" s="24"/>
      <c r="ER364" s="24"/>
      <c r="ES364" s="24"/>
      <c r="ET364" s="24"/>
      <c r="EU364" s="24"/>
      <c r="EV364" s="24"/>
      <c r="EW364" s="24"/>
      <c r="EX364" s="24"/>
      <c r="EY364" s="24"/>
      <c r="EZ364" s="24"/>
      <c r="FA364" s="24"/>
      <c r="FB364" s="24"/>
      <c r="FC364" s="24"/>
      <c r="FD364" s="24"/>
      <c r="FE364" s="24"/>
      <c r="FF364" s="24"/>
      <c r="FG364" s="24"/>
      <c r="FH364" s="24"/>
      <c r="FI364" s="24"/>
      <c r="FJ364" s="24"/>
      <c r="FK364" s="24"/>
      <c r="FL364" s="24"/>
      <c r="FM364" s="24"/>
      <c r="FN364" s="24"/>
      <c r="FO364" s="24"/>
      <c r="FP364" s="24"/>
      <c r="FQ364" s="24"/>
      <c r="FR364" s="24"/>
      <c r="FS364" s="24"/>
      <c r="FT364" s="24"/>
      <c r="FU364" s="24"/>
      <c r="FV364" s="24"/>
      <c r="FW364" s="24"/>
      <c r="FX364" s="24"/>
      <c r="FY364" s="24"/>
      <c r="FZ364" s="24"/>
      <c r="GA364" s="24"/>
      <c r="GB364" s="24"/>
      <c r="GC364" s="24"/>
      <c r="GD364" s="24"/>
      <c r="GE364" s="24"/>
      <c r="GF364" s="24"/>
      <c r="GG364" s="24"/>
      <c r="GH364" s="24"/>
      <c r="GI364" s="24"/>
      <c r="GJ364" s="24"/>
      <c r="GK364" s="24"/>
      <c r="GL364" s="24"/>
      <c r="GM364" s="24"/>
      <c r="GN364" s="24"/>
      <c r="GO364" s="24"/>
      <c r="GP364" s="24"/>
      <c r="GQ364" s="24"/>
      <c r="GR364" s="24"/>
    </row>
    <row r="365" spans="1:200" s="23" customFormat="1" ht="14.25" customHeight="1" x14ac:dyDescent="0.2">
      <c r="A365" s="20"/>
      <c r="B365" s="21"/>
      <c r="C365" s="22"/>
      <c r="D365" s="22"/>
      <c r="E365" s="22"/>
      <c r="G365" s="22"/>
      <c r="H365" s="22"/>
      <c r="I365" s="22"/>
      <c r="K365" s="22"/>
      <c r="L365" s="22"/>
      <c r="M365" s="22"/>
      <c r="O365" s="22"/>
      <c r="P365" s="22"/>
      <c r="Q365" s="22"/>
      <c r="S365" s="22"/>
      <c r="T365" s="22"/>
      <c r="U365" s="22"/>
      <c r="W365" s="22"/>
      <c r="X365" s="22"/>
      <c r="Y365" s="22"/>
      <c r="AA365" s="22"/>
      <c r="AB365" s="22"/>
      <c r="AC365" s="22"/>
      <c r="AE365" s="24"/>
      <c r="AF365" s="24"/>
      <c r="AG365" s="24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6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24"/>
      <c r="DJ365" s="24"/>
      <c r="DK365" s="24"/>
      <c r="DL365" s="24"/>
      <c r="DM365" s="24"/>
      <c r="DN365" s="24"/>
      <c r="DO365" s="24"/>
      <c r="DP365" s="24"/>
      <c r="DQ365" s="24"/>
      <c r="DR365" s="24"/>
      <c r="DS365" s="24"/>
      <c r="DT365" s="24"/>
      <c r="DU365" s="24"/>
      <c r="DV365" s="24"/>
      <c r="DW365" s="24"/>
      <c r="DX365" s="24"/>
      <c r="DY365" s="24"/>
      <c r="DZ365" s="24"/>
      <c r="EA365" s="24"/>
      <c r="EB365" s="24"/>
      <c r="EC365" s="24"/>
      <c r="ED365" s="24"/>
      <c r="EE365" s="24"/>
      <c r="EF365" s="24"/>
      <c r="EG365" s="24"/>
      <c r="EH365" s="24"/>
      <c r="EI365" s="24"/>
      <c r="EJ365" s="24"/>
      <c r="EK365" s="24"/>
      <c r="EL365" s="24"/>
      <c r="EM365" s="24"/>
      <c r="EN365" s="24"/>
      <c r="EO365" s="24"/>
      <c r="EP365" s="24"/>
      <c r="EQ365" s="24"/>
      <c r="ER365" s="24"/>
      <c r="ES365" s="24"/>
      <c r="ET365" s="24"/>
      <c r="EU365" s="24"/>
      <c r="EV365" s="24"/>
      <c r="EW365" s="24"/>
      <c r="EX365" s="24"/>
      <c r="EY365" s="24"/>
      <c r="EZ365" s="24"/>
      <c r="FA365" s="24"/>
      <c r="FB365" s="24"/>
      <c r="FC365" s="24"/>
      <c r="FD365" s="24"/>
      <c r="FE365" s="24"/>
      <c r="FF365" s="24"/>
      <c r="FG365" s="24"/>
      <c r="FH365" s="24"/>
      <c r="FI365" s="24"/>
      <c r="FJ365" s="24"/>
      <c r="FK365" s="24"/>
      <c r="FL365" s="24"/>
      <c r="FM365" s="24"/>
      <c r="FN365" s="24"/>
      <c r="FO365" s="24"/>
      <c r="FP365" s="24"/>
      <c r="FQ365" s="24"/>
      <c r="FR365" s="24"/>
      <c r="FS365" s="24"/>
      <c r="FT365" s="24"/>
      <c r="FU365" s="24"/>
      <c r="FV365" s="24"/>
      <c r="FW365" s="24"/>
      <c r="FX365" s="24"/>
      <c r="FY365" s="24"/>
      <c r="FZ365" s="24"/>
      <c r="GA365" s="24"/>
      <c r="GB365" s="24"/>
      <c r="GC365" s="24"/>
      <c r="GD365" s="24"/>
      <c r="GE365" s="24"/>
      <c r="GF365" s="24"/>
      <c r="GG365" s="24"/>
      <c r="GH365" s="24"/>
      <c r="GI365" s="24"/>
      <c r="GJ365" s="24"/>
      <c r="GK365" s="24"/>
      <c r="GL365" s="24"/>
      <c r="GM365" s="24"/>
      <c r="GN365" s="24"/>
      <c r="GO365" s="24"/>
      <c r="GP365" s="24"/>
      <c r="GQ365" s="24"/>
      <c r="GR365" s="24"/>
    </row>
    <row r="366" spans="1:200" s="23" customFormat="1" ht="14.25" customHeight="1" x14ac:dyDescent="0.2">
      <c r="A366" s="20"/>
      <c r="B366" s="21"/>
      <c r="C366" s="22"/>
      <c r="D366" s="22"/>
      <c r="E366" s="22"/>
      <c r="G366" s="22"/>
      <c r="H366" s="22"/>
      <c r="I366" s="22"/>
      <c r="K366" s="22"/>
      <c r="L366" s="22"/>
      <c r="M366" s="22"/>
      <c r="O366" s="22"/>
      <c r="P366" s="22"/>
      <c r="Q366" s="22"/>
      <c r="S366" s="22"/>
      <c r="T366" s="22"/>
      <c r="U366" s="22"/>
      <c r="W366" s="22"/>
      <c r="X366" s="22"/>
      <c r="Y366" s="22"/>
      <c r="AA366" s="22"/>
      <c r="AB366" s="22"/>
      <c r="AC366" s="22"/>
      <c r="AE366" s="24"/>
      <c r="AF366" s="24"/>
      <c r="AG366" s="24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6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24"/>
      <c r="EC366" s="24"/>
      <c r="ED366" s="24"/>
      <c r="EE366" s="24"/>
      <c r="EF366" s="24"/>
      <c r="EG366" s="24"/>
      <c r="EH366" s="24"/>
      <c r="EI366" s="24"/>
      <c r="EJ366" s="24"/>
      <c r="EK366" s="24"/>
      <c r="EL366" s="24"/>
      <c r="EM366" s="24"/>
      <c r="EN366" s="24"/>
      <c r="EO366" s="24"/>
      <c r="EP366" s="24"/>
      <c r="EQ366" s="24"/>
      <c r="ER366" s="24"/>
      <c r="ES366" s="24"/>
      <c r="ET366" s="24"/>
      <c r="EU366" s="24"/>
      <c r="EV366" s="24"/>
      <c r="EW366" s="24"/>
      <c r="EX366" s="24"/>
      <c r="EY366" s="24"/>
      <c r="EZ366" s="24"/>
      <c r="FA366" s="24"/>
      <c r="FB366" s="24"/>
      <c r="FC366" s="24"/>
      <c r="FD366" s="24"/>
      <c r="FE366" s="24"/>
      <c r="FF366" s="24"/>
      <c r="FG366" s="24"/>
      <c r="FH366" s="24"/>
      <c r="FI366" s="24"/>
      <c r="FJ366" s="24"/>
      <c r="FK366" s="24"/>
      <c r="FL366" s="24"/>
      <c r="FM366" s="24"/>
      <c r="FN366" s="24"/>
      <c r="FO366" s="24"/>
      <c r="FP366" s="24"/>
      <c r="FQ366" s="24"/>
      <c r="FR366" s="24"/>
      <c r="FS366" s="24"/>
      <c r="FT366" s="24"/>
      <c r="FU366" s="24"/>
      <c r="FV366" s="24"/>
      <c r="FW366" s="24"/>
      <c r="FX366" s="24"/>
      <c r="FY366" s="24"/>
      <c r="FZ366" s="24"/>
      <c r="GA366" s="24"/>
      <c r="GB366" s="24"/>
      <c r="GC366" s="24"/>
      <c r="GD366" s="24"/>
      <c r="GE366" s="24"/>
      <c r="GF366" s="24"/>
      <c r="GG366" s="24"/>
      <c r="GH366" s="24"/>
      <c r="GI366" s="24"/>
      <c r="GJ366" s="24"/>
      <c r="GK366" s="24"/>
      <c r="GL366" s="24"/>
      <c r="GM366" s="24"/>
      <c r="GN366" s="24"/>
      <c r="GO366" s="24"/>
      <c r="GP366" s="24"/>
      <c r="GQ366" s="24"/>
      <c r="GR366" s="24"/>
    </row>
    <row r="367" spans="1:200" s="23" customFormat="1" ht="14.25" customHeight="1" x14ac:dyDescent="0.2">
      <c r="A367" s="20"/>
      <c r="B367" s="21"/>
      <c r="C367" s="22"/>
      <c r="D367" s="22"/>
      <c r="E367" s="22"/>
      <c r="G367" s="22"/>
      <c r="H367" s="22"/>
      <c r="I367" s="22"/>
      <c r="K367" s="22"/>
      <c r="L367" s="22"/>
      <c r="M367" s="22"/>
      <c r="O367" s="22"/>
      <c r="P367" s="22"/>
      <c r="Q367" s="22"/>
      <c r="S367" s="22"/>
      <c r="T367" s="22"/>
      <c r="U367" s="22"/>
      <c r="W367" s="22"/>
      <c r="X367" s="22"/>
      <c r="Y367" s="22"/>
      <c r="AA367" s="22"/>
      <c r="AB367" s="22"/>
      <c r="AC367" s="22"/>
      <c r="AE367" s="24"/>
      <c r="AF367" s="24"/>
      <c r="AG367" s="24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6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/>
      <c r="EB367" s="24"/>
      <c r="EC367" s="24"/>
      <c r="ED367" s="24"/>
      <c r="EE367" s="24"/>
      <c r="EF367" s="24"/>
      <c r="EG367" s="24"/>
      <c r="EH367" s="24"/>
      <c r="EI367" s="24"/>
      <c r="EJ367" s="24"/>
      <c r="EK367" s="24"/>
      <c r="EL367" s="24"/>
      <c r="EM367" s="24"/>
      <c r="EN367" s="24"/>
      <c r="EO367" s="24"/>
      <c r="EP367" s="24"/>
      <c r="EQ367" s="24"/>
      <c r="ER367" s="24"/>
      <c r="ES367" s="24"/>
      <c r="ET367" s="24"/>
      <c r="EU367" s="24"/>
      <c r="EV367" s="24"/>
      <c r="EW367" s="24"/>
      <c r="EX367" s="24"/>
      <c r="EY367" s="24"/>
      <c r="EZ367" s="24"/>
      <c r="FA367" s="24"/>
      <c r="FB367" s="24"/>
      <c r="FC367" s="24"/>
      <c r="FD367" s="24"/>
      <c r="FE367" s="24"/>
      <c r="FF367" s="24"/>
      <c r="FG367" s="24"/>
      <c r="FH367" s="24"/>
      <c r="FI367" s="24"/>
      <c r="FJ367" s="24"/>
      <c r="FK367" s="24"/>
      <c r="FL367" s="24"/>
      <c r="FM367" s="24"/>
      <c r="FN367" s="24"/>
      <c r="FO367" s="24"/>
      <c r="FP367" s="24"/>
      <c r="FQ367" s="24"/>
      <c r="FR367" s="24"/>
      <c r="FS367" s="24"/>
      <c r="FT367" s="24"/>
      <c r="FU367" s="24"/>
      <c r="FV367" s="24"/>
      <c r="FW367" s="24"/>
      <c r="FX367" s="24"/>
      <c r="FY367" s="24"/>
      <c r="FZ367" s="24"/>
      <c r="GA367" s="24"/>
      <c r="GB367" s="24"/>
      <c r="GC367" s="24"/>
      <c r="GD367" s="24"/>
      <c r="GE367" s="24"/>
      <c r="GF367" s="24"/>
      <c r="GG367" s="24"/>
      <c r="GH367" s="24"/>
      <c r="GI367" s="24"/>
      <c r="GJ367" s="24"/>
      <c r="GK367" s="24"/>
      <c r="GL367" s="24"/>
      <c r="GM367" s="24"/>
      <c r="GN367" s="24"/>
      <c r="GO367" s="24"/>
      <c r="GP367" s="24"/>
      <c r="GQ367" s="24"/>
      <c r="GR367" s="24"/>
    </row>
    <row r="368" spans="1:200" s="23" customFormat="1" ht="14.25" customHeight="1" x14ac:dyDescent="0.2">
      <c r="A368" s="20"/>
      <c r="B368" s="21"/>
      <c r="C368" s="22"/>
      <c r="D368" s="22"/>
      <c r="E368" s="22"/>
      <c r="G368" s="22"/>
      <c r="H368" s="22"/>
      <c r="I368" s="22"/>
      <c r="K368" s="22"/>
      <c r="L368" s="22"/>
      <c r="M368" s="22"/>
      <c r="O368" s="22"/>
      <c r="P368" s="22"/>
      <c r="Q368" s="22"/>
      <c r="S368" s="22"/>
      <c r="T368" s="22"/>
      <c r="U368" s="22"/>
      <c r="W368" s="22"/>
      <c r="X368" s="22"/>
      <c r="Y368" s="22"/>
      <c r="AA368" s="22"/>
      <c r="AB368" s="22"/>
      <c r="AC368" s="22"/>
      <c r="AE368" s="24"/>
      <c r="AF368" s="24"/>
      <c r="AG368" s="24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6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24"/>
      <c r="DJ368" s="24"/>
      <c r="DK368" s="24"/>
      <c r="DL368" s="24"/>
      <c r="DM368" s="24"/>
      <c r="DN368" s="24"/>
      <c r="DO368" s="24"/>
      <c r="DP368" s="24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/>
      <c r="EB368" s="24"/>
      <c r="EC368" s="24"/>
      <c r="ED368" s="24"/>
      <c r="EE368" s="24"/>
      <c r="EF368" s="24"/>
      <c r="EG368" s="24"/>
      <c r="EH368" s="24"/>
      <c r="EI368" s="24"/>
      <c r="EJ368" s="24"/>
      <c r="EK368" s="24"/>
      <c r="EL368" s="24"/>
      <c r="EM368" s="24"/>
      <c r="EN368" s="24"/>
      <c r="EO368" s="24"/>
      <c r="EP368" s="24"/>
      <c r="EQ368" s="24"/>
      <c r="ER368" s="24"/>
      <c r="ES368" s="24"/>
      <c r="ET368" s="24"/>
      <c r="EU368" s="24"/>
      <c r="EV368" s="24"/>
      <c r="EW368" s="24"/>
      <c r="EX368" s="24"/>
      <c r="EY368" s="24"/>
      <c r="EZ368" s="24"/>
      <c r="FA368" s="24"/>
      <c r="FB368" s="24"/>
      <c r="FC368" s="24"/>
      <c r="FD368" s="24"/>
      <c r="FE368" s="24"/>
      <c r="FF368" s="24"/>
      <c r="FG368" s="24"/>
      <c r="FH368" s="24"/>
      <c r="FI368" s="24"/>
      <c r="FJ368" s="24"/>
      <c r="FK368" s="24"/>
      <c r="FL368" s="24"/>
      <c r="FM368" s="24"/>
      <c r="FN368" s="24"/>
      <c r="FO368" s="24"/>
      <c r="FP368" s="24"/>
      <c r="FQ368" s="24"/>
      <c r="FR368" s="24"/>
      <c r="FS368" s="24"/>
      <c r="FT368" s="24"/>
      <c r="FU368" s="24"/>
      <c r="FV368" s="24"/>
      <c r="FW368" s="24"/>
      <c r="FX368" s="24"/>
      <c r="FY368" s="24"/>
      <c r="FZ368" s="24"/>
      <c r="GA368" s="24"/>
      <c r="GB368" s="24"/>
      <c r="GC368" s="24"/>
      <c r="GD368" s="24"/>
      <c r="GE368" s="24"/>
      <c r="GF368" s="24"/>
      <c r="GG368" s="24"/>
      <c r="GH368" s="24"/>
      <c r="GI368" s="24"/>
      <c r="GJ368" s="24"/>
      <c r="GK368" s="24"/>
      <c r="GL368" s="24"/>
      <c r="GM368" s="24"/>
      <c r="GN368" s="24"/>
      <c r="GO368" s="24"/>
      <c r="GP368" s="24"/>
      <c r="GQ368" s="24"/>
      <c r="GR368" s="24"/>
    </row>
    <row r="369" spans="1:220" s="23" customFormat="1" ht="14.25" customHeight="1" x14ac:dyDescent="0.2">
      <c r="A369" s="20"/>
      <c r="B369" s="21"/>
      <c r="C369" s="22"/>
      <c r="D369" s="22"/>
      <c r="E369" s="22"/>
      <c r="G369" s="22"/>
      <c r="H369" s="22"/>
      <c r="I369" s="22"/>
      <c r="K369" s="22"/>
      <c r="L369" s="22"/>
      <c r="M369" s="22"/>
      <c r="O369" s="22"/>
      <c r="P369" s="22"/>
      <c r="Q369" s="22"/>
      <c r="S369" s="22"/>
      <c r="T369" s="22"/>
      <c r="U369" s="22"/>
      <c r="W369" s="22"/>
      <c r="X369" s="22"/>
      <c r="Y369" s="22"/>
      <c r="AA369" s="22"/>
      <c r="AB369" s="22"/>
      <c r="AC369" s="22"/>
      <c r="AE369" s="24"/>
      <c r="AF369" s="24"/>
      <c r="AG369" s="24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6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24"/>
      <c r="DJ369" s="24"/>
      <c r="DK369" s="24"/>
      <c r="DL369" s="24"/>
      <c r="DM369" s="24"/>
      <c r="DN369" s="24"/>
      <c r="DO369" s="24"/>
      <c r="DP369" s="24"/>
      <c r="DQ369" s="24"/>
      <c r="DR369" s="24"/>
      <c r="DS369" s="24"/>
      <c r="DT369" s="24"/>
      <c r="DU369" s="24"/>
      <c r="DV369" s="24"/>
      <c r="DW369" s="24"/>
      <c r="DX369" s="24"/>
      <c r="DY369" s="24"/>
      <c r="DZ369" s="24"/>
      <c r="EA369" s="24"/>
      <c r="EB369" s="24"/>
      <c r="EC369" s="24"/>
      <c r="ED369" s="24"/>
      <c r="EE369" s="24"/>
      <c r="EF369" s="24"/>
      <c r="EG369" s="24"/>
      <c r="EH369" s="24"/>
      <c r="EI369" s="24"/>
      <c r="EJ369" s="24"/>
      <c r="EK369" s="24"/>
      <c r="EL369" s="24"/>
      <c r="EM369" s="24"/>
      <c r="EN369" s="24"/>
      <c r="EO369" s="24"/>
      <c r="EP369" s="24"/>
      <c r="EQ369" s="24"/>
      <c r="ER369" s="24"/>
      <c r="ES369" s="24"/>
      <c r="ET369" s="24"/>
      <c r="EU369" s="24"/>
      <c r="EV369" s="24"/>
      <c r="EW369" s="24"/>
      <c r="EX369" s="24"/>
      <c r="EY369" s="24"/>
      <c r="EZ369" s="24"/>
      <c r="FA369" s="24"/>
      <c r="FB369" s="24"/>
      <c r="FC369" s="24"/>
      <c r="FD369" s="24"/>
      <c r="FE369" s="24"/>
      <c r="FF369" s="24"/>
      <c r="FG369" s="24"/>
      <c r="FH369" s="24"/>
      <c r="FI369" s="24"/>
      <c r="FJ369" s="24"/>
      <c r="FK369" s="24"/>
      <c r="FL369" s="24"/>
      <c r="FM369" s="24"/>
      <c r="FN369" s="24"/>
      <c r="FO369" s="24"/>
      <c r="FP369" s="24"/>
      <c r="FQ369" s="24"/>
      <c r="FR369" s="24"/>
      <c r="FS369" s="24"/>
      <c r="FT369" s="24"/>
      <c r="FU369" s="24"/>
      <c r="FV369" s="24"/>
      <c r="FW369" s="24"/>
      <c r="FX369" s="24"/>
      <c r="FY369" s="24"/>
      <c r="FZ369" s="24"/>
      <c r="GA369" s="24"/>
      <c r="GB369" s="24"/>
      <c r="GC369" s="24"/>
      <c r="GD369" s="24"/>
      <c r="GE369" s="24"/>
      <c r="GF369" s="24"/>
      <c r="GG369" s="24"/>
      <c r="GH369" s="24"/>
      <c r="GI369" s="24"/>
      <c r="GJ369" s="24"/>
      <c r="GK369" s="24"/>
      <c r="GL369" s="24"/>
      <c r="GM369" s="24"/>
      <c r="GN369" s="24"/>
      <c r="GO369" s="24"/>
      <c r="GP369" s="24"/>
      <c r="GQ369" s="24"/>
      <c r="GR369" s="24"/>
    </row>
    <row r="370" spans="1:220" s="23" customFormat="1" ht="14.25" customHeight="1" x14ac:dyDescent="0.2">
      <c r="A370" s="20"/>
      <c r="B370" s="21"/>
      <c r="C370" s="22"/>
      <c r="D370" s="22"/>
      <c r="E370" s="22"/>
      <c r="G370" s="22"/>
      <c r="H370" s="22"/>
      <c r="I370" s="22"/>
      <c r="K370" s="22"/>
      <c r="L370" s="22"/>
      <c r="M370" s="22"/>
      <c r="O370" s="22"/>
      <c r="P370" s="22"/>
      <c r="Q370" s="22"/>
      <c r="S370" s="22"/>
      <c r="T370" s="22"/>
      <c r="U370" s="22"/>
      <c r="W370" s="22"/>
      <c r="X370" s="22"/>
      <c r="Y370" s="22"/>
      <c r="AA370" s="22"/>
      <c r="AB370" s="22"/>
      <c r="AC370" s="22"/>
      <c r="AE370" s="24"/>
      <c r="AF370" s="24"/>
      <c r="AG370" s="24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6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24"/>
      <c r="EC370" s="24"/>
      <c r="ED370" s="24"/>
      <c r="EE370" s="24"/>
      <c r="EF370" s="24"/>
      <c r="EG370" s="24"/>
      <c r="EH370" s="24"/>
      <c r="EI370" s="24"/>
      <c r="EJ370" s="24"/>
      <c r="EK370" s="24"/>
      <c r="EL370" s="24"/>
      <c r="EM370" s="24"/>
      <c r="EN370" s="24"/>
      <c r="EO370" s="24"/>
      <c r="EP370" s="24"/>
      <c r="EQ370" s="24"/>
      <c r="ER370" s="24"/>
      <c r="ES370" s="24"/>
      <c r="ET370" s="24"/>
      <c r="EU370" s="24"/>
      <c r="EV370" s="24"/>
      <c r="EW370" s="24"/>
      <c r="EX370" s="24"/>
      <c r="EY370" s="24"/>
      <c r="EZ370" s="24"/>
      <c r="FA370" s="24"/>
      <c r="FB370" s="24"/>
      <c r="FC370" s="24"/>
      <c r="FD370" s="24"/>
      <c r="FE370" s="24"/>
      <c r="FF370" s="24"/>
      <c r="FG370" s="24"/>
      <c r="FH370" s="24"/>
      <c r="FI370" s="24"/>
      <c r="FJ370" s="24"/>
      <c r="FK370" s="24"/>
      <c r="FL370" s="24"/>
      <c r="FM370" s="24"/>
      <c r="FN370" s="24"/>
      <c r="FO370" s="24"/>
      <c r="FP370" s="24"/>
      <c r="FQ370" s="24"/>
      <c r="FR370" s="24"/>
      <c r="FS370" s="24"/>
      <c r="FT370" s="24"/>
      <c r="FU370" s="24"/>
      <c r="FV370" s="24"/>
      <c r="FW370" s="24"/>
      <c r="FX370" s="24"/>
      <c r="FY370" s="24"/>
      <c r="FZ370" s="24"/>
      <c r="GA370" s="24"/>
      <c r="GB370" s="24"/>
      <c r="GC370" s="24"/>
      <c r="GD370" s="24"/>
      <c r="GE370" s="24"/>
      <c r="GF370" s="24"/>
      <c r="GG370" s="24"/>
      <c r="GH370" s="24"/>
      <c r="GI370" s="24"/>
      <c r="GJ370" s="24"/>
      <c r="GK370" s="24"/>
      <c r="GL370" s="24"/>
      <c r="GM370" s="24"/>
      <c r="GN370" s="24"/>
      <c r="GO370" s="24"/>
      <c r="GP370" s="24"/>
      <c r="GQ370" s="24"/>
      <c r="GR370" s="24"/>
    </row>
    <row r="371" spans="1:220" s="23" customFormat="1" ht="14.25" customHeight="1" x14ac:dyDescent="0.2">
      <c r="A371" s="20"/>
      <c r="B371" s="21"/>
      <c r="C371" s="22"/>
      <c r="D371" s="22"/>
      <c r="E371" s="22"/>
      <c r="G371" s="22"/>
      <c r="H371" s="22"/>
      <c r="I371" s="22"/>
      <c r="K371" s="22"/>
      <c r="L371" s="22"/>
      <c r="M371" s="22"/>
      <c r="O371" s="22"/>
      <c r="P371" s="22"/>
      <c r="Q371" s="22"/>
      <c r="S371" s="22"/>
      <c r="T371" s="22"/>
      <c r="U371" s="22"/>
      <c r="W371" s="22"/>
      <c r="X371" s="22"/>
      <c r="Y371" s="22"/>
      <c r="AA371" s="22"/>
      <c r="AB371" s="22"/>
      <c r="AC371" s="22"/>
      <c r="AE371" s="24"/>
      <c r="AF371" s="24"/>
      <c r="AG371" s="24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6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24"/>
      <c r="DJ371" s="24"/>
      <c r="DK371" s="24"/>
      <c r="DL371" s="24"/>
      <c r="DM371" s="24"/>
      <c r="DN371" s="24"/>
      <c r="DO371" s="24"/>
      <c r="DP371" s="24"/>
      <c r="DQ371" s="24"/>
      <c r="DR371" s="24"/>
      <c r="DS371" s="24"/>
      <c r="DT371" s="24"/>
      <c r="DU371" s="24"/>
      <c r="DV371" s="24"/>
      <c r="DW371" s="24"/>
      <c r="DX371" s="24"/>
      <c r="DY371" s="24"/>
      <c r="DZ371" s="24"/>
      <c r="EA371" s="24"/>
      <c r="EB371" s="24"/>
      <c r="EC371" s="24"/>
      <c r="ED371" s="24"/>
      <c r="EE371" s="24"/>
      <c r="EF371" s="24"/>
      <c r="EG371" s="24"/>
      <c r="EH371" s="24"/>
      <c r="EI371" s="24"/>
      <c r="EJ371" s="24"/>
      <c r="EK371" s="24"/>
      <c r="EL371" s="24"/>
      <c r="EM371" s="24"/>
      <c r="EN371" s="24"/>
      <c r="EO371" s="24"/>
      <c r="EP371" s="24"/>
      <c r="EQ371" s="24"/>
      <c r="ER371" s="24"/>
      <c r="ES371" s="24"/>
      <c r="ET371" s="24"/>
      <c r="EU371" s="24"/>
      <c r="EV371" s="24"/>
      <c r="EW371" s="24"/>
      <c r="EX371" s="24"/>
      <c r="EY371" s="24"/>
      <c r="EZ371" s="24"/>
      <c r="FA371" s="24"/>
      <c r="FB371" s="24"/>
      <c r="FC371" s="24"/>
      <c r="FD371" s="24"/>
      <c r="FE371" s="24"/>
      <c r="FF371" s="24"/>
      <c r="FG371" s="24"/>
      <c r="FH371" s="24"/>
      <c r="FI371" s="24"/>
      <c r="FJ371" s="24"/>
      <c r="FK371" s="24"/>
      <c r="FL371" s="24"/>
      <c r="FM371" s="24"/>
      <c r="FN371" s="24"/>
      <c r="FO371" s="24"/>
      <c r="FP371" s="24"/>
      <c r="FQ371" s="24"/>
      <c r="FR371" s="24"/>
      <c r="FS371" s="24"/>
      <c r="FT371" s="24"/>
      <c r="FU371" s="24"/>
      <c r="FV371" s="24"/>
      <c r="FW371" s="24"/>
      <c r="FX371" s="24"/>
      <c r="FY371" s="24"/>
      <c r="FZ371" s="24"/>
      <c r="GA371" s="24"/>
      <c r="GB371" s="24"/>
      <c r="GC371" s="24"/>
      <c r="GD371" s="24"/>
      <c r="GE371" s="24"/>
      <c r="GF371" s="24"/>
      <c r="GG371" s="24"/>
      <c r="GH371" s="24"/>
      <c r="GI371" s="24"/>
      <c r="GJ371" s="24"/>
      <c r="GK371" s="24"/>
      <c r="GL371" s="24"/>
      <c r="GM371" s="24"/>
      <c r="GN371" s="24"/>
      <c r="GO371" s="24"/>
      <c r="GP371" s="24"/>
      <c r="GQ371" s="24"/>
      <c r="GR371" s="24"/>
    </row>
    <row r="372" spans="1:220" s="23" customFormat="1" ht="14.25" customHeight="1" x14ac:dyDescent="0.2">
      <c r="A372" s="20"/>
      <c r="B372" s="21"/>
      <c r="C372" s="22"/>
      <c r="D372" s="22"/>
      <c r="E372" s="22"/>
      <c r="G372" s="22"/>
      <c r="H372" s="22"/>
      <c r="I372" s="22"/>
      <c r="K372" s="22"/>
      <c r="L372" s="22"/>
      <c r="M372" s="22"/>
      <c r="O372" s="22"/>
      <c r="P372" s="22"/>
      <c r="Q372" s="22"/>
      <c r="S372" s="22"/>
      <c r="T372" s="22"/>
      <c r="U372" s="22"/>
      <c r="W372" s="22"/>
      <c r="X372" s="22"/>
      <c r="Y372" s="22"/>
      <c r="AA372" s="22"/>
      <c r="AB372" s="22"/>
      <c r="AC372" s="22"/>
      <c r="AE372" s="24"/>
      <c r="AF372" s="24"/>
      <c r="AG372" s="24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6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  <c r="DI372" s="24"/>
      <c r="DJ372" s="24"/>
      <c r="DK372" s="24"/>
      <c r="DL372" s="24"/>
      <c r="DM372" s="24"/>
      <c r="DN372" s="24"/>
      <c r="DO372" s="24"/>
      <c r="DP372" s="24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/>
      <c r="EB372" s="24"/>
      <c r="EC372" s="24"/>
      <c r="ED372" s="24"/>
      <c r="EE372" s="24"/>
      <c r="EF372" s="24"/>
      <c r="EG372" s="24"/>
      <c r="EH372" s="24"/>
      <c r="EI372" s="24"/>
      <c r="EJ372" s="24"/>
      <c r="EK372" s="24"/>
      <c r="EL372" s="24"/>
      <c r="EM372" s="24"/>
      <c r="EN372" s="24"/>
      <c r="EO372" s="24"/>
      <c r="EP372" s="24"/>
      <c r="EQ372" s="24"/>
      <c r="ER372" s="24"/>
      <c r="ES372" s="24"/>
      <c r="ET372" s="24"/>
      <c r="EU372" s="24"/>
      <c r="EV372" s="24"/>
      <c r="EW372" s="24"/>
      <c r="EX372" s="24"/>
      <c r="EY372" s="24"/>
      <c r="EZ372" s="24"/>
      <c r="FA372" s="24"/>
      <c r="FB372" s="24"/>
      <c r="FC372" s="24"/>
      <c r="FD372" s="24"/>
      <c r="FE372" s="24"/>
      <c r="FF372" s="24"/>
      <c r="FG372" s="24"/>
      <c r="FH372" s="24"/>
      <c r="FI372" s="24"/>
      <c r="FJ372" s="24"/>
      <c r="FK372" s="24"/>
      <c r="FL372" s="24"/>
      <c r="FM372" s="24"/>
      <c r="FN372" s="24"/>
      <c r="FO372" s="24"/>
      <c r="FP372" s="24"/>
      <c r="FQ372" s="24"/>
      <c r="FR372" s="24"/>
      <c r="FS372" s="24"/>
      <c r="FT372" s="24"/>
      <c r="FU372" s="24"/>
      <c r="FV372" s="24"/>
      <c r="FW372" s="24"/>
      <c r="FX372" s="24"/>
      <c r="FY372" s="24"/>
      <c r="FZ372" s="24"/>
      <c r="GA372" s="24"/>
      <c r="GB372" s="24"/>
      <c r="GC372" s="24"/>
      <c r="GD372" s="24"/>
      <c r="GE372" s="24"/>
      <c r="GF372" s="24"/>
      <c r="GG372" s="24"/>
      <c r="GH372" s="24"/>
      <c r="GI372" s="24"/>
      <c r="GJ372" s="24"/>
      <c r="GK372" s="24"/>
      <c r="GL372" s="24"/>
      <c r="GM372" s="24"/>
      <c r="GN372" s="24"/>
      <c r="GO372" s="24"/>
      <c r="GP372" s="24"/>
      <c r="GQ372" s="24"/>
      <c r="GR372" s="24"/>
    </row>
    <row r="373" spans="1:220" s="23" customFormat="1" ht="14.25" customHeight="1" x14ac:dyDescent="0.2">
      <c r="A373" s="20"/>
      <c r="B373" s="21"/>
      <c r="C373" s="22"/>
      <c r="D373" s="22"/>
      <c r="E373" s="22"/>
      <c r="G373" s="22"/>
      <c r="H373" s="22"/>
      <c r="I373" s="22"/>
      <c r="K373" s="22"/>
      <c r="L373" s="22"/>
      <c r="M373" s="22"/>
      <c r="O373" s="22"/>
      <c r="P373" s="22"/>
      <c r="Q373" s="22"/>
      <c r="S373" s="22"/>
      <c r="T373" s="22"/>
      <c r="U373" s="22"/>
      <c r="W373" s="22"/>
      <c r="X373" s="22"/>
      <c r="Y373" s="22"/>
      <c r="AA373" s="22"/>
      <c r="AB373" s="22"/>
      <c r="AC373" s="22"/>
      <c r="AE373" s="24"/>
      <c r="AF373" s="24"/>
      <c r="AG373" s="24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6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  <c r="DI373" s="24"/>
      <c r="DJ373" s="24"/>
      <c r="DK373" s="24"/>
      <c r="DL373" s="24"/>
      <c r="DM373" s="24"/>
      <c r="DN373" s="24"/>
      <c r="DO373" s="24"/>
      <c r="DP373" s="24"/>
      <c r="DQ373" s="24"/>
      <c r="DR373" s="24"/>
      <c r="DS373" s="24"/>
      <c r="DT373" s="24"/>
      <c r="DU373" s="24"/>
      <c r="DV373" s="24"/>
      <c r="DW373" s="24"/>
      <c r="DX373" s="24"/>
      <c r="DY373" s="24"/>
      <c r="DZ373" s="24"/>
      <c r="EA373" s="24"/>
      <c r="EB373" s="24"/>
      <c r="EC373" s="24"/>
      <c r="ED373" s="24"/>
      <c r="EE373" s="24"/>
      <c r="EF373" s="24"/>
      <c r="EG373" s="24"/>
      <c r="EH373" s="24"/>
      <c r="EI373" s="24"/>
      <c r="EJ373" s="24"/>
      <c r="EK373" s="24"/>
      <c r="EL373" s="24"/>
      <c r="EM373" s="24"/>
      <c r="EN373" s="24"/>
      <c r="EO373" s="24"/>
      <c r="EP373" s="24"/>
      <c r="EQ373" s="24"/>
      <c r="ER373" s="24"/>
      <c r="ES373" s="24"/>
      <c r="ET373" s="24"/>
      <c r="EU373" s="24"/>
      <c r="EV373" s="24"/>
      <c r="EW373" s="24"/>
      <c r="EX373" s="24"/>
      <c r="EY373" s="24"/>
      <c r="EZ373" s="24"/>
      <c r="FA373" s="24"/>
      <c r="FB373" s="24"/>
      <c r="FC373" s="24"/>
      <c r="FD373" s="24"/>
      <c r="FE373" s="24"/>
      <c r="FF373" s="24"/>
      <c r="FG373" s="24"/>
      <c r="FH373" s="24"/>
      <c r="FI373" s="24"/>
      <c r="FJ373" s="24"/>
      <c r="FK373" s="24"/>
      <c r="FL373" s="24"/>
      <c r="FM373" s="24"/>
      <c r="FN373" s="24"/>
      <c r="FO373" s="24"/>
      <c r="FP373" s="24"/>
      <c r="FQ373" s="24"/>
      <c r="FR373" s="24"/>
      <c r="FS373" s="24"/>
      <c r="FT373" s="24"/>
      <c r="FU373" s="24"/>
      <c r="FV373" s="24"/>
      <c r="FW373" s="24"/>
      <c r="FX373" s="24"/>
      <c r="FY373" s="24"/>
      <c r="FZ373" s="24"/>
      <c r="GA373" s="24"/>
      <c r="GB373" s="24"/>
      <c r="GC373" s="24"/>
      <c r="GD373" s="24"/>
      <c r="GE373" s="24"/>
      <c r="GF373" s="24"/>
      <c r="GG373" s="24"/>
      <c r="GH373" s="24"/>
      <c r="GI373" s="24"/>
      <c r="GJ373" s="24"/>
      <c r="GK373" s="24"/>
      <c r="GL373" s="24"/>
      <c r="GM373" s="24"/>
      <c r="GN373" s="24"/>
      <c r="GO373" s="24"/>
      <c r="GP373" s="24"/>
      <c r="GQ373" s="24"/>
      <c r="GR373" s="24"/>
    </row>
    <row r="374" spans="1:220" s="23" customFormat="1" ht="14.25" customHeight="1" x14ac:dyDescent="0.2">
      <c r="A374" s="20"/>
      <c r="B374" s="21"/>
      <c r="C374" s="22"/>
      <c r="D374" s="22"/>
      <c r="E374" s="22"/>
      <c r="G374" s="22"/>
      <c r="H374" s="22"/>
      <c r="I374" s="22"/>
      <c r="K374" s="22"/>
      <c r="L374" s="22"/>
      <c r="M374" s="22"/>
      <c r="O374" s="22"/>
      <c r="P374" s="22"/>
      <c r="Q374" s="22"/>
      <c r="S374" s="22"/>
      <c r="T374" s="22"/>
      <c r="U374" s="22"/>
      <c r="W374" s="22"/>
      <c r="X374" s="22"/>
      <c r="Y374" s="22"/>
      <c r="AA374" s="22"/>
      <c r="AB374" s="22"/>
      <c r="AC374" s="22"/>
      <c r="AE374" s="24"/>
      <c r="AF374" s="24"/>
      <c r="AG374" s="24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6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24"/>
      <c r="DJ374" s="24"/>
      <c r="DK374" s="24"/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/>
      <c r="EB374" s="24"/>
      <c r="EC374" s="24"/>
      <c r="ED374" s="24"/>
      <c r="EE374" s="24"/>
      <c r="EF374" s="24"/>
      <c r="EG374" s="24"/>
      <c r="EH374" s="24"/>
      <c r="EI374" s="24"/>
      <c r="EJ374" s="24"/>
      <c r="EK374" s="24"/>
      <c r="EL374" s="24"/>
      <c r="EM374" s="24"/>
      <c r="EN374" s="24"/>
      <c r="EO374" s="24"/>
      <c r="EP374" s="24"/>
      <c r="EQ374" s="24"/>
      <c r="ER374" s="24"/>
      <c r="ES374" s="24"/>
      <c r="ET374" s="24"/>
      <c r="EU374" s="24"/>
      <c r="EV374" s="24"/>
      <c r="EW374" s="24"/>
      <c r="EX374" s="24"/>
      <c r="EY374" s="24"/>
      <c r="EZ374" s="24"/>
      <c r="FA374" s="24"/>
      <c r="FB374" s="24"/>
      <c r="FC374" s="24"/>
      <c r="FD374" s="24"/>
      <c r="FE374" s="24"/>
      <c r="FF374" s="24"/>
      <c r="FG374" s="24"/>
      <c r="FH374" s="24"/>
      <c r="FI374" s="24"/>
      <c r="FJ374" s="24"/>
      <c r="FK374" s="24"/>
      <c r="FL374" s="24"/>
      <c r="FM374" s="24"/>
      <c r="FN374" s="24"/>
      <c r="FO374" s="24"/>
      <c r="FP374" s="24"/>
      <c r="FQ374" s="24"/>
      <c r="FR374" s="24"/>
      <c r="FS374" s="24"/>
      <c r="FT374" s="24"/>
      <c r="FU374" s="24"/>
      <c r="FV374" s="24"/>
      <c r="FW374" s="24"/>
      <c r="FX374" s="24"/>
      <c r="FY374" s="24"/>
      <c r="FZ374" s="24"/>
      <c r="GA374" s="24"/>
      <c r="GB374" s="24"/>
      <c r="GC374" s="24"/>
      <c r="GD374" s="24"/>
      <c r="GE374" s="24"/>
      <c r="GF374" s="24"/>
      <c r="GG374" s="24"/>
      <c r="GH374" s="24"/>
      <c r="GI374" s="24"/>
      <c r="GJ374" s="24"/>
      <c r="GK374" s="24"/>
      <c r="GL374" s="24"/>
      <c r="GM374" s="24"/>
      <c r="GN374" s="24"/>
      <c r="GO374" s="24"/>
      <c r="GP374" s="24"/>
      <c r="GQ374" s="24"/>
      <c r="GR374" s="24"/>
    </row>
    <row r="375" spans="1:220" s="23" customFormat="1" ht="14.25" customHeight="1" x14ac:dyDescent="0.2">
      <c r="A375" s="20"/>
      <c r="B375" s="21"/>
      <c r="C375" s="22"/>
      <c r="D375" s="22"/>
      <c r="E375" s="22"/>
      <c r="G375" s="22"/>
      <c r="H375" s="22"/>
      <c r="I375" s="22"/>
      <c r="K375" s="22"/>
      <c r="L375" s="22"/>
      <c r="M375" s="22"/>
      <c r="O375" s="22"/>
      <c r="P375" s="22"/>
      <c r="Q375" s="22"/>
      <c r="S375" s="22"/>
      <c r="T375" s="22"/>
      <c r="U375" s="22"/>
      <c r="W375" s="22"/>
      <c r="X375" s="22"/>
      <c r="Y375" s="22"/>
      <c r="AA375" s="22"/>
      <c r="AB375" s="22"/>
      <c r="AC375" s="22"/>
      <c r="AE375" s="24"/>
      <c r="AF375" s="24"/>
      <c r="AG375" s="24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6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24"/>
      <c r="DJ375" s="24"/>
      <c r="DK375" s="24"/>
      <c r="DL375" s="24"/>
      <c r="DM375" s="24"/>
      <c r="DN375" s="24"/>
      <c r="DO375" s="24"/>
      <c r="DP375" s="24"/>
      <c r="DQ375" s="24"/>
      <c r="DR375" s="24"/>
      <c r="DS375" s="24"/>
      <c r="DT375" s="24"/>
      <c r="DU375" s="24"/>
      <c r="DV375" s="24"/>
      <c r="DW375" s="24"/>
      <c r="DX375" s="24"/>
      <c r="DY375" s="24"/>
      <c r="DZ375" s="24"/>
      <c r="EA375" s="24"/>
      <c r="EB375" s="24"/>
      <c r="EC375" s="24"/>
      <c r="ED375" s="24"/>
      <c r="EE375" s="24"/>
      <c r="EF375" s="24"/>
      <c r="EG375" s="24"/>
      <c r="EH375" s="24"/>
      <c r="EI375" s="24"/>
      <c r="EJ375" s="24"/>
      <c r="EK375" s="24"/>
      <c r="EL375" s="24"/>
      <c r="EM375" s="24"/>
      <c r="EN375" s="24"/>
      <c r="EO375" s="24"/>
      <c r="EP375" s="24"/>
      <c r="EQ375" s="24"/>
      <c r="ER375" s="24"/>
      <c r="ES375" s="24"/>
      <c r="ET375" s="24"/>
      <c r="EU375" s="24"/>
      <c r="EV375" s="24"/>
      <c r="EW375" s="24"/>
      <c r="EX375" s="24"/>
      <c r="EY375" s="24"/>
      <c r="EZ375" s="24"/>
      <c r="FA375" s="24"/>
      <c r="FB375" s="24"/>
      <c r="FC375" s="24"/>
      <c r="FD375" s="24"/>
      <c r="FE375" s="24"/>
      <c r="FF375" s="24"/>
      <c r="FG375" s="24"/>
      <c r="FH375" s="24"/>
      <c r="FI375" s="24"/>
      <c r="FJ375" s="24"/>
      <c r="FK375" s="24"/>
      <c r="FL375" s="24"/>
      <c r="FM375" s="24"/>
      <c r="FN375" s="24"/>
      <c r="FO375" s="24"/>
      <c r="FP375" s="24"/>
      <c r="FQ375" s="24"/>
      <c r="FR375" s="24"/>
      <c r="FS375" s="24"/>
      <c r="FT375" s="24"/>
      <c r="FU375" s="24"/>
      <c r="FV375" s="24"/>
      <c r="FW375" s="24"/>
      <c r="FX375" s="24"/>
      <c r="FY375" s="24"/>
      <c r="FZ375" s="24"/>
      <c r="GA375" s="24"/>
      <c r="GB375" s="24"/>
      <c r="GC375" s="24"/>
      <c r="GD375" s="24"/>
      <c r="GE375" s="24"/>
      <c r="GF375" s="24"/>
      <c r="GG375" s="24"/>
      <c r="GH375" s="24"/>
      <c r="GI375" s="24"/>
      <c r="GJ375" s="24"/>
      <c r="GK375" s="24"/>
      <c r="GL375" s="24"/>
      <c r="GM375" s="24"/>
      <c r="GN375" s="24"/>
      <c r="GO375" s="24"/>
      <c r="GP375" s="24"/>
      <c r="GQ375" s="24"/>
      <c r="GR375" s="24"/>
    </row>
    <row r="376" spans="1:220" s="23" customFormat="1" ht="14.25" customHeight="1" x14ac:dyDescent="0.2">
      <c r="A376" s="20"/>
      <c r="B376" s="21"/>
      <c r="C376" s="22"/>
      <c r="D376" s="22"/>
      <c r="E376" s="22"/>
      <c r="G376" s="22"/>
      <c r="H376" s="22"/>
      <c r="I376" s="22"/>
      <c r="K376" s="22"/>
      <c r="L376" s="22"/>
      <c r="M376" s="22"/>
      <c r="O376" s="22"/>
      <c r="P376" s="22"/>
      <c r="Q376" s="22"/>
      <c r="S376" s="22"/>
      <c r="T376" s="22"/>
      <c r="U376" s="22"/>
      <c r="W376" s="22"/>
      <c r="X376" s="22"/>
      <c r="Y376" s="22"/>
      <c r="AA376" s="22"/>
      <c r="AB376" s="22"/>
      <c r="AC376" s="22"/>
      <c r="AE376" s="24"/>
      <c r="AF376" s="24"/>
      <c r="AG376" s="24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6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  <c r="DI376" s="24"/>
      <c r="DJ376" s="24"/>
      <c r="DK376" s="24"/>
      <c r="DL376" s="24"/>
      <c r="DM376" s="24"/>
      <c r="DN376" s="24"/>
      <c r="DO376" s="24"/>
      <c r="DP376" s="24"/>
      <c r="DQ376" s="24"/>
      <c r="DR376" s="24"/>
      <c r="DS376" s="24"/>
      <c r="DT376" s="24"/>
      <c r="DU376" s="24"/>
      <c r="DV376" s="24"/>
      <c r="DW376" s="24"/>
      <c r="DX376" s="24"/>
      <c r="DY376" s="24"/>
      <c r="DZ376" s="24"/>
      <c r="EA376" s="24"/>
      <c r="EB376" s="24"/>
      <c r="EC376" s="24"/>
      <c r="ED376" s="24"/>
      <c r="EE376" s="24"/>
      <c r="EF376" s="24"/>
      <c r="EG376" s="24"/>
      <c r="EH376" s="24"/>
      <c r="EI376" s="24"/>
      <c r="EJ376" s="24"/>
      <c r="EK376" s="24"/>
      <c r="EL376" s="24"/>
      <c r="EM376" s="24"/>
      <c r="EN376" s="24"/>
      <c r="EO376" s="24"/>
      <c r="EP376" s="24"/>
      <c r="EQ376" s="24"/>
      <c r="ER376" s="24"/>
      <c r="ES376" s="24"/>
      <c r="ET376" s="24"/>
      <c r="EU376" s="24"/>
      <c r="EV376" s="24"/>
      <c r="EW376" s="24"/>
      <c r="EX376" s="24"/>
      <c r="EY376" s="24"/>
      <c r="EZ376" s="24"/>
      <c r="FA376" s="24"/>
      <c r="FB376" s="24"/>
      <c r="FC376" s="24"/>
      <c r="FD376" s="24"/>
      <c r="FE376" s="24"/>
      <c r="FF376" s="24"/>
      <c r="FG376" s="24"/>
      <c r="FH376" s="24"/>
      <c r="FI376" s="24"/>
      <c r="FJ376" s="24"/>
      <c r="FK376" s="24"/>
      <c r="FL376" s="24"/>
      <c r="FM376" s="24"/>
      <c r="FN376" s="24"/>
      <c r="FO376" s="24"/>
      <c r="FP376" s="24"/>
      <c r="FQ376" s="24"/>
      <c r="FR376" s="24"/>
      <c r="FS376" s="24"/>
      <c r="FT376" s="24"/>
      <c r="FU376" s="24"/>
      <c r="FV376" s="24"/>
      <c r="FW376" s="24"/>
      <c r="FX376" s="24"/>
      <c r="FY376" s="24"/>
      <c r="FZ376" s="24"/>
      <c r="GA376" s="24"/>
      <c r="GB376" s="24"/>
      <c r="GC376" s="24"/>
      <c r="GD376" s="24"/>
      <c r="GE376" s="24"/>
      <c r="GF376" s="24"/>
      <c r="GG376" s="24"/>
      <c r="GH376" s="24"/>
      <c r="GI376" s="24"/>
      <c r="GJ376" s="24"/>
      <c r="GK376" s="24"/>
      <c r="GL376" s="24"/>
      <c r="GM376" s="24"/>
      <c r="GN376" s="24"/>
      <c r="GO376" s="24"/>
      <c r="GP376" s="24"/>
      <c r="GQ376" s="24"/>
      <c r="GR376" s="24"/>
      <c r="GS376" s="24"/>
      <c r="GT376" s="24"/>
      <c r="GU376" s="24"/>
      <c r="GV376" s="24"/>
      <c r="GW376" s="24"/>
      <c r="GX376" s="24"/>
      <c r="GY376" s="24"/>
      <c r="GZ376" s="24"/>
      <c r="HA376" s="24"/>
      <c r="HB376" s="24"/>
      <c r="HC376" s="24"/>
      <c r="HD376" s="24"/>
      <c r="HE376" s="24"/>
      <c r="HF376" s="24"/>
      <c r="HG376" s="24"/>
      <c r="HH376" s="24"/>
      <c r="HI376" s="24"/>
      <c r="HJ376" s="24"/>
      <c r="HK376" s="24"/>
      <c r="HL376" s="24"/>
    </row>
    <row r="377" spans="1:220" s="23" customFormat="1" ht="14.25" customHeight="1" x14ac:dyDescent="0.2">
      <c r="A377" s="20"/>
      <c r="B377" s="21"/>
      <c r="C377" s="22"/>
      <c r="D377" s="22"/>
      <c r="E377" s="22"/>
      <c r="G377" s="22"/>
      <c r="H377" s="22"/>
      <c r="I377" s="22"/>
      <c r="K377" s="22"/>
      <c r="L377" s="22"/>
      <c r="M377" s="22"/>
      <c r="O377" s="22"/>
      <c r="P377" s="22"/>
      <c r="Q377" s="22"/>
      <c r="S377" s="22"/>
      <c r="T377" s="22"/>
      <c r="U377" s="22"/>
      <c r="W377" s="22"/>
      <c r="X377" s="22"/>
      <c r="Y377" s="22"/>
      <c r="AA377" s="22"/>
      <c r="AB377" s="22"/>
      <c r="AC377" s="22"/>
      <c r="AE377" s="24"/>
      <c r="AF377" s="24"/>
      <c r="AG377" s="24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6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/>
      <c r="EB377" s="24"/>
      <c r="EC377" s="24"/>
      <c r="ED377" s="24"/>
      <c r="EE377" s="24"/>
      <c r="EF377" s="24"/>
      <c r="EG377" s="24"/>
      <c r="EH377" s="24"/>
      <c r="EI377" s="24"/>
      <c r="EJ377" s="24"/>
      <c r="EK377" s="24"/>
      <c r="EL377" s="24"/>
      <c r="EM377" s="24"/>
      <c r="EN377" s="24"/>
      <c r="EO377" s="24"/>
      <c r="EP377" s="24"/>
      <c r="EQ377" s="24"/>
      <c r="ER377" s="24"/>
      <c r="ES377" s="24"/>
      <c r="ET377" s="24"/>
      <c r="EU377" s="24"/>
      <c r="EV377" s="24"/>
      <c r="EW377" s="24"/>
      <c r="EX377" s="24"/>
      <c r="EY377" s="24"/>
      <c r="EZ377" s="24"/>
      <c r="FA377" s="24"/>
      <c r="FB377" s="24"/>
      <c r="FC377" s="24"/>
      <c r="FD377" s="24"/>
      <c r="FE377" s="24"/>
      <c r="FF377" s="24"/>
      <c r="FG377" s="24"/>
      <c r="FH377" s="24"/>
      <c r="FI377" s="24"/>
      <c r="FJ377" s="24"/>
      <c r="FK377" s="24"/>
      <c r="FL377" s="24"/>
      <c r="FM377" s="24"/>
      <c r="FN377" s="24"/>
      <c r="FO377" s="24"/>
      <c r="FP377" s="24"/>
      <c r="FQ377" s="24"/>
      <c r="FR377" s="24"/>
      <c r="FS377" s="24"/>
      <c r="FT377" s="24"/>
      <c r="FU377" s="24"/>
      <c r="FV377" s="24"/>
      <c r="FW377" s="24"/>
      <c r="FX377" s="24"/>
      <c r="FY377" s="24"/>
      <c r="FZ377" s="24"/>
      <c r="GA377" s="24"/>
      <c r="GB377" s="24"/>
      <c r="GC377" s="24"/>
      <c r="GD377" s="24"/>
      <c r="GE377" s="24"/>
      <c r="GF377" s="24"/>
      <c r="GG377" s="24"/>
      <c r="GH377" s="24"/>
      <c r="GI377" s="24"/>
      <c r="GJ377" s="24"/>
      <c r="GK377" s="24"/>
      <c r="GL377" s="24"/>
      <c r="GM377" s="24"/>
      <c r="GN377" s="24"/>
      <c r="GO377" s="24"/>
      <c r="GP377" s="24"/>
      <c r="GQ377" s="24"/>
      <c r="GR377" s="24"/>
      <c r="GS377" s="24"/>
      <c r="GT377" s="24"/>
      <c r="GU377" s="24"/>
      <c r="GV377" s="24"/>
      <c r="GW377" s="24"/>
      <c r="GX377" s="24"/>
      <c r="GY377" s="24"/>
      <c r="GZ377" s="24"/>
      <c r="HA377" s="24"/>
      <c r="HB377" s="24"/>
      <c r="HC377" s="24"/>
      <c r="HD377" s="24"/>
      <c r="HE377" s="24"/>
      <c r="HF377" s="24"/>
      <c r="HG377" s="24"/>
      <c r="HH377" s="24"/>
      <c r="HI377" s="24"/>
      <c r="HJ377" s="24"/>
      <c r="HK377" s="24"/>
      <c r="HL377" s="24"/>
    </row>
    <row r="378" spans="1:220" s="23" customFormat="1" ht="14.25" customHeight="1" x14ac:dyDescent="0.2">
      <c r="A378" s="20"/>
      <c r="B378" s="21"/>
      <c r="C378" s="22"/>
      <c r="D378" s="22"/>
      <c r="E378" s="22"/>
      <c r="G378" s="22"/>
      <c r="H378" s="22"/>
      <c r="I378" s="22"/>
      <c r="K378" s="22"/>
      <c r="L378" s="22"/>
      <c r="M378" s="22"/>
      <c r="O378" s="22"/>
      <c r="P378" s="22"/>
      <c r="Q378" s="22"/>
      <c r="S378" s="22"/>
      <c r="T378" s="22"/>
      <c r="U378" s="22"/>
      <c r="W378" s="22"/>
      <c r="X378" s="22"/>
      <c r="Y378" s="22"/>
      <c r="AA378" s="22"/>
      <c r="AB378" s="22"/>
      <c r="AC378" s="22"/>
      <c r="AE378" s="24"/>
      <c r="AF378" s="24"/>
      <c r="AG378" s="24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6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24"/>
      <c r="DJ378" s="24"/>
      <c r="DK378" s="24"/>
      <c r="DL378" s="24"/>
      <c r="DM378" s="24"/>
      <c r="DN378" s="24"/>
      <c r="DO378" s="24"/>
      <c r="DP378" s="24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/>
      <c r="EB378" s="24"/>
      <c r="EC378" s="24"/>
      <c r="ED378" s="24"/>
      <c r="EE378" s="24"/>
      <c r="EF378" s="24"/>
      <c r="EG378" s="24"/>
      <c r="EH378" s="24"/>
      <c r="EI378" s="24"/>
      <c r="EJ378" s="24"/>
      <c r="EK378" s="24"/>
      <c r="EL378" s="24"/>
      <c r="EM378" s="24"/>
      <c r="EN378" s="24"/>
      <c r="EO378" s="24"/>
      <c r="EP378" s="24"/>
      <c r="EQ378" s="24"/>
      <c r="ER378" s="24"/>
      <c r="ES378" s="24"/>
      <c r="ET378" s="24"/>
      <c r="EU378" s="24"/>
      <c r="EV378" s="24"/>
      <c r="EW378" s="24"/>
      <c r="EX378" s="24"/>
      <c r="EY378" s="24"/>
      <c r="EZ378" s="24"/>
      <c r="FA378" s="24"/>
      <c r="FB378" s="24"/>
      <c r="FC378" s="24"/>
      <c r="FD378" s="24"/>
      <c r="FE378" s="24"/>
      <c r="FF378" s="24"/>
      <c r="FG378" s="24"/>
      <c r="FH378" s="24"/>
      <c r="FI378" s="24"/>
      <c r="FJ378" s="24"/>
      <c r="FK378" s="24"/>
      <c r="FL378" s="24"/>
      <c r="FM378" s="24"/>
      <c r="FN378" s="24"/>
      <c r="FO378" s="24"/>
      <c r="FP378" s="24"/>
      <c r="FQ378" s="24"/>
      <c r="FR378" s="24"/>
      <c r="FS378" s="24"/>
      <c r="FT378" s="24"/>
      <c r="FU378" s="24"/>
      <c r="FV378" s="24"/>
      <c r="FW378" s="24"/>
      <c r="FX378" s="24"/>
      <c r="FY378" s="24"/>
      <c r="FZ378" s="24"/>
      <c r="GA378" s="24"/>
      <c r="GB378" s="24"/>
      <c r="GC378" s="24"/>
      <c r="GD378" s="24"/>
      <c r="GE378" s="24"/>
      <c r="GF378" s="24"/>
      <c r="GG378" s="24"/>
      <c r="GH378" s="24"/>
      <c r="GI378" s="24"/>
      <c r="GJ378" s="24"/>
      <c r="GK378" s="24"/>
      <c r="GL378" s="24"/>
      <c r="GM378" s="24"/>
      <c r="GN378" s="24"/>
      <c r="GO378" s="24"/>
      <c r="GP378" s="24"/>
      <c r="GQ378" s="24"/>
      <c r="GR378" s="24"/>
      <c r="GS378" s="24"/>
      <c r="GT378" s="24"/>
      <c r="GU378" s="24"/>
      <c r="GV378" s="24"/>
      <c r="GW378" s="24"/>
      <c r="GX378" s="24"/>
      <c r="GY378" s="24"/>
      <c r="GZ378" s="24"/>
      <c r="HA378" s="24"/>
      <c r="HB378" s="24"/>
      <c r="HC378" s="24"/>
      <c r="HD378" s="24"/>
      <c r="HE378" s="24"/>
      <c r="HF378" s="24"/>
      <c r="HG378" s="24"/>
      <c r="HH378" s="24"/>
      <c r="HI378" s="24"/>
      <c r="HJ378" s="24"/>
      <c r="HK378" s="24"/>
      <c r="HL378" s="24"/>
    </row>
    <row r="379" spans="1:220" s="23" customFormat="1" ht="14.25" customHeight="1" x14ac:dyDescent="0.2">
      <c r="A379" s="20"/>
      <c r="B379" s="21"/>
      <c r="C379" s="22"/>
      <c r="D379" s="22"/>
      <c r="E379" s="22"/>
      <c r="G379" s="22"/>
      <c r="H379" s="22"/>
      <c r="I379" s="22"/>
      <c r="K379" s="22"/>
      <c r="L379" s="22"/>
      <c r="M379" s="22"/>
      <c r="O379" s="22"/>
      <c r="P379" s="22"/>
      <c r="Q379" s="22"/>
      <c r="S379" s="22"/>
      <c r="T379" s="22"/>
      <c r="U379" s="22"/>
      <c r="W379" s="22"/>
      <c r="X379" s="22"/>
      <c r="Y379" s="22"/>
      <c r="AA379" s="22"/>
      <c r="AB379" s="22"/>
      <c r="AC379" s="22"/>
      <c r="AE379" s="24"/>
      <c r="AF379" s="24"/>
      <c r="AG379" s="24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6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/>
      <c r="DI379" s="24"/>
      <c r="DJ379" s="24"/>
      <c r="DK379" s="24"/>
      <c r="DL379" s="24"/>
      <c r="DM379" s="24"/>
      <c r="DN379" s="24"/>
      <c r="DO379" s="24"/>
      <c r="DP379" s="24"/>
      <c r="DQ379" s="24"/>
      <c r="DR379" s="24"/>
      <c r="DS379" s="24"/>
      <c r="DT379" s="24"/>
      <c r="DU379" s="24"/>
      <c r="DV379" s="24"/>
      <c r="DW379" s="24"/>
      <c r="DX379" s="24"/>
      <c r="DY379" s="24"/>
      <c r="DZ379" s="24"/>
      <c r="EA379" s="24"/>
      <c r="EB379" s="24"/>
      <c r="EC379" s="24"/>
      <c r="ED379" s="24"/>
      <c r="EE379" s="24"/>
      <c r="EF379" s="24"/>
      <c r="EG379" s="24"/>
      <c r="EH379" s="24"/>
      <c r="EI379" s="24"/>
      <c r="EJ379" s="24"/>
      <c r="EK379" s="24"/>
      <c r="EL379" s="24"/>
      <c r="EM379" s="24"/>
      <c r="EN379" s="24"/>
      <c r="EO379" s="24"/>
      <c r="EP379" s="24"/>
      <c r="EQ379" s="24"/>
      <c r="ER379" s="24"/>
      <c r="ES379" s="24"/>
      <c r="ET379" s="24"/>
      <c r="EU379" s="24"/>
      <c r="EV379" s="24"/>
      <c r="EW379" s="24"/>
      <c r="EX379" s="24"/>
      <c r="EY379" s="24"/>
      <c r="EZ379" s="24"/>
      <c r="FA379" s="24"/>
      <c r="FB379" s="24"/>
      <c r="FC379" s="24"/>
      <c r="FD379" s="24"/>
      <c r="FE379" s="24"/>
      <c r="FF379" s="24"/>
      <c r="FG379" s="24"/>
      <c r="FH379" s="24"/>
      <c r="FI379" s="24"/>
      <c r="FJ379" s="24"/>
      <c r="FK379" s="24"/>
      <c r="FL379" s="24"/>
      <c r="FM379" s="24"/>
      <c r="FN379" s="24"/>
      <c r="FO379" s="24"/>
      <c r="FP379" s="24"/>
      <c r="FQ379" s="24"/>
      <c r="FR379" s="24"/>
      <c r="FS379" s="24"/>
      <c r="FT379" s="24"/>
      <c r="FU379" s="24"/>
      <c r="FV379" s="24"/>
      <c r="FW379" s="24"/>
      <c r="FX379" s="24"/>
      <c r="FY379" s="24"/>
      <c r="FZ379" s="24"/>
      <c r="GA379" s="24"/>
      <c r="GB379" s="24"/>
      <c r="GC379" s="24"/>
      <c r="GD379" s="24"/>
      <c r="GE379" s="24"/>
      <c r="GF379" s="24"/>
      <c r="GG379" s="24"/>
      <c r="GH379" s="24"/>
      <c r="GI379" s="24"/>
      <c r="GJ379" s="24"/>
      <c r="GK379" s="24"/>
      <c r="GL379" s="24"/>
      <c r="GM379" s="24"/>
      <c r="GN379" s="24"/>
      <c r="GO379" s="24"/>
      <c r="GP379" s="24"/>
      <c r="GQ379" s="24"/>
      <c r="GR379" s="24"/>
      <c r="GS379" s="24"/>
      <c r="GT379" s="24"/>
      <c r="GU379" s="24"/>
      <c r="GV379" s="24"/>
      <c r="GW379" s="24"/>
      <c r="GX379" s="24"/>
      <c r="GY379" s="24"/>
      <c r="GZ379" s="24"/>
      <c r="HA379" s="24"/>
      <c r="HB379" s="24"/>
      <c r="HC379" s="24"/>
      <c r="HD379" s="24"/>
      <c r="HE379" s="24"/>
      <c r="HF379" s="24"/>
      <c r="HG379" s="24"/>
      <c r="HH379" s="24"/>
      <c r="HI379" s="24"/>
      <c r="HJ379" s="24"/>
      <c r="HK379" s="24"/>
      <c r="HL379" s="24"/>
    </row>
    <row r="380" spans="1:220" s="23" customFormat="1" ht="14.25" customHeight="1" x14ac:dyDescent="0.2">
      <c r="A380" s="20"/>
      <c r="B380" s="21"/>
      <c r="C380" s="22"/>
      <c r="D380" s="22"/>
      <c r="E380" s="22"/>
      <c r="G380" s="22"/>
      <c r="H380" s="22"/>
      <c r="I380" s="22"/>
      <c r="K380" s="22"/>
      <c r="L380" s="22"/>
      <c r="M380" s="22"/>
      <c r="O380" s="22"/>
      <c r="P380" s="22"/>
      <c r="Q380" s="22"/>
      <c r="S380" s="22"/>
      <c r="T380" s="22"/>
      <c r="U380" s="22"/>
      <c r="W380" s="22"/>
      <c r="X380" s="22"/>
      <c r="Y380" s="22"/>
      <c r="AA380" s="22"/>
      <c r="AB380" s="22"/>
      <c r="AC380" s="22"/>
      <c r="AE380" s="24"/>
      <c r="AF380" s="24"/>
      <c r="AG380" s="24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6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/>
      <c r="DI380" s="24"/>
      <c r="DJ380" s="24"/>
      <c r="DK380" s="24"/>
      <c r="DL380" s="24"/>
      <c r="DM380" s="24"/>
      <c r="DN380" s="24"/>
      <c r="DO380" s="24"/>
      <c r="DP380" s="24"/>
      <c r="DQ380" s="24"/>
      <c r="DR380" s="24"/>
      <c r="DS380" s="24"/>
      <c r="DT380" s="24"/>
      <c r="DU380" s="24"/>
      <c r="DV380" s="24"/>
      <c r="DW380" s="24"/>
      <c r="DX380" s="24"/>
      <c r="DY380" s="24"/>
      <c r="DZ380" s="24"/>
      <c r="EA380" s="24"/>
      <c r="EB380" s="24"/>
      <c r="EC380" s="24"/>
      <c r="ED380" s="24"/>
      <c r="EE380" s="24"/>
      <c r="EF380" s="24"/>
      <c r="EG380" s="24"/>
      <c r="EH380" s="24"/>
      <c r="EI380" s="24"/>
      <c r="EJ380" s="24"/>
      <c r="EK380" s="24"/>
      <c r="EL380" s="24"/>
      <c r="EM380" s="24"/>
      <c r="EN380" s="24"/>
      <c r="EO380" s="24"/>
      <c r="EP380" s="24"/>
      <c r="EQ380" s="24"/>
      <c r="ER380" s="24"/>
      <c r="ES380" s="24"/>
      <c r="ET380" s="24"/>
      <c r="EU380" s="24"/>
      <c r="EV380" s="24"/>
      <c r="EW380" s="24"/>
      <c r="EX380" s="24"/>
      <c r="EY380" s="24"/>
      <c r="EZ380" s="24"/>
      <c r="FA380" s="24"/>
      <c r="FB380" s="24"/>
      <c r="FC380" s="24"/>
      <c r="FD380" s="24"/>
      <c r="FE380" s="24"/>
      <c r="FF380" s="24"/>
      <c r="FG380" s="24"/>
      <c r="FH380" s="24"/>
      <c r="FI380" s="24"/>
      <c r="FJ380" s="24"/>
      <c r="FK380" s="24"/>
      <c r="FL380" s="24"/>
      <c r="FM380" s="24"/>
      <c r="FN380" s="24"/>
      <c r="FO380" s="24"/>
      <c r="FP380" s="24"/>
      <c r="FQ380" s="24"/>
      <c r="FR380" s="24"/>
      <c r="FS380" s="24"/>
      <c r="FT380" s="24"/>
      <c r="FU380" s="24"/>
      <c r="FV380" s="24"/>
      <c r="FW380" s="24"/>
      <c r="FX380" s="24"/>
      <c r="FY380" s="24"/>
      <c r="FZ380" s="24"/>
      <c r="GA380" s="24"/>
      <c r="GB380" s="24"/>
      <c r="GC380" s="24"/>
      <c r="GD380" s="24"/>
      <c r="GE380" s="24"/>
      <c r="GF380" s="24"/>
      <c r="GG380" s="24"/>
      <c r="GH380" s="24"/>
      <c r="GI380" s="24"/>
      <c r="GJ380" s="24"/>
      <c r="GK380" s="24"/>
      <c r="GL380" s="24"/>
      <c r="GM380" s="24"/>
      <c r="GN380" s="24"/>
      <c r="GO380" s="24"/>
      <c r="GP380" s="24"/>
      <c r="GQ380" s="24"/>
      <c r="GR380" s="24"/>
      <c r="GS380" s="24"/>
      <c r="GT380" s="24"/>
      <c r="GU380" s="24"/>
      <c r="GV380" s="24"/>
      <c r="GW380" s="24"/>
      <c r="GX380" s="24"/>
      <c r="GY380" s="24"/>
      <c r="GZ380" s="24"/>
      <c r="HA380" s="24"/>
      <c r="HB380" s="24"/>
      <c r="HC380" s="24"/>
      <c r="HD380" s="24"/>
      <c r="HE380" s="24"/>
      <c r="HF380" s="24"/>
      <c r="HG380" s="24"/>
      <c r="HH380" s="24"/>
      <c r="HI380" s="24"/>
      <c r="HJ380" s="24"/>
      <c r="HK380" s="24"/>
      <c r="HL380" s="24"/>
    </row>
    <row r="381" spans="1:220" s="23" customFormat="1" ht="14.25" customHeight="1" x14ac:dyDescent="0.2">
      <c r="A381" s="20"/>
      <c r="B381" s="21"/>
      <c r="C381" s="22"/>
      <c r="D381" s="22"/>
      <c r="E381" s="22"/>
      <c r="G381" s="22"/>
      <c r="H381" s="22"/>
      <c r="I381" s="22"/>
      <c r="K381" s="22"/>
      <c r="L381" s="22"/>
      <c r="M381" s="22"/>
      <c r="O381" s="22"/>
      <c r="P381" s="22"/>
      <c r="Q381" s="22"/>
      <c r="S381" s="22"/>
      <c r="T381" s="22"/>
      <c r="U381" s="22"/>
      <c r="W381" s="22"/>
      <c r="X381" s="22"/>
      <c r="Y381" s="22"/>
      <c r="AA381" s="22"/>
      <c r="AB381" s="22"/>
      <c r="AC381" s="22"/>
      <c r="AE381" s="24"/>
      <c r="AF381" s="24"/>
      <c r="AG381" s="24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6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/>
      <c r="DI381" s="24"/>
      <c r="DJ381" s="24"/>
      <c r="DK381" s="24"/>
      <c r="DL381" s="24"/>
      <c r="DM381" s="24"/>
      <c r="DN381" s="24"/>
      <c r="DO381" s="24"/>
      <c r="DP381" s="24"/>
      <c r="DQ381" s="24"/>
      <c r="DR381" s="24"/>
      <c r="DS381" s="24"/>
      <c r="DT381" s="24"/>
      <c r="DU381" s="24"/>
      <c r="DV381" s="24"/>
      <c r="DW381" s="24"/>
      <c r="DX381" s="24"/>
      <c r="DY381" s="24"/>
      <c r="DZ381" s="24"/>
      <c r="EA381" s="24"/>
      <c r="EB381" s="24"/>
      <c r="EC381" s="24"/>
      <c r="ED381" s="24"/>
      <c r="EE381" s="24"/>
      <c r="EF381" s="24"/>
      <c r="EG381" s="24"/>
      <c r="EH381" s="24"/>
      <c r="EI381" s="24"/>
      <c r="EJ381" s="24"/>
      <c r="EK381" s="24"/>
      <c r="EL381" s="24"/>
      <c r="EM381" s="24"/>
      <c r="EN381" s="24"/>
      <c r="EO381" s="24"/>
      <c r="EP381" s="24"/>
      <c r="EQ381" s="24"/>
      <c r="ER381" s="24"/>
      <c r="ES381" s="24"/>
      <c r="ET381" s="24"/>
      <c r="EU381" s="24"/>
      <c r="EV381" s="24"/>
      <c r="EW381" s="24"/>
      <c r="EX381" s="24"/>
      <c r="EY381" s="24"/>
      <c r="EZ381" s="24"/>
      <c r="FA381" s="24"/>
      <c r="FB381" s="24"/>
      <c r="FC381" s="24"/>
      <c r="FD381" s="24"/>
      <c r="FE381" s="24"/>
      <c r="FF381" s="24"/>
      <c r="FG381" s="24"/>
      <c r="FH381" s="24"/>
      <c r="FI381" s="24"/>
      <c r="FJ381" s="24"/>
      <c r="FK381" s="24"/>
      <c r="FL381" s="24"/>
      <c r="FM381" s="24"/>
      <c r="FN381" s="24"/>
      <c r="FO381" s="24"/>
      <c r="FP381" s="24"/>
      <c r="FQ381" s="24"/>
      <c r="FR381" s="24"/>
      <c r="FS381" s="24"/>
      <c r="FT381" s="24"/>
      <c r="FU381" s="24"/>
      <c r="FV381" s="24"/>
      <c r="FW381" s="24"/>
      <c r="FX381" s="24"/>
      <c r="FY381" s="24"/>
      <c r="FZ381" s="24"/>
      <c r="GA381" s="24"/>
      <c r="GB381" s="24"/>
      <c r="GC381" s="24"/>
      <c r="GD381" s="24"/>
      <c r="GE381" s="24"/>
      <c r="GF381" s="24"/>
      <c r="GG381" s="24"/>
      <c r="GH381" s="24"/>
      <c r="GI381" s="24"/>
      <c r="GJ381" s="24"/>
      <c r="GK381" s="24"/>
      <c r="GL381" s="24"/>
      <c r="GM381" s="24"/>
      <c r="GN381" s="24"/>
      <c r="GO381" s="24"/>
      <c r="GP381" s="24"/>
      <c r="GQ381" s="24"/>
      <c r="GR381" s="24"/>
      <c r="GS381" s="24"/>
      <c r="GT381" s="24"/>
      <c r="GU381" s="24"/>
      <c r="GV381" s="24"/>
      <c r="GW381" s="24"/>
      <c r="GX381" s="24"/>
      <c r="GY381" s="24"/>
      <c r="GZ381" s="24"/>
      <c r="HA381" s="24"/>
      <c r="HB381" s="24"/>
      <c r="HC381" s="24"/>
      <c r="HD381" s="24"/>
      <c r="HE381" s="24"/>
      <c r="HF381" s="24"/>
      <c r="HG381" s="24"/>
      <c r="HH381" s="24"/>
      <c r="HI381" s="24"/>
      <c r="HJ381" s="24"/>
      <c r="HK381" s="24"/>
      <c r="HL381" s="24"/>
    </row>
  </sheetData>
  <mergeCells count="128">
    <mergeCell ref="AJ46:AK46"/>
    <mergeCell ref="AL46:AM46"/>
    <mergeCell ref="AN46:AO46"/>
    <mergeCell ref="AP46:AQ46"/>
    <mergeCell ref="AR46:AS46"/>
    <mergeCell ref="AT46:AU46"/>
    <mergeCell ref="C47:P48"/>
    <mergeCell ref="K43:S44"/>
    <mergeCell ref="AH44:AI44"/>
    <mergeCell ref="AJ44:AK44"/>
    <mergeCell ref="AL44:AM44"/>
    <mergeCell ref="AN44:AO44"/>
    <mergeCell ref="AP44:AQ44"/>
    <mergeCell ref="AR44:AS44"/>
    <mergeCell ref="AT44:AU44"/>
    <mergeCell ref="K45:S45"/>
    <mergeCell ref="AH45:AI45"/>
    <mergeCell ref="AJ45:AK45"/>
    <mergeCell ref="AL45:AM45"/>
    <mergeCell ref="AN45:AO45"/>
    <mergeCell ref="AP45:AQ45"/>
    <mergeCell ref="AR45:AS45"/>
    <mergeCell ref="AT45:AU45"/>
    <mergeCell ref="AA42:AD42"/>
    <mergeCell ref="C41:F41"/>
    <mergeCell ref="G41:J41"/>
    <mergeCell ref="K41:N41"/>
    <mergeCell ref="O41:R41"/>
    <mergeCell ref="S41:V41"/>
    <mergeCell ref="W41:Z41"/>
    <mergeCell ref="AA41:AD41"/>
    <mergeCell ref="AH46:AI46"/>
    <mergeCell ref="C51:E51"/>
    <mergeCell ref="F51:H51"/>
    <mergeCell ref="I51:K51"/>
    <mergeCell ref="L51:N51"/>
    <mergeCell ref="O51:Q51"/>
    <mergeCell ref="R51:T51"/>
    <mergeCell ref="U51:W51"/>
    <mergeCell ref="K46:S46"/>
    <mergeCell ref="S42:V42"/>
    <mergeCell ref="A29:A40"/>
    <mergeCell ref="AA5:AB5"/>
    <mergeCell ref="AC5:AD5"/>
    <mergeCell ref="S5:T5"/>
    <mergeCell ref="U5:V5"/>
    <mergeCell ref="W5:X5"/>
    <mergeCell ref="Y5:Z5"/>
    <mergeCell ref="C40:F40"/>
    <mergeCell ref="G40:J40"/>
    <mergeCell ref="K40:N40"/>
    <mergeCell ref="O40:R40"/>
    <mergeCell ref="S40:V40"/>
    <mergeCell ref="W40:Z40"/>
    <mergeCell ref="AA40:AD40"/>
    <mergeCell ref="C28:F28"/>
    <mergeCell ref="G28:J28"/>
    <mergeCell ref="K28:N28"/>
    <mergeCell ref="O28:R28"/>
    <mergeCell ref="S28:V28"/>
    <mergeCell ref="W28:Z28"/>
    <mergeCell ref="AA28:AD28"/>
    <mergeCell ref="AJ5:AK5"/>
    <mergeCell ref="A15:A27"/>
    <mergeCell ref="AL5:AM5"/>
    <mergeCell ref="AN5:AO5"/>
    <mergeCell ref="AP5:AQ5"/>
    <mergeCell ref="AR5:AS5"/>
    <mergeCell ref="AT5:AU5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Q5:R5"/>
    <mergeCell ref="AT3:AU3"/>
    <mergeCell ref="C4:F4"/>
    <mergeCell ref="G4:J4"/>
    <mergeCell ref="K4:N4"/>
    <mergeCell ref="O4:R4"/>
    <mergeCell ref="S4:V4"/>
    <mergeCell ref="W4:Z4"/>
    <mergeCell ref="AA4:AD4"/>
    <mergeCell ref="AH4:AI4"/>
    <mergeCell ref="AJ4:AK4"/>
    <mergeCell ref="AL4:AM4"/>
    <mergeCell ref="AN4:AO4"/>
    <mergeCell ref="AP4:AQ4"/>
    <mergeCell ref="AR4:AS4"/>
    <mergeCell ref="AT4:AU4"/>
    <mergeCell ref="AJ3:AK3"/>
    <mergeCell ref="AL3:AM3"/>
    <mergeCell ref="AN3:AO3"/>
    <mergeCell ref="AP3:AQ3"/>
    <mergeCell ref="AR3:AS3"/>
    <mergeCell ref="AH1:AI1"/>
    <mergeCell ref="AH2:AI2"/>
    <mergeCell ref="A3:A9"/>
    <mergeCell ref="B3:B9"/>
    <mergeCell ref="C3:F3"/>
    <mergeCell ref="G3:J3"/>
    <mergeCell ref="K3:N3"/>
    <mergeCell ref="O3:R3"/>
    <mergeCell ref="S3:V3"/>
    <mergeCell ref="W3:Z3"/>
    <mergeCell ref="AA3:AD3"/>
    <mergeCell ref="AE3:AE4"/>
    <mergeCell ref="AF3:AF9"/>
    <mergeCell ref="AG3:AG13"/>
    <mergeCell ref="AH3:AI3"/>
    <mergeCell ref="C5:D5"/>
    <mergeCell ref="E5:F5"/>
    <mergeCell ref="G5:H5"/>
    <mergeCell ref="I5:J5"/>
    <mergeCell ref="K5:L5"/>
    <mergeCell ref="M5:N5"/>
    <mergeCell ref="O5:P5"/>
    <mergeCell ref="AH5:AI5"/>
    <mergeCell ref="A1:AD2"/>
  </mergeCells>
  <phoneticPr fontId="52" type="noConversion"/>
  <conditionalFormatting sqref="AE5">
    <cfRule type="cellIs" dxfId="4" priority="2" operator="lessThan">
      <formula>$AK$2</formula>
    </cfRule>
    <cfRule type="cellIs" dxfId="3" priority="3" operator="greaterThan">
      <formula>$AK$2</formula>
    </cfRule>
  </conditionalFormatting>
  <printOptions horizontalCentered="1" verticalCentered="1" gridLines="1"/>
  <pageMargins left="0.25" right="0.25" top="0.75" bottom="0.75" header="0.3" footer="0.3"/>
  <pageSetup paperSize="9" scale="71" firstPageNumber="0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7D1A-72C0-5848-B734-3F30D88DC4B3}">
  <dimension ref="A1:AKP198"/>
  <sheetViews>
    <sheetView workbookViewId="0">
      <selection activeCell="S3" sqref="S3:Z3"/>
    </sheetView>
  </sheetViews>
  <sheetFormatPr baseColWidth="10" defaultColWidth="8.85546875" defaultRowHeight="15" x14ac:dyDescent="0.25"/>
  <cols>
    <col min="1" max="1" width="2.28515625" style="20" customWidth="1"/>
    <col min="2" max="2" width="12.140625" style="21" customWidth="1"/>
    <col min="3" max="3" width="3.28515625" style="22" customWidth="1"/>
    <col min="4" max="5" width="3.42578125" style="22" customWidth="1"/>
    <col min="6" max="6" width="3.42578125" style="23" customWidth="1"/>
    <col min="7" max="9" width="3.42578125" style="22" customWidth="1"/>
    <col min="10" max="10" width="3.42578125" style="23" customWidth="1"/>
    <col min="11" max="13" width="3.42578125" style="22" customWidth="1"/>
    <col min="14" max="14" width="3.42578125" style="23" customWidth="1"/>
    <col min="15" max="17" width="3.42578125" style="22" customWidth="1"/>
    <col min="18" max="18" width="3.42578125" style="23" customWidth="1"/>
    <col min="19" max="21" width="3.42578125" style="22" customWidth="1"/>
    <col min="22" max="22" width="3.42578125" style="23" customWidth="1"/>
    <col min="23" max="25" width="3.42578125" style="22" customWidth="1"/>
    <col min="26" max="26" width="3.42578125" style="23" customWidth="1"/>
    <col min="27" max="32" width="3.42578125" style="22" customWidth="1"/>
    <col min="33" max="33" width="3.42578125" style="23" customWidth="1"/>
    <col min="34" max="34" width="7.140625" style="24" hidden="1" customWidth="1"/>
    <col min="35" max="35" width="12.28515625" style="24" hidden="1" customWidth="1"/>
    <col min="36" max="49" width="9.140625" style="25" hidden="1" customWidth="1"/>
    <col min="50" max="50" width="13.7109375" style="26" hidden="1" customWidth="1"/>
    <col min="51" max="167" width="11.28515625" style="24" customWidth="1"/>
    <col min="168" max="168" width="11.140625" style="24" customWidth="1"/>
    <col min="169" max="978" width="11.28515625" style="24" customWidth="1"/>
  </cols>
  <sheetData>
    <row r="1" spans="1:50" ht="14.25" customHeight="1" x14ac:dyDescent="0.25">
      <c r="A1" s="440" t="s">
        <v>366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27"/>
      <c r="AI1" s="28" t="s">
        <v>244</v>
      </c>
      <c r="AJ1" s="422" t="s">
        <v>245</v>
      </c>
      <c r="AK1" s="422"/>
      <c r="AL1" s="29">
        <v>28</v>
      </c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1"/>
    </row>
    <row r="2" spans="1:50" ht="21.95" customHeight="1" thickBot="1" x14ac:dyDescent="0.3">
      <c r="A2" s="441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1"/>
      <c r="AH2" s="27"/>
      <c r="AI2" s="32" t="e">
        <f>#REF!</f>
        <v>#REF!</v>
      </c>
      <c r="AJ2" s="423" t="s">
        <v>246</v>
      </c>
      <c r="AK2" s="423"/>
      <c r="AL2" s="33">
        <v>42</v>
      </c>
      <c r="AM2" s="34">
        <f>AL2/100</f>
        <v>0.42</v>
      </c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1"/>
    </row>
    <row r="3" spans="1:50" ht="27" customHeight="1" thickBot="1" x14ac:dyDescent="0.3">
      <c r="A3" s="424"/>
      <c r="B3" s="426"/>
      <c r="C3" s="225"/>
      <c r="D3" s="503" t="s">
        <v>401</v>
      </c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4"/>
      <c r="S3" s="505" t="s">
        <v>403</v>
      </c>
      <c r="T3" s="506"/>
      <c r="U3" s="506"/>
      <c r="V3" s="506"/>
      <c r="W3" s="506"/>
      <c r="X3" s="506"/>
      <c r="Y3" s="506"/>
      <c r="Z3" s="507"/>
      <c r="AA3" s="505" t="s">
        <v>414</v>
      </c>
      <c r="AB3" s="506"/>
      <c r="AC3" s="506"/>
      <c r="AD3" s="506"/>
      <c r="AE3" s="506"/>
      <c r="AF3" s="506"/>
      <c r="AG3" s="507"/>
      <c r="AH3" s="431"/>
      <c r="AI3" s="432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35"/>
    </row>
    <row r="4" spans="1:50" ht="27" customHeight="1" thickBot="1" x14ac:dyDescent="0.3">
      <c r="A4" s="424"/>
      <c r="B4" s="426"/>
      <c r="C4" s="509" t="s">
        <v>402</v>
      </c>
      <c r="D4" s="510"/>
      <c r="E4" s="510"/>
      <c r="F4" s="510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511"/>
      <c r="S4" s="512" t="s">
        <v>404</v>
      </c>
      <c r="T4" s="513"/>
      <c r="U4" s="513"/>
      <c r="V4" s="514"/>
      <c r="W4" s="512" t="s">
        <v>405</v>
      </c>
      <c r="X4" s="513"/>
      <c r="Y4" s="513"/>
      <c r="Z4" s="514"/>
      <c r="AA4" s="512" t="s">
        <v>406</v>
      </c>
      <c r="AB4" s="513"/>
      <c r="AC4" s="513"/>
      <c r="AD4" s="513"/>
      <c r="AE4" s="513"/>
      <c r="AF4" s="513"/>
      <c r="AG4" s="514"/>
      <c r="AH4" s="431"/>
      <c r="AI4" s="432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35"/>
    </row>
    <row r="5" spans="1:50" ht="9.9499999999999993" customHeight="1" thickBot="1" x14ac:dyDescent="0.3">
      <c r="A5" s="424"/>
      <c r="B5" s="426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493"/>
      <c r="T5" s="493"/>
      <c r="U5" s="493"/>
      <c r="V5" s="493"/>
      <c r="W5" s="493"/>
      <c r="X5" s="493"/>
      <c r="Y5" s="493"/>
      <c r="Z5" s="493"/>
      <c r="AA5" s="493"/>
      <c r="AB5" s="493"/>
      <c r="AC5" s="493"/>
      <c r="AD5" s="493"/>
      <c r="AE5" s="493"/>
      <c r="AF5" s="493"/>
      <c r="AG5" s="493"/>
      <c r="AH5" s="508"/>
      <c r="AI5" s="432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35"/>
    </row>
    <row r="6" spans="1:50" ht="14.25" customHeight="1" thickTop="1" thickBot="1" x14ac:dyDescent="0.3">
      <c r="A6" s="424"/>
      <c r="B6" s="426"/>
      <c r="C6" s="286">
        <v>1</v>
      </c>
      <c r="D6" s="286">
        <v>2</v>
      </c>
      <c r="E6" s="286">
        <v>3</v>
      </c>
      <c r="F6" s="286">
        <v>4</v>
      </c>
      <c r="G6" s="286">
        <v>5</v>
      </c>
      <c r="H6" s="286">
        <v>6</v>
      </c>
      <c r="I6" s="286">
        <v>7</v>
      </c>
      <c r="J6" s="286">
        <v>8</v>
      </c>
      <c r="K6" s="286">
        <v>9</v>
      </c>
      <c r="L6" s="286">
        <v>10</v>
      </c>
      <c r="M6" s="286">
        <v>11</v>
      </c>
      <c r="N6" s="286">
        <v>12</v>
      </c>
      <c r="O6" s="286">
        <v>13</v>
      </c>
      <c r="P6" s="286">
        <v>14</v>
      </c>
      <c r="Q6" s="286">
        <v>15</v>
      </c>
      <c r="R6" s="286">
        <v>16</v>
      </c>
      <c r="S6" s="286">
        <v>17</v>
      </c>
      <c r="T6" s="286">
        <v>18</v>
      </c>
      <c r="U6" s="286">
        <v>19</v>
      </c>
      <c r="V6" s="286">
        <v>20</v>
      </c>
      <c r="W6" s="286">
        <v>21</v>
      </c>
      <c r="X6" s="286">
        <v>22</v>
      </c>
      <c r="Y6" s="286">
        <v>23</v>
      </c>
      <c r="Z6" s="286">
        <v>24</v>
      </c>
      <c r="AA6" s="286">
        <v>25</v>
      </c>
      <c r="AB6" s="286">
        <v>26</v>
      </c>
      <c r="AC6" s="286">
        <v>27</v>
      </c>
      <c r="AD6" s="286">
        <v>28</v>
      </c>
      <c r="AE6" s="286">
        <v>29</v>
      </c>
      <c r="AF6" s="286">
        <v>30</v>
      </c>
      <c r="AG6" s="286"/>
      <c r="AH6" s="508"/>
      <c r="AI6" s="432"/>
      <c r="AJ6" s="39" t="s">
        <v>259</v>
      </c>
      <c r="AK6" s="40" t="s">
        <v>260</v>
      </c>
      <c r="AL6" s="39" t="s">
        <v>259</v>
      </c>
      <c r="AM6" s="40" t="s">
        <v>260</v>
      </c>
      <c r="AN6" s="39" t="s">
        <v>259</v>
      </c>
      <c r="AO6" s="40" t="s">
        <v>260</v>
      </c>
      <c r="AP6" s="39" t="s">
        <v>259</v>
      </c>
      <c r="AQ6" s="40" t="s">
        <v>260</v>
      </c>
      <c r="AR6" s="39" t="s">
        <v>259</v>
      </c>
      <c r="AS6" s="40" t="s">
        <v>260</v>
      </c>
      <c r="AT6" s="39" t="s">
        <v>259</v>
      </c>
      <c r="AU6" s="40" t="s">
        <v>260</v>
      </c>
      <c r="AV6" s="39" t="s">
        <v>259</v>
      </c>
      <c r="AW6" s="40" t="s">
        <v>260</v>
      </c>
      <c r="AX6" s="31"/>
    </row>
    <row r="7" spans="1:50" ht="16.5" thickTop="1" thickBot="1" x14ac:dyDescent="0.3">
      <c r="A7" s="213"/>
      <c r="B7" s="287"/>
      <c r="C7" s="288" t="s">
        <v>408</v>
      </c>
      <c r="D7" s="288" t="s">
        <v>409</v>
      </c>
      <c r="E7" s="288" t="s">
        <v>410</v>
      </c>
      <c r="F7" s="288" t="s">
        <v>411</v>
      </c>
      <c r="G7" s="288" t="s">
        <v>412</v>
      </c>
      <c r="H7" s="288" t="s">
        <v>413</v>
      </c>
      <c r="I7" s="288" t="s">
        <v>407</v>
      </c>
      <c r="J7" s="288" t="s">
        <v>408</v>
      </c>
      <c r="K7" s="288" t="s">
        <v>409</v>
      </c>
      <c r="L7" s="288" t="s">
        <v>410</v>
      </c>
      <c r="M7" s="288" t="s">
        <v>411</v>
      </c>
      <c r="N7" s="288" t="s">
        <v>412</v>
      </c>
      <c r="O7" s="288" t="s">
        <v>413</v>
      </c>
      <c r="P7" s="288" t="s">
        <v>407</v>
      </c>
      <c r="Q7" s="288" t="s">
        <v>408</v>
      </c>
      <c r="R7" s="288" t="s">
        <v>409</v>
      </c>
      <c r="S7" s="288" t="s">
        <v>410</v>
      </c>
      <c r="T7" s="288" t="s">
        <v>411</v>
      </c>
      <c r="U7" s="288" t="s">
        <v>412</v>
      </c>
      <c r="V7" s="288" t="s">
        <v>413</v>
      </c>
      <c r="W7" s="288" t="s">
        <v>407</v>
      </c>
      <c r="X7" s="288" t="s">
        <v>408</v>
      </c>
      <c r="Y7" s="288" t="s">
        <v>409</v>
      </c>
      <c r="Z7" s="288" t="s">
        <v>410</v>
      </c>
      <c r="AA7" s="288" t="s">
        <v>411</v>
      </c>
      <c r="AB7" s="288" t="s">
        <v>412</v>
      </c>
      <c r="AC7" s="288" t="s">
        <v>413</v>
      </c>
      <c r="AD7" s="288" t="s">
        <v>407</v>
      </c>
      <c r="AE7" s="288" t="s">
        <v>408</v>
      </c>
      <c r="AF7" s="288" t="s">
        <v>409</v>
      </c>
      <c r="AG7" s="288"/>
      <c r="AH7" s="193"/>
      <c r="AI7" s="432"/>
      <c r="AJ7" s="191">
        <f>IF(ISERROR(VALUE((MOD(#REF!-#REF!,1))))=TRUE,0,MOD(#REF!-#REF!,1))</f>
        <v>0</v>
      </c>
      <c r="AK7" s="191">
        <f>IF(ISERROR(VALUE((MOD(#REF!-#REF!,1))))=TRUE,0,MOD(#REF!-#REF!,1))</f>
        <v>0</v>
      </c>
      <c r="AL7" s="191">
        <f>IF(ISERROR(VALUE((MOD(#REF!-#REF!,1))))=TRUE,0,MOD(#REF!-#REF!,1))</f>
        <v>0</v>
      </c>
      <c r="AM7" s="191">
        <f>IF(ISERROR(VALUE((MOD(#REF!-#REF!,1))))=TRUE,0,MOD(#REF!-#REF!,1))</f>
        <v>0</v>
      </c>
      <c r="AN7" s="191">
        <f>IF(ISERROR(VALUE((MOD(#REF!-#REF!,1))))=TRUE,0,MOD(#REF!-#REF!,1))</f>
        <v>0</v>
      </c>
      <c r="AO7" s="191">
        <f>IF(ISERROR(VALUE((MOD(#REF!-#REF!,1))))=TRUE,0,MOD(#REF!-#REF!,1))</f>
        <v>0</v>
      </c>
      <c r="AP7" s="191">
        <f>IF(ISERROR(VALUE((MOD(#REF!-#REF!,1))))=TRUE,0,MOD(#REF!-#REF!,1))</f>
        <v>0</v>
      </c>
      <c r="AQ7" s="191">
        <f>IF(ISERROR(VALUE((MOD(#REF!-#REF!,1))))=TRUE,0,MOD(#REF!-#REF!,1))</f>
        <v>0</v>
      </c>
      <c r="AR7" s="191">
        <f>IF(ISERROR(VALUE((MOD(#REF!-#REF!,1))))=TRUE,0,MOD(#REF!-#REF!,1))</f>
        <v>0</v>
      </c>
      <c r="AS7" s="191">
        <f>IF(ISERROR(VALUE((MOD(#REF!-#REF!,1))))=TRUE,0,MOD(#REF!-#REF!,1))</f>
        <v>0</v>
      </c>
      <c r="AT7" s="191">
        <f>IF(ISERROR(VALUE((MOD(#REF!-#REF!,1))))=TRUE,0,MOD(#REF!-#REF!,1))</f>
        <v>0</v>
      </c>
      <c r="AU7" s="191">
        <f>IF(ISERROR(VALUE((MOD(#REF!-#REF!,1))))=TRUE,0,MOD(#REF!-#REF!,1))</f>
        <v>0</v>
      </c>
      <c r="AV7" s="191">
        <f>IF(ISERROR(VALUE((MOD(#REF!-#REF!,1))))=TRUE,0,MOD(#REF!-#REF!,1))</f>
        <v>0</v>
      </c>
      <c r="AW7" s="191">
        <f>IF(ISERROR(VALUE((MOD(#REF!-#REF!,1))))=TRUE,0,MOD(#REF!-#REF!,1))</f>
        <v>0</v>
      </c>
      <c r="AX7" s="31"/>
    </row>
    <row r="8" spans="1:50" ht="15.75" thickBot="1" x14ac:dyDescent="0.3">
      <c r="A8" s="213"/>
      <c r="B8" s="289" t="s">
        <v>377</v>
      </c>
      <c r="C8" s="341" t="s">
        <v>42</v>
      </c>
      <c r="D8" s="342" t="s">
        <v>42</v>
      </c>
      <c r="E8" s="291" t="s">
        <v>426</v>
      </c>
      <c r="F8" s="291" t="s">
        <v>426</v>
      </c>
      <c r="G8" s="291" t="s">
        <v>426</v>
      </c>
      <c r="H8" s="291" t="s">
        <v>426</v>
      </c>
      <c r="I8" s="291" t="s">
        <v>426</v>
      </c>
      <c r="J8" s="291" t="s">
        <v>426</v>
      </c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  <c r="AG8" s="292"/>
      <c r="AH8" s="193"/>
      <c r="AI8" s="432"/>
      <c r="AJ8" s="191">
        <f>IF(ISERROR(VALUE((MOD(#REF!-#REF!,1))))=TRUE,0,MOD(#REF!-#REF!,1))</f>
        <v>0</v>
      </c>
      <c r="AK8" s="191">
        <f>IF(ISERROR(VALUE((MOD(#REF!-#REF!,1))))=TRUE,0,MOD(#REF!-#REF!,1))</f>
        <v>0</v>
      </c>
      <c r="AL8" s="191">
        <f>IF(ISERROR(VALUE((MOD(#REF!-#REF!,1))))=TRUE,0,MOD(#REF!-#REF!,1))</f>
        <v>0</v>
      </c>
      <c r="AM8" s="191">
        <f>IF(ISERROR(VALUE((MOD(#REF!-#REF!,1))))=TRUE,0,MOD(#REF!-#REF!,1))</f>
        <v>0</v>
      </c>
      <c r="AN8" s="191">
        <f>IF(ISERROR(VALUE((MOD(#REF!-#REF!,1))))=TRUE,0,MOD(#REF!-#REF!,1))</f>
        <v>0</v>
      </c>
      <c r="AO8" s="191">
        <f>IF(ISERROR(VALUE((MOD(#REF!-#REF!,1))))=TRUE,0,MOD(#REF!-#REF!,1))</f>
        <v>0</v>
      </c>
      <c r="AP8" s="191">
        <f>IF(ISERROR(VALUE((MOD(#REF!-#REF!,1))))=TRUE,0,MOD(#REF!-#REF!,1))</f>
        <v>0</v>
      </c>
      <c r="AQ8" s="191">
        <f>IF(ISERROR(VALUE((MOD(#REF!-#REF!,1))))=TRUE,0,MOD(#REF!-#REF!,1))</f>
        <v>0</v>
      </c>
      <c r="AR8" s="191">
        <f>IF(ISERROR(VALUE((MOD(#REF!-#REF!,1))))=TRUE,0,MOD(#REF!-#REF!,1))</f>
        <v>0</v>
      </c>
      <c r="AS8" s="191">
        <f>IF(ISERROR(VALUE((MOD(#REF!-#REF!,1))))=TRUE,0,MOD(#REF!-#REF!,1))</f>
        <v>0</v>
      </c>
      <c r="AT8" s="191">
        <f>IF(ISERROR(VALUE((MOD(#REF!-#REF!,1))))=TRUE,0,MOD(#REF!-#REF!,1))</f>
        <v>0</v>
      </c>
      <c r="AU8" s="191">
        <f>IF(ISERROR(VALUE((MOD(#REF!-#REF!,1))))=TRUE,0,MOD(#REF!-#REF!,1))</f>
        <v>0</v>
      </c>
      <c r="AV8" s="191">
        <f>IF(ISERROR(VALUE((MOD(#REF!-#REF!,1))))=TRUE,0,MOD(#REF!-#REF!,1))</f>
        <v>0</v>
      </c>
      <c r="AW8" s="191">
        <f>IF(ISERROR(VALUE((MOD(#REF!-#REF!,1))))=TRUE,0,MOD(#REF!-#REF!,1))</f>
        <v>0</v>
      </c>
      <c r="AX8" s="31"/>
    </row>
    <row r="9" spans="1:50" ht="23.25" thickBot="1" x14ac:dyDescent="0.3">
      <c r="A9" s="213"/>
      <c r="B9" s="289" t="s">
        <v>370</v>
      </c>
      <c r="C9" s="343" t="s">
        <v>426</v>
      </c>
      <c r="D9" s="344" t="s">
        <v>426</v>
      </c>
      <c r="E9" s="291" t="s">
        <v>55</v>
      </c>
      <c r="F9" s="291" t="s">
        <v>55</v>
      </c>
      <c r="G9" s="295" t="s">
        <v>55</v>
      </c>
      <c r="H9" s="295" t="s">
        <v>55</v>
      </c>
      <c r="I9" s="291" t="s">
        <v>55</v>
      </c>
      <c r="J9" s="291" t="s">
        <v>55</v>
      </c>
      <c r="K9" s="295"/>
      <c r="L9" s="295"/>
      <c r="M9" s="291"/>
      <c r="N9" s="291"/>
      <c r="O9" s="295"/>
      <c r="P9" s="295"/>
      <c r="Q9" s="291"/>
      <c r="R9" s="291"/>
      <c r="S9" s="295"/>
      <c r="T9" s="295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2"/>
      <c r="AH9" s="240" t="s">
        <v>385</v>
      </c>
      <c r="AI9" s="432"/>
      <c r="AJ9" s="191">
        <f>IF(ISERROR(VALUE((MOD(#REF!-#REF!,1))))=TRUE,0,MOD(#REF!-#REF!,1))</f>
        <v>0</v>
      </c>
      <c r="AK9" s="191">
        <f>IF(ISERROR(VALUE((MOD(#REF!-#REF!,1))))=TRUE,0,MOD(#REF!-#REF!,1))</f>
        <v>0</v>
      </c>
      <c r="AL9" s="191">
        <f>IF(ISERROR(VALUE((MOD(#REF!-#REF!,1))))=TRUE,0,MOD(#REF!-#REF!,1))</f>
        <v>0</v>
      </c>
      <c r="AM9" s="191">
        <f>IF(ISERROR(VALUE((MOD(#REF!-#REF!,1))))=TRUE,0,MOD(#REF!-#REF!,1))</f>
        <v>0</v>
      </c>
      <c r="AN9" s="191">
        <f>IF(ISERROR(VALUE((MOD(#REF!-#REF!,1))))=TRUE,0,MOD(#REF!-#REF!,1))</f>
        <v>0</v>
      </c>
      <c r="AO9" s="191">
        <f>IF(ISERROR(VALUE((MOD(#REF!-#REF!,1))))=TRUE,0,MOD(#REF!-#REF!,1))</f>
        <v>0</v>
      </c>
      <c r="AP9" s="191">
        <f>IF(ISERROR(VALUE((MOD(#REF!-#REF!,1))))=TRUE,0,MOD(#REF!-#REF!,1))</f>
        <v>0</v>
      </c>
      <c r="AQ9" s="191">
        <f>IF(ISERROR(VALUE((MOD(#REF!-#REF!,1))))=TRUE,0,MOD(#REF!-#REF!,1))</f>
        <v>0</v>
      </c>
      <c r="AR9" s="191">
        <f>IF(ISERROR(VALUE((MOD(#REF!-#REF!,1))))=TRUE,0,MOD(#REF!-#REF!,1))</f>
        <v>0</v>
      </c>
      <c r="AS9" s="191">
        <f>IF(ISERROR(VALUE((MOD(#REF!-#REF!,1))))=TRUE,0,MOD(#REF!-#REF!,1))</f>
        <v>0</v>
      </c>
      <c r="AT9" s="191">
        <f>IF(ISERROR(VALUE((MOD(#REF!-#REF!,1))))=TRUE,0,MOD(#REF!-#REF!,1))</f>
        <v>0</v>
      </c>
      <c r="AU9" s="191">
        <f>IF(ISERROR(VALUE((MOD(#REF!-#REF!,1))))=TRUE,0,MOD(#REF!-#REF!,1))</f>
        <v>0</v>
      </c>
      <c r="AV9" s="191">
        <f>IF(ISERROR(VALUE((MOD(#REF!-#REF!,1))))=TRUE,0,MOD(#REF!-#REF!,1))</f>
        <v>0</v>
      </c>
      <c r="AW9" s="191">
        <f>IF(ISERROR(VALUE((MOD(#REF!-#REF!,1))))=TRUE,0,MOD(#REF!-#REF!,1))</f>
        <v>0</v>
      </c>
      <c r="AX9" s="31"/>
    </row>
    <row r="10" spans="1:50" ht="15.75" thickBot="1" x14ac:dyDescent="0.3">
      <c r="A10" s="213"/>
      <c r="B10" s="293" t="s">
        <v>375</v>
      </c>
      <c r="C10" s="346" t="s">
        <v>426</v>
      </c>
      <c r="D10" s="345" t="s">
        <v>55</v>
      </c>
      <c r="E10" s="291"/>
      <c r="F10" s="291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2"/>
      <c r="AH10" s="238"/>
      <c r="AI10" s="432"/>
      <c r="AJ10" s="191">
        <f>IF(ISERROR(VALUE((MOD(#REF!-#REF!,1))))=TRUE,0,MOD(#REF!-#REF!,1))</f>
        <v>0</v>
      </c>
      <c r="AK10" s="191">
        <f>IF(ISERROR(VALUE((MOD(#REF!-#REF!,1))))=TRUE,0,MOD(#REF!-#REF!,1))</f>
        <v>0</v>
      </c>
      <c r="AL10" s="191">
        <f>IF(ISERROR(VALUE((MOD(#REF!-#REF!,1))))=TRUE,0,MOD(#REF!-#REF!,1))</f>
        <v>0</v>
      </c>
      <c r="AM10" s="191">
        <f>IF(ISERROR(VALUE((MOD(#REF!-#REF!,1))))=TRUE,0,MOD(#REF!-#REF!,1))</f>
        <v>0</v>
      </c>
      <c r="AN10" s="191">
        <f>IF(ISERROR(VALUE((MOD(#REF!-#REF!,1))))=TRUE,0,MOD(#REF!-#REF!,1))</f>
        <v>0</v>
      </c>
      <c r="AO10" s="191">
        <f>IF(ISERROR(VALUE((MOD(#REF!-#REF!,1))))=TRUE,0,MOD(#REF!-#REF!,1))</f>
        <v>0</v>
      </c>
      <c r="AP10" s="191">
        <f>IF(ISERROR(VALUE((MOD(#REF!-#REF!,1))))=TRUE,0,MOD(#REF!-#REF!,1))</f>
        <v>0</v>
      </c>
      <c r="AQ10" s="191">
        <f>IF(ISERROR(VALUE((MOD(#REF!-#REF!,1))))=TRUE,0,MOD(#REF!-#REF!,1))</f>
        <v>0</v>
      </c>
      <c r="AR10" s="191">
        <f>IF(ISERROR(VALUE((MOD(#REF!-#REF!,1))))=TRUE,0,MOD(#REF!-#REF!,1))</f>
        <v>0</v>
      </c>
      <c r="AS10" s="191">
        <f>IF(ISERROR(VALUE((MOD(#REF!-#REF!,1))))=TRUE,0,MOD(#REF!-#REF!,1))</f>
        <v>0</v>
      </c>
      <c r="AT10" s="191">
        <f>IF(ISERROR(VALUE((MOD(#REF!-#REF!,1))))=TRUE,0,MOD(#REF!-#REF!,1))</f>
        <v>0</v>
      </c>
      <c r="AU10" s="191">
        <f>IF(ISERROR(VALUE((MOD(#REF!-#REF!,1))))=TRUE,0,MOD(#REF!-#REF!,1))</f>
        <v>0</v>
      </c>
      <c r="AV10" s="191">
        <f>IF(ISERROR(VALUE((MOD(#REF!-#REF!,1))))=TRUE,0,MOD(#REF!-#REF!,1))</f>
        <v>0</v>
      </c>
      <c r="AW10" s="191">
        <f>IF(ISERROR(VALUE((MOD(#REF!-#REF!,1))))=TRUE,0,MOD(#REF!-#REF!,1))</f>
        <v>0</v>
      </c>
      <c r="AX10" s="31"/>
    </row>
    <row r="11" spans="1:50" ht="15.75" thickBot="1" x14ac:dyDescent="0.3">
      <c r="A11" s="213"/>
      <c r="B11" s="266" t="s">
        <v>388</v>
      </c>
      <c r="C11" s="347" t="s">
        <v>75</v>
      </c>
      <c r="D11" s="295" t="s">
        <v>42</v>
      </c>
      <c r="E11" s="291"/>
      <c r="F11" s="291"/>
      <c r="G11" s="295"/>
      <c r="H11" s="295"/>
      <c r="I11" s="291"/>
      <c r="J11" s="291"/>
      <c r="K11" s="295"/>
      <c r="L11" s="295"/>
      <c r="M11" s="291"/>
      <c r="N11" s="291"/>
      <c r="O11" s="295"/>
      <c r="P11" s="295"/>
      <c r="Q11" s="291"/>
      <c r="R11" s="291"/>
      <c r="S11" s="295"/>
      <c r="T11" s="295"/>
      <c r="U11" s="291"/>
      <c r="V11" s="291"/>
      <c r="W11" s="291"/>
      <c r="X11" s="291"/>
      <c r="Y11" s="291"/>
      <c r="Z11" s="291"/>
      <c r="AA11" s="291"/>
      <c r="AB11" s="291"/>
      <c r="AC11" s="291"/>
      <c r="AD11" s="291"/>
      <c r="AE11" s="291"/>
      <c r="AF11" s="291"/>
      <c r="AG11" s="292"/>
      <c r="AH11" s="238">
        <v>0</v>
      </c>
      <c r="AI11" s="41"/>
      <c r="AJ11" s="191">
        <f>IF(ISERROR(VALUE((MOD(#REF!-#REF!,1))))=TRUE,0,MOD(#REF!-#REF!,1))</f>
        <v>0</v>
      </c>
      <c r="AK11" s="191">
        <f>IF(ISERROR(VALUE((MOD(#REF!-#REF!,1))))=TRUE,0,MOD(#REF!-#REF!,1))</f>
        <v>0</v>
      </c>
      <c r="AL11" s="191">
        <f>IF(ISERROR(VALUE((MOD(#REF!-#REF!,1))))=TRUE,0,MOD(#REF!-#REF!,1))</f>
        <v>0</v>
      </c>
      <c r="AM11" s="191">
        <f>IF(ISERROR(VALUE((MOD(#REF!-#REF!,1))))=TRUE,0,MOD(#REF!-#REF!,1))</f>
        <v>0</v>
      </c>
      <c r="AN11" s="191">
        <f>IF(ISERROR(VALUE((MOD(#REF!-#REF!,1))))=TRUE,0,MOD(#REF!-#REF!,1))</f>
        <v>0</v>
      </c>
      <c r="AO11" s="191">
        <f>IF(ISERROR(VALUE((MOD(#REF!-#REF!,1))))=TRUE,0,MOD(#REF!-#REF!,1))</f>
        <v>0</v>
      </c>
      <c r="AP11" s="191">
        <f>IF(ISERROR(VALUE((MOD(#REF!-#REF!,1))))=TRUE,0,MOD(#REF!-#REF!,1))</f>
        <v>0</v>
      </c>
      <c r="AQ11" s="191">
        <f>IF(ISERROR(VALUE((MOD(#REF!-#REF!,1))))=TRUE,0,MOD(#REF!-#REF!,1))</f>
        <v>0</v>
      </c>
      <c r="AR11" s="191">
        <f>IF(ISERROR(VALUE((MOD(#REF!-#REF!,1))))=TRUE,0,MOD(#REF!-#REF!,1))</f>
        <v>0</v>
      </c>
      <c r="AS11" s="191">
        <f>IF(ISERROR(VALUE((MOD(#REF!-#REF!,1))))=TRUE,0,MOD(#REF!-#REF!,1))</f>
        <v>0</v>
      </c>
      <c r="AT11" s="191">
        <f>IF(ISERROR(VALUE((MOD(#REF!-#REF!,1))))=TRUE,0,MOD(#REF!-#REF!,1))</f>
        <v>0</v>
      </c>
      <c r="AU11" s="191">
        <f>IF(ISERROR(VALUE((MOD(#REF!-#REF!,1))))=TRUE,0,MOD(#REF!-#REF!,1))</f>
        <v>0</v>
      </c>
      <c r="AV11" s="191">
        <f>IF(ISERROR(VALUE((MOD(#REF!-#REF!,1))))=TRUE,0,MOD(#REF!-#REF!,1))</f>
        <v>0</v>
      </c>
      <c r="AW11" s="191">
        <f>IF(ISERROR(VALUE((MOD(#REF!-#REF!,1))))=TRUE,0,MOD(#REF!-#REF!,1))</f>
        <v>0</v>
      </c>
      <c r="AX11" s="31"/>
    </row>
    <row r="12" spans="1:50" ht="15" customHeight="1" thickBot="1" x14ac:dyDescent="0.3">
      <c r="A12" s="446"/>
      <c r="B12" s="267" t="s">
        <v>374</v>
      </c>
      <c r="C12" s="290" t="s">
        <v>27</v>
      </c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2"/>
      <c r="AH12" s="238">
        <v>0.64097222222222228</v>
      </c>
      <c r="AI12" s="41"/>
      <c r="AJ12" s="191">
        <f>IF(ISERROR(VALUE((MOD(#REF!-#REF!,1))))=TRUE,0,MOD(#REF!-#REF!,1))</f>
        <v>0</v>
      </c>
      <c r="AK12" s="191">
        <f>IF(ISERROR(VALUE((MOD(#REF!-#REF!,1))))=TRUE,0,MOD(#REF!-#REF!,1))</f>
        <v>0</v>
      </c>
      <c r="AL12" s="191">
        <f>IF(ISERROR(VALUE((MOD(#REF!-#REF!,1))))=TRUE,0,MOD(#REF!-#REF!,1))</f>
        <v>0</v>
      </c>
      <c r="AM12" s="191">
        <f>IF(ISERROR(VALUE((MOD(#REF!-#REF!,1))))=TRUE,0,MOD(#REF!-#REF!,1))</f>
        <v>0</v>
      </c>
      <c r="AN12" s="191">
        <f>IF(ISERROR(VALUE((MOD(#REF!-#REF!,1))))=TRUE,0,MOD(#REF!-#REF!,1))</f>
        <v>0</v>
      </c>
      <c r="AO12" s="191">
        <f>IF(ISERROR(VALUE((MOD(#REF!-#REF!,1))))=TRUE,0,MOD(#REF!-#REF!,1))</f>
        <v>0</v>
      </c>
      <c r="AP12" s="191">
        <f>IF(ISERROR(VALUE((MOD(#REF!-#REF!,1))))=TRUE,0,MOD(#REF!-#REF!,1))</f>
        <v>0</v>
      </c>
      <c r="AQ12" s="191">
        <f>IF(ISERROR(VALUE((MOD(#REF!-#REF!,1))))=TRUE,0,MOD(#REF!-#REF!,1))</f>
        <v>0</v>
      </c>
      <c r="AR12" s="191">
        <f>IF(ISERROR(VALUE((MOD(#REF!-#REF!,1))))=TRUE,0,MOD(#REF!-#REF!,1))</f>
        <v>0</v>
      </c>
      <c r="AS12" s="191">
        <f>IF(ISERROR(VALUE((MOD(#REF!-#REF!,1))))=TRUE,0,MOD(#REF!-#REF!,1))</f>
        <v>0</v>
      </c>
      <c r="AT12" s="191">
        <f>IF(ISERROR(VALUE((MOD(#REF!-#REF!,1))))=TRUE,0,MOD(#REF!-#REF!,1))</f>
        <v>0</v>
      </c>
      <c r="AU12" s="191">
        <f>IF(ISERROR(VALUE((MOD(#REF!-#REF!,1))))=TRUE,0,MOD(#REF!-#REF!,1))</f>
        <v>0</v>
      </c>
      <c r="AV12" s="191">
        <f>IF(ISERROR(VALUE((MOD(#REF!-#REF!,1))))=TRUE,0,MOD(#REF!-#REF!,1))</f>
        <v>0</v>
      </c>
      <c r="AW12" s="191">
        <f>IF(ISERROR(VALUE((MOD(#REF!-#REF!,1))))=TRUE,0,MOD(#REF!-#REF!,1))</f>
        <v>0</v>
      </c>
      <c r="AX12" s="31"/>
    </row>
    <row r="13" spans="1:50" ht="23.25" thickBot="1" x14ac:dyDescent="0.3">
      <c r="A13" s="446"/>
      <c r="B13" s="268" t="s">
        <v>381</v>
      </c>
      <c r="C13" s="294" t="s">
        <v>424</v>
      </c>
      <c r="D13" s="295"/>
      <c r="E13" s="291"/>
      <c r="F13" s="291"/>
      <c r="G13" s="295"/>
      <c r="H13" s="295"/>
      <c r="I13" s="291"/>
      <c r="J13" s="291"/>
      <c r="K13" s="295"/>
      <c r="L13" s="295"/>
      <c r="M13" s="291"/>
      <c r="N13" s="291"/>
      <c r="O13" s="295"/>
      <c r="P13" s="295"/>
      <c r="Q13" s="291"/>
      <c r="R13" s="291"/>
      <c r="S13" s="295"/>
      <c r="T13" s="295"/>
      <c r="U13" s="291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  <c r="AG13" s="292"/>
      <c r="AH13" s="239" t="s">
        <v>386</v>
      </c>
      <c r="AI13" s="41"/>
      <c r="AJ13" s="191">
        <f>IF(ISERROR(VALUE((MOD(#REF!-#REF!,1))))=TRUE,0,MOD(#REF!-#REF!,1))</f>
        <v>0</v>
      </c>
      <c r="AK13" s="191">
        <f>IF(ISERROR(VALUE((MOD(#REF!-#REF!,1))))=TRUE,0,MOD(#REF!-#REF!,1))</f>
        <v>0</v>
      </c>
      <c r="AL13" s="191">
        <f>IF(ISERROR(VALUE((MOD(#REF!-#REF!,1))))=TRUE,0,MOD(#REF!-#REF!,1))</f>
        <v>0</v>
      </c>
      <c r="AM13" s="191">
        <f>IF(ISERROR(VALUE((MOD(#REF!-#REF!,1))))=TRUE,0,MOD(#REF!-#REF!,1))</f>
        <v>0</v>
      </c>
      <c r="AN13" s="191">
        <f>IF(ISERROR(VALUE((MOD(#REF!-#REF!,1))))=TRUE,0,MOD(#REF!-#REF!,1))</f>
        <v>0</v>
      </c>
      <c r="AO13" s="191">
        <f>IF(ISERROR(VALUE((MOD(#REF!-#REF!,1))))=TRUE,0,MOD(#REF!-#REF!,1))</f>
        <v>0</v>
      </c>
      <c r="AP13" s="191">
        <f>IF(ISERROR(VALUE((MOD(#REF!-#REF!,1))))=TRUE,0,MOD(#REF!-#REF!,1))</f>
        <v>0</v>
      </c>
      <c r="AQ13" s="191">
        <f>IF(ISERROR(VALUE((MOD(#REF!-#REF!,1))))=TRUE,0,MOD(#REF!-#REF!,1))</f>
        <v>0</v>
      </c>
      <c r="AR13" s="191">
        <f>IF(ISERROR(VALUE((MOD(#REF!-#REF!,1))))=TRUE,0,MOD(#REF!-#REF!,1))</f>
        <v>0</v>
      </c>
      <c r="AS13" s="191">
        <f>IF(ISERROR(VALUE((MOD(#REF!-#REF!,1))))=TRUE,0,MOD(#REF!-#REF!,1))</f>
        <v>0</v>
      </c>
      <c r="AT13" s="191">
        <f>IF(ISERROR(VALUE((MOD(#REF!-#REF!,1))))=TRUE,0,MOD(#REF!-#REF!,1))</f>
        <v>0</v>
      </c>
      <c r="AU13" s="191">
        <f>IF(ISERROR(VALUE((MOD(#REF!-#REF!,1))))=TRUE,0,MOD(#REF!-#REF!,1))</f>
        <v>0</v>
      </c>
      <c r="AV13" s="191">
        <f>IF(ISERROR(VALUE((MOD(#REF!-#REF!,1))))=TRUE,0,MOD(#REF!-#REF!,1))</f>
        <v>0</v>
      </c>
      <c r="AW13" s="191">
        <f>IF(ISERROR(VALUE((MOD(#REF!-#REF!,1))))=TRUE,0,MOD(#REF!-#REF!,1))</f>
        <v>0</v>
      </c>
      <c r="AX13" s="31"/>
    </row>
    <row r="14" spans="1:50" ht="15.75" thickBot="1" x14ac:dyDescent="0.3">
      <c r="A14" s="446"/>
      <c r="B14" s="269" t="s">
        <v>389</v>
      </c>
      <c r="C14" s="290" t="s">
        <v>42</v>
      </c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2"/>
      <c r="AH14" s="238"/>
      <c r="AI14" s="41"/>
      <c r="AJ14" s="191">
        <f>IF(ISERROR(VALUE((MOD(#REF!-#REF!,1))))=TRUE,0,MOD(#REF!-#REF!,1))</f>
        <v>0</v>
      </c>
      <c r="AK14" s="191">
        <f>IF(ISERROR(VALUE((MOD(#REF!-#REF!,1))))=TRUE,0,MOD(#REF!-#REF!,1))</f>
        <v>0</v>
      </c>
      <c r="AL14" s="191">
        <f>IF(ISERROR(VALUE((MOD(#REF!-#REF!,1))))=TRUE,0,MOD(#REF!-#REF!,1))</f>
        <v>0</v>
      </c>
      <c r="AM14" s="191">
        <f>IF(ISERROR(VALUE((MOD(#REF!-#REF!,1))))=TRUE,0,MOD(#REF!-#REF!,1))</f>
        <v>0</v>
      </c>
      <c r="AN14" s="191">
        <f>IF(ISERROR(VALUE((MOD(#REF!-#REF!,1))))=TRUE,0,MOD(#REF!-#REF!,1))</f>
        <v>0</v>
      </c>
      <c r="AO14" s="191">
        <f>IF(ISERROR(VALUE((MOD(#REF!-#REF!,1))))=TRUE,0,MOD(#REF!-#REF!,1))</f>
        <v>0</v>
      </c>
      <c r="AP14" s="191">
        <f>IF(ISERROR(VALUE((MOD(#REF!-#REF!,1))))=TRUE,0,MOD(#REF!-#REF!,1))</f>
        <v>0</v>
      </c>
      <c r="AQ14" s="191">
        <f>IF(ISERROR(VALUE((MOD(#REF!-#REF!,1))))=TRUE,0,MOD(#REF!-#REF!,1))</f>
        <v>0</v>
      </c>
      <c r="AR14" s="191">
        <f>IF(ISERROR(VALUE((MOD(#REF!-#REF!,1))))=TRUE,0,MOD(#REF!-#REF!,1))</f>
        <v>0</v>
      </c>
      <c r="AS14" s="191">
        <f>IF(ISERROR(VALUE((MOD(#REF!-#REF!,1))))=TRUE,0,MOD(#REF!-#REF!,1))</f>
        <v>0</v>
      </c>
      <c r="AT14" s="191">
        <f>IF(ISERROR(VALUE((MOD(#REF!-#REF!,1))))=TRUE,0,MOD(#REF!-#REF!,1))</f>
        <v>0</v>
      </c>
      <c r="AU14" s="191">
        <f>IF(ISERROR(VALUE((MOD(#REF!-#REF!,1))))=TRUE,0,MOD(#REF!-#REF!,1))</f>
        <v>0</v>
      </c>
      <c r="AV14" s="191">
        <f>IF(ISERROR(VALUE((MOD(#REF!-#REF!,1))))=TRUE,0,MOD(#REF!-#REF!,1))</f>
        <v>0</v>
      </c>
      <c r="AW14" s="191">
        <f>IF(ISERROR(VALUE((MOD(#REF!-#REF!,1))))=TRUE,0,MOD(#REF!-#REF!,1))</f>
        <v>0</v>
      </c>
      <c r="AX14" s="31"/>
    </row>
    <row r="15" spans="1:50" ht="15.75" thickBot="1" x14ac:dyDescent="0.3">
      <c r="A15" s="446"/>
      <c r="B15" s="270" t="s">
        <v>382</v>
      </c>
      <c r="C15" s="294" t="s">
        <v>75</v>
      </c>
      <c r="D15" s="295"/>
      <c r="E15" s="291"/>
      <c r="F15" s="291"/>
      <c r="G15" s="295"/>
      <c r="H15" s="295"/>
      <c r="I15" s="291"/>
      <c r="J15" s="291"/>
      <c r="K15" s="295"/>
      <c r="L15" s="295"/>
      <c r="M15" s="291"/>
      <c r="N15" s="291"/>
      <c r="O15" s="295"/>
      <c r="P15" s="295"/>
      <c r="Q15" s="291"/>
      <c r="R15" s="291"/>
      <c r="S15" s="295"/>
      <c r="T15" s="295"/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92"/>
      <c r="AH15" s="239">
        <v>0.86111111111111116</v>
      </c>
      <c r="AI15" s="41"/>
      <c r="AJ15" s="191">
        <f>IF(ISERROR(VALUE((MOD(#REF!-#REF!,1))))=TRUE,0,MOD(#REF!-#REF!,1))</f>
        <v>0</v>
      </c>
      <c r="AK15" s="191">
        <f>IF(ISERROR(VALUE((MOD(#REF!-#REF!,1))))=TRUE,0,MOD(#REF!-#REF!,1))</f>
        <v>0</v>
      </c>
      <c r="AL15" s="191">
        <f>IF(ISERROR(VALUE((MOD(#REF!-#REF!,1))))=TRUE,0,MOD(#REF!-#REF!,1))</f>
        <v>0</v>
      </c>
      <c r="AM15" s="191">
        <f>IF(ISERROR(VALUE((MOD(#REF!-#REF!,1))))=TRUE,0,MOD(#REF!-#REF!,1))</f>
        <v>0</v>
      </c>
      <c r="AN15" s="191">
        <f>IF(ISERROR(VALUE((MOD(#REF!-#REF!,1))))=TRUE,0,MOD(#REF!-#REF!,1))</f>
        <v>0</v>
      </c>
      <c r="AO15" s="191">
        <f>IF(ISERROR(VALUE((MOD(#REF!-#REF!,1))))=TRUE,0,MOD(#REF!-#REF!,1))</f>
        <v>0</v>
      </c>
      <c r="AP15" s="191">
        <f>IF(ISERROR(VALUE((MOD(#REF!-#REF!,1))))=TRUE,0,MOD(#REF!-#REF!,1))</f>
        <v>0</v>
      </c>
      <c r="AQ15" s="191">
        <f>IF(ISERROR(VALUE((MOD(#REF!-#REF!,1))))=TRUE,0,MOD(#REF!-#REF!,1))</f>
        <v>0</v>
      </c>
      <c r="AR15" s="191">
        <f>IF(ISERROR(VALUE((MOD(#REF!-#REF!,1))))=TRUE,0,MOD(#REF!-#REF!,1))</f>
        <v>0</v>
      </c>
      <c r="AS15" s="191">
        <f>IF(ISERROR(VALUE((MOD(#REF!-#REF!,1))))=TRUE,0,MOD(#REF!-#REF!,1))</f>
        <v>0</v>
      </c>
      <c r="AT15" s="191">
        <f>IF(ISERROR(VALUE((MOD(#REF!-#REF!,1))))=TRUE,0,MOD(#REF!-#REF!,1))</f>
        <v>0</v>
      </c>
      <c r="AU15" s="191">
        <f>IF(ISERROR(VALUE((MOD(#REF!-#REF!,1))))=TRUE,0,MOD(#REF!-#REF!,1))</f>
        <v>0</v>
      </c>
      <c r="AV15" s="191">
        <f>IF(ISERROR(VALUE((MOD(#REF!-#REF!,1))))=TRUE,0,MOD(#REF!-#REF!,1))</f>
        <v>0</v>
      </c>
      <c r="AW15" s="191">
        <f>IF(ISERROR(VALUE((MOD(#REF!-#REF!,1))))=TRUE,0,MOD(#REF!-#REF!,1))</f>
        <v>0</v>
      </c>
      <c r="AX15" s="31"/>
    </row>
    <row r="16" spans="1:50" ht="15" hidden="1" customHeight="1" x14ac:dyDescent="0.25">
      <c r="A16" s="446"/>
      <c r="B16" s="270" t="s">
        <v>382</v>
      </c>
      <c r="C16" s="278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79"/>
      <c r="AH16" s="238"/>
      <c r="AI16" s="41"/>
      <c r="AJ16" s="191">
        <f>IF(ISERROR(VALUE((MOD(#REF!-#REF!,1))))=TRUE,0,MOD(#REF!-#REF!,1))</f>
        <v>0</v>
      </c>
      <c r="AK16" s="191">
        <f>IF(ISERROR(VALUE((MOD(#REF!-#REF!,1))))=TRUE,0,MOD(#REF!-#REF!,1))</f>
        <v>0</v>
      </c>
      <c r="AL16" s="191">
        <f>IF(ISERROR(VALUE((MOD(#REF!-#REF!,1))))=TRUE,0,MOD(#REF!-#REF!,1))</f>
        <v>0</v>
      </c>
      <c r="AM16" s="191">
        <f>IF(ISERROR(VALUE((MOD(#REF!-#REF!,1))))=TRUE,0,MOD(#REF!-#REF!,1))</f>
        <v>0</v>
      </c>
      <c r="AN16" s="191">
        <f>IF(ISERROR(VALUE((MOD(#REF!-#REF!,1))))=TRUE,0,MOD(#REF!-#REF!,1))</f>
        <v>0</v>
      </c>
      <c r="AO16" s="191">
        <f>IF(ISERROR(VALUE((MOD(#REF!-#REF!,1))))=TRUE,0,MOD(#REF!-#REF!,1))</f>
        <v>0</v>
      </c>
      <c r="AP16" s="191">
        <f>IF(ISERROR(VALUE((MOD(#REF!-#REF!,1))))=TRUE,0,MOD(#REF!-#REF!,1))</f>
        <v>0</v>
      </c>
      <c r="AQ16" s="191">
        <f>IF(ISERROR(VALUE((MOD(#REF!-#REF!,1))))=TRUE,0,MOD(#REF!-#REF!,1))</f>
        <v>0</v>
      </c>
      <c r="AR16" s="191">
        <f>IF(ISERROR(VALUE((MOD(#REF!-#REF!,1))))=TRUE,0,MOD(#REF!-#REF!,1))</f>
        <v>0</v>
      </c>
      <c r="AS16" s="191">
        <f>IF(ISERROR(VALUE((MOD(#REF!-#REF!,1))))=TRUE,0,MOD(#REF!-#REF!,1))</f>
        <v>0</v>
      </c>
      <c r="AT16" s="191">
        <f>IF(ISERROR(VALUE((MOD(#REF!-#REF!,1))))=TRUE,0,MOD(#REF!-#REF!,1))</f>
        <v>0</v>
      </c>
      <c r="AU16" s="191">
        <f>IF(ISERROR(VALUE((MOD(#REF!-#REF!,1))))=TRUE,0,MOD(#REF!-#REF!,1))</f>
        <v>0</v>
      </c>
      <c r="AV16" s="191">
        <f>IF(ISERROR(VALUE((MOD(#REF!-#REF!,1))))=TRUE,0,MOD(#REF!-#REF!,1))</f>
        <v>0</v>
      </c>
      <c r="AW16" s="191">
        <f>IF(ISERROR(VALUE((MOD(#REF!-#REF!,1))))=TRUE,0,MOD(#REF!-#REF!,1))</f>
        <v>0</v>
      </c>
      <c r="AX16" s="31"/>
    </row>
    <row r="17" spans="1:173" ht="15.75" thickBot="1" x14ac:dyDescent="0.3">
      <c r="A17" s="446"/>
      <c r="B17" s="269" t="s">
        <v>380</v>
      </c>
      <c r="C17" s="290" t="s">
        <v>55</v>
      </c>
      <c r="D17" s="291"/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2"/>
      <c r="AH17" s="238"/>
      <c r="AI17" s="41"/>
      <c r="AJ17" s="191">
        <f>IF(ISERROR(VALUE((MOD(#REF!-#REF!,1))))=TRUE,0,MOD(#REF!-#REF!,1))</f>
        <v>0</v>
      </c>
      <c r="AK17" s="191">
        <f>IF(ISERROR(VALUE((MOD(#REF!-#REF!,1))))=TRUE,0,MOD(#REF!-#REF!,1))</f>
        <v>0</v>
      </c>
      <c r="AL17" s="191">
        <f>IF(ISERROR(VALUE((MOD(#REF!-#REF!,1))))=TRUE,0,MOD(#REF!-#REF!,1))</f>
        <v>0</v>
      </c>
      <c r="AM17" s="191">
        <f>IF(ISERROR(VALUE((MOD(#REF!-#REF!,1))))=TRUE,0,MOD(#REF!-#REF!,1))</f>
        <v>0</v>
      </c>
      <c r="AN17" s="191">
        <f>IF(ISERROR(VALUE((MOD(#REF!-#REF!,1))))=TRUE,0,MOD(#REF!-#REF!,1))</f>
        <v>0</v>
      </c>
      <c r="AO17" s="191">
        <f>IF(ISERROR(VALUE((MOD(#REF!-#REF!,1))))=TRUE,0,MOD(#REF!-#REF!,1))</f>
        <v>0</v>
      </c>
      <c r="AP17" s="191">
        <f>IF(ISERROR(VALUE((MOD(#REF!-#REF!,1))))=TRUE,0,MOD(#REF!-#REF!,1))</f>
        <v>0</v>
      </c>
      <c r="AQ17" s="191">
        <f>IF(ISERROR(VALUE((MOD(#REF!-#REF!,1))))=TRUE,0,MOD(#REF!-#REF!,1))</f>
        <v>0</v>
      </c>
      <c r="AR17" s="191">
        <f>IF(ISERROR(VALUE((MOD(#REF!-#REF!,1))))=TRUE,0,MOD(#REF!-#REF!,1))</f>
        <v>0</v>
      </c>
      <c r="AS17" s="191">
        <f>IF(ISERROR(VALUE((MOD(#REF!-#REF!,1))))=TRUE,0,MOD(#REF!-#REF!,1))</f>
        <v>0</v>
      </c>
      <c r="AT17" s="191">
        <f>IF(ISERROR(VALUE((MOD(#REF!-#REF!,1))))=TRUE,0,MOD(#REF!-#REF!,1))</f>
        <v>0</v>
      </c>
      <c r="AU17" s="191">
        <f>IF(ISERROR(VALUE((MOD(#REF!-#REF!,1))))=TRUE,0,MOD(#REF!-#REF!,1))</f>
        <v>0</v>
      </c>
      <c r="AV17" s="191">
        <f>IF(ISERROR(VALUE((MOD(#REF!-#REF!,1))))=TRUE,0,MOD(#REF!-#REF!,1))</f>
        <v>0</v>
      </c>
      <c r="AW17" s="191">
        <f>IF(ISERROR(VALUE((MOD(#REF!-#REF!,1))))=TRUE,0,MOD(#REF!-#REF!,1))</f>
        <v>0</v>
      </c>
      <c r="AX17" s="31"/>
    </row>
    <row r="18" spans="1:173" ht="15.75" thickBot="1" x14ac:dyDescent="0.3">
      <c r="A18" s="446"/>
      <c r="B18" s="266" t="s">
        <v>376</v>
      </c>
      <c r="C18" s="296" t="s">
        <v>42</v>
      </c>
      <c r="D18" s="297"/>
      <c r="E18" s="298"/>
      <c r="F18" s="298"/>
      <c r="G18" s="297"/>
      <c r="H18" s="297"/>
      <c r="I18" s="298"/>
      <c r="J18" s="298"/>
      <c r="K18" s="297"/>
      <c r="L18" s="297"/>
      <c r="M18" s="298"/>
      <c r="N18" s="298"/>
      <c r="O18" s="297"/>
      <c r="P18" s="297"/>
      <c r="Q18" s="298"/>
      <c r="R18" s="298"/>
      <c r="S18" s="297"/>
      <c r="T18" s="297"/>
      <c r="U18" s="298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9"/>
      <c r="AH18" s="238"/>
      <c r="AI18" s="41"/>
      <c r="AJ18" s="191">
        <f>IF(ISERROR(VALUE((MOD(#REF!-#REF!,1))))=TRUE,0,MOD(#REF!-#REF!,1))</f>
        <v>0</v>
      </c>
      <c r="AK18" s="191">
        <f>IF(ISERROR(VALUE((MOD(#REF!-#REF!,1))))=TRUE,0,MOD(#REF!-#REF!,1))</f>
        <v>0</v>
      </c>
      <c r="AL18" s="191">
        <f>IF(ISERROR(VALUE((MOD(#REF!-#REF!,1))))=TRUE,0,MOD(#REF!-#REF!,1))</f>
        <v>0</v>
      </c>
      <c r="AM18" s="191">
        <f>IF(ISERROR(VALUE((MOD(#REF!-#REF!,1))))=TRUE,0,MOD(#REF!-#REF!,1))</f>
        <v>0</v>
      </c>
      <c r="AN18" s="191">
        <f>IF(ISERROR(VALUE((MOD(#REF!-#REF!,1))))=TRUE,0,MOD(#REF!-#REF!,1))</f>
        <v>0</v>
      </c>
      <c r="AO18" s="191">
        <f>IF(ISERROR(VALUE((MOD(#REF!-#REF!,1))))=TRUE,0,MOD(#REF!-#REF!,1))</f>
        <v>0</v>
      </c>
      <c r="AP18" s="191">
        <f>IF(ISERROR(VALUE((MOD(#REF!-#REF!,1))))=TRUE,0,MOD(#REF!-#REF!,1))</f>
        <v>0</v>
      </c>
      <c r="AQ18" s="191">
        <f>IF(ISERROR(VALUE((MOD(#REF!-#REF!,1))))=TRUE,0,MOD(#REF!-#REF!,1))</f>
        <v>0</v>
      </c>
      <c r="AR18" s="191">
        <f>IF(ISERROR(VALUE((MOD(#REF!-#REF!,1))))=TRUE,0,MOD(#REF!-#REF!,1))</f>
        <v>0</v>
      </c>
      <c r="AS18" s="191">
        <f>IF(ISERROR(VALUE((MOD(#REF!-#REF!,1))))=TRUE,0,MOD(#REF!-#REF!,1))</f>
        <v>0</v>
      </c>
      <c r="AT18" s="191">
        <f>IF(ISERROR(VALUE((MOD(#REF!-#REF!,1))))=TRUE,0,MOD(#REF!-#REF!,1))</f>
        <v>0</v>
      </c>
      <c r="AU18" s="191">
        <f>IF(ISERROR(VALUE((MOD(#REF!-#REF!,1))))=TRUE,0,MOD(#REF!-#REF!,1))</f>
        <v>0</v>
      </c>
      <c r="AV18" s="191">
        <f>IF(ISERROR(VALUE((MOD(#REF!-#REF!,1))))=TRUE,0,MOD(#REF!-#REF!,1))</f>
        <v>0</v>
      </c>
      <c r="AW18" s="191">
        <f>IF(ISERROR(VALUE((MOD(#REF!-#REF!,1))))=TRUE,0,MOD(#REF!-#REF!,1))</f>
        <v>0</v>
      </c>
      <c r="AX18" s="31"/>
    </row>
    <row r="19" spans="1:173" ht="15.75" thickBot="1" x14ac:dyDescent="0.3">
      <c r="A19" s="446"/>
      <c r="B19" s="266" t="s">
        <v>399</v>
      </c>
      <c r="C19" s="290" t="s">
        <v>42</v>
      </c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2"/>
      <c r="AH19" s="238"/>
      <c r="AI19" s="41"/>
      <c r="AJ19" s="191">
        <f>IF(ISERROR(VALUE((MOD(#REF!-#REF!,1))))=TRUE,0,MOD(#REF!-#REF!,1))</f>
        <v>0</v>
      </c>
      <c r="AK19" s="191">
        <f>IF(ISERROR(VALUE((MOD(#REF!-#REF!,1))))=TRUE,0,MOD(#REF!-#REF!,1))</f>
        <v>0</v>
      </c>
      <c r="AL19" s="191">
        <f>IF(ISERROR(VALUE((MOD(#REF!-#REF!,1))))=TRUE,0,MOD(#REF!-#REF!,1))</f>
        <v>0</v>
      </c>
      <c r="AM19" s="191">
        <f>IF(ISERROR(VALUE((MOD(#REF!-#REF!,1))))=TRUE,0,MOD(#REF!-#REF!,1))</f>
        <v>0</v>
      </c>
      <c r="AN19" s="191">
        <f>IF(ISERROR(VALUE((MOD(#REF!-#REF!,1))))=TRUE,0,MOD(#REF!-#REF!,1))</f>
        <v>0</v>
      </c>
      <c r="AO19" s="191">
        <f>IF(ISERROR(VALUE((MOD(#REF!-#REF!,1))))=TRUE,0,MOD(#REF!-#REF!,1))</f>
        <v>0</v>
      </c>
      <c r="AP19" s="191">
        <f>IF(ISERROR(VALUE((MOD(#REF!-#REF!,1))))=TRUE,0,MOD(#REF!-#REF!,1))</f>
        <v>0</v>
      </c>
      <c r="AQ19" s="191">
        <f>IF(ISERROR(VALUE((MOD(#REF!-#REF!,1))))=TRUE,0,MOD(#REF!-#REF!,1))</f>
        <v>0</v>
      </c>
      <c r="AR19" s="191">
        <f>IF(ISERROR(VALUE((MOD(#REF!-#REF!,1))))=TRUE,0,MOD(#REF!-#REF!,1))</f>
        <v>0</v>
      </c>
      <c r="AS19" s="191">
        <f>IF(ISERROR(VALUE((MOD(#REF!-#REF!,1))))=TRUE,0,MOD(#REF!-#REF!,1))</f>
        <v>0</v>
      </c>
      <c r="AT19" s="191">
        <f>IF(ISERROR(VALUE((MOD(#REF!-#REF!,1))))=TRUE,0,MOD(#REF!-#REF!,1))</f>
        <v>0</v>
      </c>
      <c r="AU19" s="191">
        <f>IF(ISERROR(VALUE((MOD(#REF!-#REF!,1))))=TRUE,0,MOD(#REF!-#REF!,1))</f>
        <v>0</v>
      </c>
      <c r="AV19" s="191">
        <f>IF(ISERROR(VALUE((MOD(#REF!-#REF!,1))))=TRUE,0,MOD(#REF!-#REF!,1))</f>
        <v>0</v>
      </c>
      <c r="AW19" s="191">
        <f>IF(ISERROR(VALUE((MOD(#REF!-#REF!,1))))=TRUE,0,MOD(#REF!-#REF!,1))</f>
        <v>0</v>
      </c>
      <c r="AX19" s="31"/>
    </row>
    <row r="20" spans="1:173" ht="15.75" thickBot="1" x14ac:dyDescent="0.3">
      <c r="A20" s="446"/>
      <c r="B20" s="269"/>
      <c r="C20" s="300"/>
      <c r="D20" s="274"/>
      <c r="E20" s="247"/>
      <c r="F20" s="247"/>
      <c r="G20" s="274"/>
      <c r="H20" s="274"/>
      <c r="I20" s="247"/>
      <c r="J20" s="247"/>
      <c r="K20" s="274"/>
      <c r="L20" s="274"/>
      <c r="M20" s="247"/>
      <c r="N20" s="247"/>
      <c r="O20" s="274"/>
      <c r="P20" s="274"/>
      <c r="Q20" s="247"/>
      <c r="R20" s="247"/>
      <c r="S20" s="274"/>
      <c r="T20" s="274"/>
      <c r="U20" s="247"/>
      <c r="V20" s="247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301"/>
      <c r="AH20" s="238"/>
      <c r="AI20" s="41"/>
      <c r="AJ20" s="191">
        <f>IF(ISERROR(VALUE((MOD(#REF!-#REF!,1))))=TRUE,0,MOD(#REF!-#REF!,1))</f>
        <v>0</v>
      </c>
      <c r="AK20" s="191">
        <f>IF(ISERROR(VALUE((MOD(#REF!-#REF!,1))))=TRUE,0,MOD(#REF!-#REF!,1))</f>
        <v>0</v>
      </c>
      <c r="AL20" s="191">
        <f>IF(ISERROR(VALUE((MOD(#REF!-#REF!,1))))=TRUE,0,MOD(#REF!-#REF!,1))</f>
        <v>0</v>
      </c>
      <c r="AM20" s="191">
        <f>IF(ISERROR(VALUE((MOD(#REF!-#REF!,1))))=TRUE,0,MOD(#REF!-#REF!,1))</f>
        <v>0</v>
      </c>
      <c r="AN20" s="191">
        <f>IF(ISERROR(VALUE((MOD(#REF!-#REF!,1))))=TRUE,0,MOD(#REF!-#REF!,1))</f>
        <v>0</v>
      </c>
      <c r="AO20" s="191">
        <f>IF(ISERROR(VALUE((MOD(#REF!-#REF!,1))))=TRUE,0,MOD(#REF!-#REF!,1))</f>
        <v>0</v>
      </c>
      <c r="AP20" s="191">
        <f>IF(ISERROR(VALUE((MOD(#REF!-#REF!,1))))=TRUE,0,MOD(#REF!-#REF!,1))</f>
        <v>0</v>
      </c>
      <c r="AQ20" s="191">
        <f>IF(ISERROR(VALUE((MOD(#REF!-#REF!,1))))=TRUE,0,MOD(#REF!-#REF!,1))</f>
        <v>0</v>
      </c>
      <c r="AR20" s="191">
        <f>IF(ISERROR(VALUE((MOD(#REF!-#REF!,1))))=TRUE,0,MOD(#REF!-#REF!,1))</f>
        <v>0</v>
      </c>
      <c r="AS20" s="191">
        <f>IF(ISERROR(VALUE((MOD(#REF!-#REF!,1))))=TRUE,0,MOD(#REF!-#REF!,1))</f>
        <v>0</v>
      </c>
      <c r="AT20" s="191">
        <f>IF(ISERROR(VALUE((MOD(#REF!-#REF!,1))))=TRUE,0,MOD(#REF!-#REF!,1))</f>
        <v>0</v>
      </c>
      <c r="AU20" s="191">
        <f>IF(ISERROR(VALUE((MOD(#REF!-#REF!,1))))=TRUE,0,MOD(#REF!-#REF!,1))</f>
        <v>0</v>
      </c>
      <c r="AV20" s="191">
        <f>IF(ISERROR(VALUE((MOD(#REF!-#REF!,1))))=TRUE,0,MOD(#REF!-#REF!,1))</f>
        <v>0</v>
      </c>
      <c r="AW20" s="191">
        <f>IF(ISERROR(VALUE((MOD(#REF!-#REF!,1))))=TRUE,0,MOD(#REF!-#REF!,1))</f>
        <v>0</v>
      </c>
      <c r="AX20" s="31"/>
    </row>
    <row r="21" spans="1:173" ht="16.5" thickTop="1" thickBot="1" x14ac:dyDescent="0.3">
      <c r="A21" s="446"/>
      <c r="B21" s="269"/>
      <c r="C21" s="302"/>
      <c r="D21" s="303"/>
      <c r="E21" s="303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4"/>
      <c r="AB21" s="304"/>
      <c r="AC21" s="304"/>
      <c r="AD21" s="304"/>
      <c r="AE21" s="304"/>
      <c r="AF21" s="304"/>
      <c r="AG21" s="305"/>
      <c r="AH21" s="238"/>
      <c r="AI21" s="41"/>
      <c r="AJ21" s="191">
        <f>IF(ISERROR(VALUE((MOD(#REF!-#REF!,1))))=TRUE,0,MOD(#REF!-#REF!,1))</f>
        <v>0</v>
      </c>
      <c r="AK21" s="191">
        <f>IF(ISERROR(VALUE((MOD(#REF!-#REF!,1))))=TRUE,0,MOD(#REF!-#REF!,1))</f>
        <v>0</v>
      </c>
      <c r="AL21" s="191">
        <f>IF(ISERROR(VALUE((MOD(#REF!-#REF!,1))))=TRUE,0,MOD(#REF!-#REF!,1))</f>
        <v>0</v>
      </c>
      <c r="AM21" s="191">
        <f>IF(ISERROR(VALUE((MOD(#REF!-#REF!,1))))=TRUE,0,MOD(#REF!-#REF!,1))</f>
        <v>0</v>
      </c>
      <c r="AN21" s="191">
        <f>IF(ISERROR(VALUE((MOD(#REF!-#REF!,1))))=TRUE,0,MOD(#REF!-#REF!,1))</f>
        <v>0</v>
      </c>
      <c r="AO21" s="191">
        <f>IF(ISERROR(VALUE((MOD(#REF!-#REF!,1))))=TRUE,0,MOD(#REF!-#REF!,1))</f>
        <v>0</v>
      </c>
      <c r="AP21" s="191">
        <f>IF(ISERROR(VALUE((MOD(#REF!-#REF!,1))))=TRUE,0,MOD(#REF!-#REF!,1))</f>
        <v>0</v>
      </c>
      <c r="AQ21" s="191">
        <f>IF(ISERROR(VALUE((MOD(#REF!-#REF!,1))))=TRUE,0,MOD(#REF!-#REF!,1))</f>
        <v>0</v>
      </c>
      <c r="AR21" s="191">
        <f>IF(ISERROR(VALUE((MOD(#REF!-#REF!,1))))=TRUE,0,MOD(#REF!-#REF!,1))</f>
        <v>0</v>
      </c>
      <c r="AS21" s="191">
        <f>IF(ISERROR(VALUE((MOD(#REF!-#REF!,1))))=TRUE,0,MOD(#REF!-#REF!,1))</f>
        <v>0</v>
      </c>
      <c r="AT21" s="191">
        <f>IF(ISERROR(VALUE((MOD(#REF!-#REF!,1))))=TRUE,0,MOD(#REF!-#REF!,1))</f>
        <v>0</v>
      </c>
      <c r="AU21" s="191">
        <f>IF(ISERROR(VALUE((MOD(#REF!-#REF!,1))))=TRUE,0,MOD(#REF!-#REF!,1))</f>
        <v>0</v>
      </c>
      <c r="AV21" s="191">
        <f>IF(ISERROR(VALUE((MOD(#REF!-#REF!,1))))=TRUE,0,MOD(#REF!-#REF!,1))</f>
        <v>0</v>
      </c>
      <c r="AW21" s="191">
        <f>IF(ISERROR(VALUE((MOD(#REF!-#REF!,1))))=TRUE,0,MOD(#REF!-#REF!,1))</f>
        <v>0</v>
      </c>
      <c r="AX21" s="31"/>
    </row>
    <row r="22" spans="1:173" ht="15.75" thickTop="1" x14ac:dyDescent="0.25">
      <c r="A22" s="446"/>
      <c r="B22" s="271" t="s">
        <v>398</v>
      </c>
      <c r="C22" s="281"/>
      <c r="D22" s="275"/>
      <c r="E22" s="276"/>
      <c r="F22" s="276"/>
      <c r="G22" s="275"/>
      <c r="H22" s="275"/>
      <c r="I22" s="276"/>
      <c r="J22" s="276"/>
      <c r="K22" s="275"/>
      <c r="L22" s="275"/>
      <c r="M22" s="276"/>
      <c r="N22" s="276"/>
      <c r="O22" s="276"/>
      <c r="P22" s="276"/>
      <c r="Q22" s="276"/>
      <c r="R22" s="276"/>
      <c r="S22" s="276"/>
      <c r="T22" s="276"/>
      <c r="U22" s="276">
        <v>0.75</v>
      </c>
      <c r="V22" s="275">
        <v>0.91666666666666663</v>
      </c>
      <c r="W22" s="275"/>
      <c r="X22" s="275"/>
      <c r="Y22" s="276">
        <v>0.72916666666666663</v>
      </c>
      <c r="Z22" s="276">
        <v>0.91666666666666663</v>
      </c>
      <c r="AA22" s="275"/>
      <c r="AB22" s="275"/>
      <c r="AC22" s="276"/>
      <c r="AD22" s="276"/>
      <c r="AE22" s="276"/>
      <c r="AF22" s="276"/>
      <c r="AG22" s="282"/>
      <c r="AH22" s="238"/>
      <c r="AI22" s="41"/>
      <c r="AJ22" s="191">
        <f>IF(ISERROR(VALUE((MOD(#REF!-#REF!,1))))=TRUE,0,MOD(#REF!-#REF!,1))</f>
        <v>0</v>
      </c>
      <c r="AK22" s="191">
        <f>IF(ISERROR(VALUE((MOD(#REF!-#REF!,1))))=TRUE,0,MOD(#REF!-#REF!,1))</f>
        <v>0</v>
      </c>
      <c r="AL22" s="191">
        <f>IF(ISERROR(VALUE((MOD(#REF!-#REF!,1))))=TRUE,0,MOD(#REF!-#REF!,1))</f>
        <v>0</v>
      </c>
      <c r="AM22" s="191">
        <f>IF(ISERROR(VALUE((MOD(#REF!-#REF!,1))))=TRUE,0,MOD(#REF!-#REF!,1))</f>
        <v>0</v>
      </c>
      <c r="AN22" s="191">
        <f>IF(ISERROR(VALUE((MOD(#REF!-#REF!,1))))=TRUE,0,MOD(#REF!-#REF!,1))</f>
        <v>0</v>
      </c>
      <c r="AO22" s="191">
        <f>IF(ISERROR(VALUE((MOD(#REF!-#REF!,1))))=TRUE,0,MOD(#REF!-#REF!,1))</f>
        <v>0</v>
      </c>
      <c r="AP22" s="191">
        <f>IF(ISERROR(VALUE((MOD(#REF!-#REF!,1))))=TRUE,0,MOD(#REF!-#REF!,1))</f>
        <v>0</v>
      </c>
      <c r="AQ22" s="191">
        <f>IF(ISERROR(VALUE((MOD(#REF!-#REF!,1))))=TRUE,0,MOD(#REF!-#REF!,1))</f>
        <v>0</v>
      </c>
      <c r="AR22" s="191">
        <f>IF(ISERROR(VALUE((MOD(#REF!-#REF!,1))))=TRUE,0,MOD(#REF!-#REF!,1))</f>
        <v>0</v>
      </c>
      <c r="AS22" s="191">
        <f>IF(ISERROR(VALUE((MOD(#REF!-#REF!,1))))=TRUE,0,MOD(#REF!-#REF!,1))</f>
        <v>0</v>
      </c>
      <c r="AT22" s="191">
        <f>IF(ISERROR(VALUE((MOD(#REF!-#REF!,1))))=TRUE,0,MOD(#REF!-#REF!,1))</f>
        <v>0</v>
      </c>
      <c r="AU22" s="191">
        <f>IF(ISERROR(VALUE((MOD(#REF!-#REF!,1))))=TRUE,0,MOD(#REF!-#REF!,1))</f>
        <v>0</v>
      </c>
      <c r="AV22" s="191">
        <f>IF(ISERROR(VALUE((MOD(#REF!-#REF!,1))))=TRUE,0,MOD(#REF!-#REF!,1))</f>
        <v>0</v>
      </c>
      <c r="AW22" s="191">
        <f>IF(ISERROR(VALUE((MOD(#REF!-#REF!,1))))=TRUE,0,MOD(#REF!-#REF!,1))</f>
        <v>0</v>
      </c>
      <c r="AX22" s="31"/>
    </row>
    <row r="23" spans="1:173" x14ac:dyDescent="0.25">
      <c r="A23" s="446"/>
      <c r="B23" s="269"/>
      <c r="C23" s="278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73"/>
      <c r="AB23" s="273"/>
      <c r="AC23" s="273"/>
      <c r="AD23" s="273"/>
      <c r="AE23" s="273"/>
      <c r="AF23" s="273"/>
      <c r="AG23" s="280"/>
      <c r="AH23" s="238">
        <v>0</v>
      </c>
      <c r="AI23" s="41"/>
      <c r="AJ23" s="191">
        <f>IF(ISERROR(VALUE((MOD(#REF!-#REF!,1))))=TRUE,0,MOD(#REF!-#REF!,1))</f>
        <v>0</v>
      </c>
      <c r="AK23" s="191">
        <f>IF(ISERROR(VALUE((MOD(#REF!-#REF!,1))))=TRUE,0,MOD(#REF!-#REF!,1))</f>
        <v>0</v>
      </c>
      <c r="AL23" s="191">
        <f>IF(ISERROR(VALUE((MOD(#REF!-#REF!,1))))=TRUE,0,MOD(#REF!-#REF!,1))</f>
        <v>0</v>
      </c>
      <c r="AM23" s="191">
        <f>IF(ISERROR(VALUE((MOD(#REF!-#REF!,1))))=TRUE,0,MOD(#REF!-#REF!,1))</f>
        <v>0</v>
      </c>
      <c r="AN23" s="191">
        <f>IF(ISERROR(VALUE((MOD(#REF!-#REF!,1))))=TRUE,0,MOD(#REF!-#REF!,1))</f>
        <v>0</v>
      </c>
      <c r="AO23" s="191">
        <f>IF(ISERROR(VALUE((MOD(#REF!-#REF!,1))))=TRUE,0,MOD(#REF!-#REF!,1))</f>
        <v>0</v>
      </c>
      <c r="AP23" s="191">
        <f>IF(ISERROR(VALUE((MOD(#REF!-#REF!,1))))=TRUE,0,MOD(#REF!-#REF!,1))</f>
        <v>0</v>
      </c>
      <c r="AQ23" s="191">
        <f>IF(ISERROR(VALUE((MOD(#REF!-#REF!,1))))=TRUE,0,MOD(#REF!-#REF!,1))</f>
        <v>0</v>
      </c>
      <c r="AR23" s="191">
        <f>IF(ISERROR(VALUE((MOD(#REF!-#REF!,1))))=TRUE,0,MOD(#REF!-#REF!,1))</f>
        <v>0</v>
      </c>
      <c r="AS23" s="191">
        <f>IF(ISERROR(VALUE((MOD(#REF!-#REF!,1))))=TRUE,0,MOD(#REF!-#REF!,1))</f>
        <v>0</v>
      </c>
      <c r="AT23" s="191">
        <f>IF(ISERROR(VALUE((MOD(#REF!-#REF!,1))))=TRUE,0,MOD(#REF!-#REF!,1))</f>
        <v>0</v>
      </c>
      <c r="AU23" s="191">
        <f>IF(ISERROR(VALUE((MOD(#REF!-#REF!,1))))=TRUE,0,MOD(#REF!-#REF!,1))</f>
        <v>0</v>
      </c>
      <c r="AV23" s="191">
        <f>IF(ISERROR(VALUE((MOD(#REF!-#REF!,1))))=TRUE,0,MOD(#REF!-#REF!,1))</f>
        <v>0</v>
      </c>
      <c r="AW23" s="191">
        <f>IF(ISERROR(VALUE((MOD(#REF!-#REF!,1))))=TRUE,0,MOD(#REF!-#REF!,1))</f>
        <v>0</v>
      </c>
      <c r="AX23" s="31"/>
    </row>
    <row r="24" spans="1:173" ht="15.95" customHeight="1" thickBot="1" x14ac:dyDescent="0.3">
      <c r="A24" s="446"/>
      <c r="B24" s="272"/>
      <c r="C24" s="283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5"/>
      <c r="AH24" s="238"/>
      <c r="AI24" s="41"/>
      <c r="AJ24" s="191">
        <f>IF(ISERROR(VALUE((MOD(#REF!-#REF!,1))))=TRUE,0,MOD(#REF!-#REF!,1))</f>
        <v>0</v>
      </c>
      <c r="AK24" s="191">
        <f>IF(ISERROR(VALUE((MOD(#REF!-#REF!,1))))=TRUE,0,MOD(#REF!-#REF!,1))</f>
        <v>0</v>
      </c>
      <c r="AL24" s="191">
        <f>IF(ISERROR(VALUE((MOD(#REF!-#REF!,1))))=TRUE,0,MOD(#REF!-#REF!,1))</f>
        <v>0</v>
      </c>
      <c r="AM24" s="191">
        <f>IF(ISERROR(VALUE((MOD(#REF!-#REF!,1))))=TRUE,0,MOD(#REF!-#REF!,1))</f>
        <v>0</v>
      </c>
      <c r="AN24" s="191">
        <f>IF(ISERROR(VALUE((MOD(#REF!-#REF!,1))))=TRUE,0,MOD(#REF!-#REF!,1))</f>
        <v>0</v>
      </c>
      <c r="AO24" s="191">
        <f>IF(ISERROR(VALUE((MOD(#REF!-#REF!,1))))=TRUE,0,MOD(#REF!-#REF!,1))</f>
        <v>0</v>
      </c>
      <c r="AP24" s="191">
        <f>IF(ISERROR(VALUE((MOD(#REF!-#REF!,1))))=TRUE,0,MOD(#REF!-#REF!,1))</f>
        <v>0</v>
      </c>
      <c r="AQ24" s="191">
        <f>IF(ISERROR(VALUE((MOD(#REF!-#REF!,1))))=TRUE,0,MOD(#REF!-#REF!,1))</f>
        <v>0</v>
      </c>
      <c r="AR24" s="191">
        <f>IF(ISERROR(VALUE((MOD(#REF!-#REF!,1))))=TRUE,0,MOD(#REF!-#REF!,1))</f>
        <v>0</v>
      </c>
      <c r="AS24" s="191">
        <f>IF(ISERROR(VALUE((MOD(#REF!-#REF!,1))))=TRUE,0,MOD(#REF!-#REF!,1))</f>
        <v>0</v>
      </c>
      <c r="AT24" s="191">
        <f>IF(ISERROR(VALUE((MOD(#REF!-#REF!,1))))=TRUE,0,MOD(#REF!-#REF!,1))</f>
        <v>0</v>
      </c>
      <c r="AU24" s="191">
        <f>IF(ISERROR(VALUE((MOD(#REF!-#REF!,1))))=TRUE,0,MOD(#REF!-#REF!,1))</f>
        <v>0</v>
      </c>
      <c r="AV24" s="191">
        <f>IF(ISERROR(VALUE((MOD(#REF!-#REF!,1))))=TRUE,0,MOD(#REF!-#REF!,1))</f>
        <v>0</v>
      </c>
      <c r="AW24" s="191">
        <f>IF(ISERROR(VALUE((MOD(#REF!-#REF!,1))))=TRUE,0,MOD(#REF!-#REF!,1))</f>
        <v>0</v>
      </c>
      <c r="AX24" s="31"/>
    </row>
    <row r="25" spans="1:173" ht="11.45" customHeight="1" thickBot="1" x14ac:dyDescent="0.3">
      <c r="A25" s="45"/>
      <c r="B25" s="277"/>
      <c r="C25" s="494" t="s">
        <v>369</v>
      </c>
      <c r="D25" s="495"/>
      <c r="E25" s="495"/>
      <c r="F25" s="495"/>
      <c r="G25" s="496" t="s">
        <v>378</v>
      </c>
      <c r="H25" s="496"/>
      <c r="I25" s="496"/>
      <c r="J25" s="496"/>
      <c r="K25" s="497" t="s">
        <v>379</v>
      </c>
      <c r="L25" s="498"/>
      <c r="M25" s="498"/>
      <c r="N25" s="498"/>
      <c r="O25" s="499" t="s">
        <v>390</v>
      </c>
      <c r="P25" s="500"/>
      <c r="Q25" s="500"/>
      <c r="R25" s="500"/>
      <c r="S25" s="492"/>
      <c r="T25" s="492"/>
      <c r="U25" s="492"/>
      <c r="V25" s="492"/>
      <c r="W25" s="492"/>
      <c r="X25" s="492"/>
      <c r="Y25" s="492"/>
      <c r="Z25" s="492"/>
      <c r="AA25" s="501" t="s">
        <v>400</v>
      </c>
      <c r="AB25" s="501"/>
      <c r="AC25" s="501"/>
      <c r="AD25" s="501"/>
      <c r="AE25" s="501"/>
      <c r="AF25" s="501"/>
      <c r="AG25" s="502"/>
      <c r="AH25" s="44"/>
      <c r="AI25" s="44"/>
      <c r="AJ25" s="42"/>
      <c r="AK25" s="43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31"/>
    </row>
    <row r="26" spans="1:173" s="23" customFormat="1" ht="12.75" customHeight="1" thickBot="1" x14ac:dyDescent="0.25">
      <c r="A26" s="47"/>
      <c r="B26" s="48" t="s">
        <v>262</v>
      </c>
      <c r="C26" s="491">
        <v>0.10416666666666667</v>
      </c>
      <c r="D26" s="491"/>
      <c r="E26" s="491"/>
      <c r="F26" s="491"/>
      <c r="G26" s="491">
        <v>0.10416666666666667</v>
      </c>
      <c r="H26" s="491"/>
      <c r="I26" s="491"/>
      <c r="J26" s="491"/>
      <c r="K26" s="491">
        <v>0.10416666666666667</v>
      </c>
      <c r="L26" s="491"/>
      <c r="M26" s="491"/>
      <c r="N26" s="491"/>
      <c r="O26" s="491">
        <v>0.17708333333333334</v>
      </c>
      <c r="P26" s="491"/>
      <c r="Q26" s="491"/>
      <c r="R26" s="491"/>
      <c r="S26" s="491">
        <v>0.24305555555555555</v>
      </c>
      <c r="T26" s="491"/>
      <c r="U26" s="491"/>
      <c r="V26" s="491"/>
      <c r="W26" s="491">
        <v>0.27083333333333331</v>
      </c>
      <c r="X26" s="491"/>
      <c r="Y26" s="491"/>
      <c r="Z26" s="491"/>
      <c r="AA26" s="491">
        <v>0.125</v>
      </c>
      <c r="AB26" s="491"/>
      <c r="AC26" s="491"/>
      <c r="AD26" s="491"/>
      <c r="AE26" s="491"/>
      <c r="AF26" s="491"/>
      <c r="AG26" s="491"/>
      <c r="AH26" s="27"/>
      <c r="AI26" s="27"/>
      <c r="AJ26" s="42"/>
      <c r="AK26" s="43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31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</row>
    <row r="27" spans="1:173" s="23" customFormat="1" ht="14.25" customHeight="1" thickBot="1" x14ac:dyDescent="0.25">
      <c r="B27" s="49"/>
      <c r="C27" s="49"/>
      <c r="D27" s="49"/>
      <c r="E27" s="49"/>
      <c r="F27" s="49"/>
      <c r="G27" s="49"/>
      <c r="H27" s="49"/>
      <c r="I27" s="49"/>
      <c r="J27" s="49"/>
      <c r="K27" s="50"/>
      <c r="L27" s="51"/>
      <c r="M27" s="51"/>
      <c r="N27" s="51"/>
      <c r="O27" s="51"/>
      <c r="P27" s="51"/>
      <c r="Q27" s="51"/>
      <c r="R27" s="51"/>
      <c r="S27" s="483"/>
      <c r="T27" s="483"/>
      <c r="U27" s="483"/>
      <c r="V27" s="483"/>
      <c r="W27" s="52"/>
      <c r="X27" s="52"/>
      <c r="Y27" s="52"/>
      <c r="Z27" s="52"/>
      <c r="AA27" s="483"/>
      <c r="AB27" s="483"/>
      <c r="AC27" s="483"/>
      <c r="AD27" s="483"/>
      <c r="AE27" s="483"/>
      <c r="AF27" s="483"/>
      <c r="AG27" s="483"/>
      <c r="AH27" s="27"/>
      <c r="AI27" s="27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31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</row>
    <row r="28" spans="1:173" s="23" customFormat="1" ht="15.95" customHeight="1" thickTop="1" thickBot="1" x14ac:dyDescent="0.25">
      <c r="A28" s="54"/>
      <c r="B28" s="336"/>
      <c r="C28" s="337"/>
      <c r="D28" s="337"/>
      <c r="E28" s="337"/>
      <c r="F28" s="337"/>
      <c r="G28" s="337"/>
      <c r="H28" s="337"/>
      <c r="I28" s="337"/>
      <c r="J28" s="338"/>
      <c r="K28" s="339" t="s">
        <v>415</v>
      </c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40"/>
      <c r="AC28" s="52"/>
      <c r="AD28" s="52"/>
      <c r="AE28" s="52"/>
      <c r="AF28" s="52"/>
      <c r="AG28" s="58"/>
      <c r="AH28" s="27"/>
      <c r="AI28" s="59" t="s">
        <v>265</v>
      </c>
      <c r="AJ28" s="60">
        <f>SUM(AJ7:AJ26)</f>
        <v>0</v>
      </c>
      <c r="AK28" s="60">
        <f>SUM(AK7:AK25)</f>
        <v>0</v>
      </c>
      <c r="AL28" s="60">
        <f t="shared" ref="AL28:AW28" si="0">SUM(AL7:AL26)</f>
        <v>0</v>
      </c>
      <c r="AM28" s="60">
        <f t="shared" si="0"/>
        <v>0</v>
      </c>
      <c r="AN28" s="60">
        <f t="shared" si="0"/>
        <v>0</v>
      </c>
      <c r="AO28" s="60">
        <f t="shared" si="0"/>
        <v>0</v>
      </c>
      <c r="AP28" s="60">
        <f t="shared" si="0"/>
        <v>0</v>
      </c>
      <c r="AQ28" s="60">
        <f t="shared" si="0"/>
        <v>0</v>
      </c>
      <c r="AR28" s="60">
        <f t="shared" si="0"/>
        <v>0</v>
      </c>
      <c r="AS28" s="60">
        <f t="shared" si="0"/>
        <v>0</v>
      </c>
      <c r="AT28" s="60">
        <f t="shared" si="0"/>
        <v>0</v>
      </c>
      <c r="AU28" s="60">
        <f t="shared" si="0"/>
        <v>0</v>
      </c>
      <c r="AV28" s="60">
        <f t="shared" si="0"/>
        <v>0</v>
      </c>
      <c r="AW28" s="60">
        <f t="shared" si="0"/>
        <v>0</v>
      </c>
      <c r="AX28" s="31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</row>
    <row r="29" spans="1:173" s="23" customFormat="1" ht="14.25" customHeight="1" thickTop="1" x14ac:dyDescent="0.2">
      <c r="A29" s="54"/>
      <c r="B29" s="327" t="s">
        <v>266</v>
      </c>
      <c r="C29" s="328"/>
      <c r="D29" s="328" t="s">
        <v>267</v>
      </c>
      <c r="E29" s="328"/>
      <c r="F29" s="328"/>
      <c r="G29" s="328"/>
      <c r="H29" s="328"/>
      <c r="I29" s="328"/>
      <c r="J29" s="329"/>
      <c r="K29" s="330" t="s">
        <v>416</v>
      </c>
      <c r="L29" s="331" t="s">
        <v>417</v>
      </c>
      <c r="M29" s="331"/>
      <c r="N29" s="331"/>
      <c r="O29" s="331"/>
      <c r="P29" s="331"/>
      <c r="Q29" s="331"/>
      <c r="R29" s="331"/>
      <c r="S29" s="332"/>
      <c r="T29" s="333" t="s">
        <v>422</v>
      </c>
      <c r="U29" s="334" t="s">
        <v>423</v>
      </c>
      <c r="V29" s="334"/>
      <c r="W29" s="334"/>
      <c r="X29" s="334"/>
      <c r="Y29" s="334" t="s">
        <v>428</v>
      </c>
      <c r="Z29" s="334"/>
      <c r="AA29" s="334"/>
      <c r="AB29" s="335"/>
      <c r="AC29" s="52"/>
      <c r="AD29" s="52"/>
      <c r="AE29" s="52"/>
      <c r="AF29" s="52"/>
      <c r="AG29" s="58"/>
      <c r="AH29" s="27"/>
      <c r="AI29" s="64" t="s">
        <v>268</v>
      </c>
      <c r="AJ29" s="488" t="e">
        <f>SUM(AJ28:AK28)-#REF!</f>
        <v>#REF!</v>
      </c>
      <c r="AK29" s="488"/>
      <c r="AL29" s="488" t="e">
        <f>SUM(AL28:AM28)-#REF!</f>
        <v>#REF!</v>
      </c>
      <c r="AM29" s="488"/>
      <c r="AN29" s="488" t="e">
        <f>SUM(AN28:AO28)-#REF!</f>
        <v>#REF!</v>
      </c>
      <c r="AO29" s="488"/>
      <c r="AP29" s="488" t="e">
        <f>SUM(AP28:AQ28)-#REF!</f>
        <v>#REF!</v>
      </c>
      <c r="AQ29" s="488"/>
      <c r="AR29" s="488" t="e">
        <f>SUM(AR28:AS28)-#REF!</f>
        <v>#REF!</v>
      </c>
      <c r="AS29" s="488"/>
      <c r="AT29" s="488" t="e">
        <f>SUM(AT28:AU28)-#REF!</f>
        <v>#REF!</v>
      </c>
      <c r="AU29" s="488"/>
      <c r="AV29" s="488" t="e">
        <f>SUM(AV28:AW28)-#REF!</f>
        <v>#REF!</v>
      </c>
      <c r="AW29" s="488"/>
      <c r="AX29" s="65" t="e">
        <f>SUM(AJ29:AW29)</f>
        <v>#REF!</v>
      </c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</row>
    <row r="30" spans="1:173" s="23" customFormat="1" ht="14.25" customHeight="1" x14ac:dyDescent="0.2">
      <c r="A30" s="54"/>
      <c r="B30" s="315" t="s">
        <v>269</v>
      </c>
      <c r="C30" s="67"/>
      <c r="D30" s="67" t="s">
        <v>270</v>
      </c>
      <c r="E30" s="67"/>
      <c r="F30" s="67"/>
      <c r="G30" s="67"/>
      <c r="H30" s="67"/>
      <c r="I30" s="67"/>
      <c r="J30" s="68"/>
      <c r="K30" s="306" t="s">
        <v>418</v>
      </c>
      <c r="L30" s="316" t="s">
        <v>419</v>
      </c>
      <c r="M30" s="316"/>
      <c r="N30" s="316"/>
      <c r="O30" s="316"/>
      <c r="P30" s="316" t="s">
        <v>427</v>
      </c>
      <c r="Q30" s="316"/>
      <c r="R30" s="316"/>
      <c r="S30" s="307"/>
      <c r="T30" s="61" t="s">
        <v>424</v>
      </c>
      <c r="U30" s="71" t="s">
        <v>425</v>
      </c>
      <c r="V30" s="71"/>
      <c r="W30" s="71"/>
      <c r="X30" s="71"/>
      <c r="Y30" s="71" t="s">
        <v>428</v>
      </c>
      <c r="Z30" s="71"/>
      <c r="AA30" s="71"/>
      <c r="AB30" s="317"/>
      <c r="AC30" s="52"/>
      <c r="AD30" s="52"/>
      <c r="AE30" s="52"/>
      <c r="AF30" s="52"/>
      <c r="AG30" s="58"/>
      <c r="AH30" s="27"/>
      <c r="AI30" s="69">
        <f>AL1</f>
        <v>28</v>
      </c>
      <c r="AJ30" s="490" t="e">
        <f>AJ29*24*AI30</f>
        <v>#REF!</v>
      </c>
      <c r="AK30" s="490"/>
      <c r="AL30" s="490" t="e">
        <f>AL29*24*AI30</f>
        <v>#REF!</v>
      </c>
      <c r="AM30" s="490"/>
      <c r="AN30" s="490" t="e">
        <f>AN29*24*AI30</f>
        <v>#REF!</v>
      </c>
      <c r="AO30" s="490"/>
      <c r="AP30" s="490" t="e">
        <f>AP29*24*AI30</f>
        <v>#REF!</v>
      </c>
      <c r="AQ30" s="490"/>
      <c r="AR30" s="490" t="e">
        <f>AR29*24*AI30</f>
        <v>#REF!</v>
      </c>
      <c r="AS30" s="490"/>
      <c r="AT30" s="490" t="e">
        <f>AT29*24*AI30</f>
        <v>#REF!</v>
      </c>
      <c r="AU30" s="490"/>
      <c r="AV30" s="490" t="e">
        <f>AV29*24*AI30</f>
        <v>#REF!</v>
      </c>
      <c r="AW30" s="490"/>
      <c r="AX30" s="31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</row>
    <row r="31" spans="1:173" s="23" customFormat="1" ht="14.25" customHeight="1" x14ac:dyDescent="0.2">
      <c r="A31" s="54"/>
      <c r="B31" s="314" t="s">
        <v>271</v>
      </c>
      <c r="C31" s="71"/>
      <c r="D31" s="71" t="s">
        <v>272</v>
      </c>
      <c r="E31" s="71"/>
      <c r="F31" s="71"/>
      <c r="G31" s="71"/>
      <c r="H31" s="71"/>
      <c r="I31" s="71"/>
      <c r="J31" s="72"/>
      <c r="K31" s="308" t="s">
        <v>420</v>
      </c>
      <c r="L31" s="309" t="s">
        <v>421</v>
      </c>
      <c r="M31" s="309"/>
      <c r="N31" s="309"/>
      <c r="O31" s="309"/>
      <c r="P31" s="309" t="s">
        <v>428</v>
      </c>
      <c r="Q31" s="309"/>
      <c r="R31" s="309"/>
      <c r="S31" s="310"/>
      <c r="T31" s="61"/>
      <c r="U31" s="71"/>
      <c r="V31" s="71"/>
      <c r="W31" s="71"/>
      <c r="X31" s="71"/>
      <c r="Y31" s="71"/>
      <c r="Z31" s="71"/>
      <c r="AA31" s="71"/>
      <c r="AB31" s="317"/>
      <c r="AC31" s="52"/>
      <c r="AD31" s="52"/>
      <c r="AE31" s="52"/>
      <c r="AF31" s="52"/>
      <c r="AG31" s="58"/>
      <c r="AH31" s="27"/>
      <c r="AI31" s="28" t="s">
        <v>258</v>
      </c>
      <c r="AJ31" s="485" t="e">
        <f>100/#REF!*AJ30/100</f>
        <v>#REF!</v>
      </c>
      <c r="AK31" s="485"/>
      <c r="AL31" s="485" t="e">
        <f>100/#REF!*AL30/100</f>
        <v>#REF!</v>
      </c>
      <c r="AM31" s="485"/>
      <c r="AN31" s="485" t="e">
        <f>100/#REF!*AN30/100</f>
        <v>#REF!</v>
      </c>
      <c r="AO31" s="485"/>
      <c r="AP31" s="485" t="e">
        <f>100/#REF!*AP30/100</f>
        <v>#REF!</v>
      </c>
      <c r="AQ31" s="485"/>
      <c r="AR31" s="485" t="e">
        <f>100/#REF!*AR30/100</f>
        <v>#REF!</v>
      </c>
      <c r="AS31" s="485"/>
      <c r="AT31" s="485" t="e">
        <f>100/#REF!*AT30/100</f>
        <v>#REF!</v>
      </c>
      <c r="AU31" s="485"/>
      <c r="AV31" s="485" t="e">
        <f>100/#REF!*AV30/100</f>
        <v>#REF!</v>
      </c>
      <c r="AW31" s="485"/>
      <c r="AX31" s="31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</row>
    <row r="32" spans="1:173" s="23" customFormat="1" ht="14.25" customHeight="1" thickBot="1" x14ac:dyDescent="0.25">
      <c r="A32" s="73"/>
      <c r="B32" s="318" t="s">
        <v>263</v>
      </c>
      <c r="C32" s="319"/>
      <c r="D32" s="319" t="s">
        <v>264</v>
      </c>
      <c r="E32" s="319"/>
      <c r="F32" s="319"/>
      <c r="G32" s="319"/>
      <c r="H32" s="319"/>
      <c r="I32" s="319"/>
      <c r="J32" s="320"/>
      <c r="K32" s="321"/>
      <c r="L32" s="322"/>
      <c r="M32" s="322"/>
      <c r="N32" s="322"/>
      <c r="O32" s="322"/>
      <c r="P32" s="322"/>
      <c r="Q32" s="322"/>
      <c r="R32" s="322"/>
      <c r="S32" s="323"/>
      <c r="T32" s="324"/>
      <c r="U32" s="325"/>
      <c r="V32" s="325"/>
      <c r="W32" s="325"/>
      <c r="X32" s="325"/>
      <c r="Y32" s="325"/>
      <c r="Z32" s="325"/>
      <c r="AA32" s="325"/>
      <c r="AB32" s="326"/>
      <c r="AC32" s="75"/>
      <c r="AD32" s="75"/>
      <c r="AE32" s="75"/>
      <c r="AF32" s="75"/>
      <c r="AH32" s="27"/>
      <c r="AI32" s="28" t="s">
        <v>273</v>
      </c>
      <c r="AJ32" s="70" t="e">
        <f>SUM(AJ31:AW31)</f>
        <v>#REF!</v>
      </c>
      <c r="AK32" s="76" t="e">
        <f>AJ32/7</f>
        <v>#REF!</v>
      </c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31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</row>
    <row r="33" spans="1:153" s="23" customFormat="1" ht="14.25" customHeight="1" x14ac:dyDescent="0.2">
      <c r="A33" s="20"/>
      <c r="B33" s="74"/>
      <c r="C33" s="74"/>
      <c r="D33" s="74"/>
      <c r="E33" s="74"/>
      <c r="F33" s="74"/>
      <c r="G33" s="74"/>
      <c r="H33" s="74"/>
      <c r="I33" s="74"/>
      <c r="J33" s="74"/>
      <c r="K33" s="311"/>
      <c r="L33" s="312"/>
      <c r="M33" s="312"/>
      <c r="N33" s="312"/>
      <c r="O33" s="312"/>
      <c r="P33" s="312"/>
      <c r="Q33" s="312"/>
      <c r="R33" s="312"/>
      <c r="S33" s="313"/>
      <c r="T33" s="311"/>
      <c r="U33" s="312"/>
      <c r="V33" s="312"/>
      <c r="W33" s="312"/>
      <c r="X33" s="312"/>
      <c r="Y33" s="312"/>
      <c r="Z33" s="312"/>
      <c r="AA33" s="312"/>
      <c r="AB33" s="313"/>
      <c r="AC33" s="75"/>
      <c r="AD33" s="75"/>
      <c r="AE33" s="75"/>
      <c r="AF33" s="75"/>
      <c r="AH33" s="24"/>
      <c r="AI33" s="24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25"/>
      <c r="AX33" s="26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</row>
    <row r="34" spans="1:153" s="23" customFormat="1" ht="14.25" customHeight="1" x14ac:dyDescent="0.2">
      <c r="A34" s="20"/>
      <c r="B34" s="21"/>
      <c r="C34" s="22"/>
      <c r="D34" s="22"/>
      <c r="E34" s="22"/>
      <c r="G34" s="22"/>
      <c r="H34" s="22"/>
      <c r="I34" s="22"/>
      <c r="K34" s="22"/>
      <c r="L34" s="22"/>
      <c r="M34" s="22"/>
      <c r="O34" s="22"/>
      <c r="P34" s="22"/>
      <c r="Q34" s="22"/>
      <c r="S34" s="22"/>
      <c r="T34" s="22"/>
      <c r="U34" s="22"/>
      <c r="W34" s="22"/>
      <c r="X34" s="22"/>
      <c r="Y34" s="22"/>
      <c r="AA34" s="22"/>
      <c r="AB34" s="22"/>
      <c r="AC34" s="22"/>
      <c r="AD34" s="22"/>
      <c r="AE34" s="22"/>
      <c r="AF34" s="22"/>
      <c r="AH34" s="24"/>
      <c r="AI34" s="24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6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</row>
    <row r="35" spans="1:153" s="23" customFormat="1" ht="14.25" customHeight="1" x14ac:dyDescent="0.2">
      <c r="A35" s="20"/>
      <c r="B35" s="21"/>
      <c r="C35" s="22"/>
      <c r="D35" s="22"/>
      <c r="E35" s="22"/>
      <c r="G35" s="22"/>
      <c r="H35" s="22"/>
      <c r="I35" s="22"/>
      <c r="K35" s="22"/>
      <c r="L35" s="22"/>
      <c r="M35" s="22"/>
      <c r="O35" s="22"/>
      <c r="P35" s="22"/>
      <c r="Q35" s="22"/>
      <c r="S35" s="22"/>
      <c r="T35" s="22"/>
      <c r="U35" s="22"/>
      <c r="W35" s="22"/>
      <c r="X35" s="22"/>
      <c r="Y35" s="22"/>
      <c r="AA35" s="22"/>
      <c r="AB35" s="22"/>
      <c r="AC35" s="22"/>
      <c r="AD35" s="22"/>
      <c r="AE35" s="22"/>
      <c r="AF35" s="22"/>
      <c r="AH35" s="24"/>
      <c r="AI35" s="24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6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</row>
    <row r="36" spans="1:153" s="23" customFormat="1" ht="14.25" customHeight="1" x14ac:dyDescent="0.2">
      <c r="A36" s="20"/>
      <c r="B36" s="21"/>
      <c r="C36" s="22"/>
      <c r="D36" s="22"/>
      <c r="E36" s="22"/>
      <c r="G36" s="22"/>
      <c r="H36" s="22"/>
      <c r="I36" s="22"/>
      <c r="K36" s="22"/>
      <c r="L36" s="22"/>
      <c r="M36" s="22"/>
      <c r="O36" s="22"/>
      <c r="P36" s="22"/>
      <c r="Q36" s="22"/>
      <c r="S36" s="22"/>
      <c r="T36" s="22"/>
      <c r="U36" s="22"/>
      <c r="W36" s="22"/>
      <c r="X36" s="22"/>
      <c r="Y36" s="22"/>
      <c r="AA36" s="22"/>
      <c r="AB36" s="22"/>
      <c r="AC36" s="22"/>
      <c r="AD36" s="22"/>
      <c r="AE36" s="22"/>
      <c r="AF36" s="22"/>
      <c r="AH36" s="24"/>
      <c r="AI36" s="24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6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</row>
    <row r="37" spans="1:153" s="23" customFormat="1" ht="14.25" customHeight="1" x14ac:dyDescent="0.2">
      <c r="A37" s="20"/>
      <c r="B37" s="21"/>
      <c r="C37" s="22"/>
      <c r="D37" s="22"/>
      <c r="E37" s="22"/>
      <c r="G37" s="22"/>
      <c r="H37" s="22"/>
      <c r="I37" s="22"/>
      <c r="K37" s="22"/>
      <c r="L37" s="22"/>
      <c r="M37" s="22"/>
      <c r="O37" s="22"/>
      <c r="P37" s="22"/>
      <c r="Q37" s="22"/>
      <c r="S37" s="22"/>
      <c r="T37" s="22"/>
      <c r="U37" s="22"/>
      <c r="W37" s="22"/>
      <c r="X37" s="22"/>
      <c r="Y37" s="22"/>
      <c r="AA37" s="22"/>
      <c r="AB37" s="22"/>
      <c r="AC37" s="22"/>
      <c r="AD37" s="22"/>
      <c r="AE37" s="22"/>
      <c r="AF37" s="22"/>
      <c r="AH37" s="24"/>
      <c r="AI37" s="24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6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</row>
    <row r="38" spans="1:153" s="23" customFormat="1" ht="14.25" customHeight="1" x14ac:dyDescent="0.2">
      <c r="A38" s="20"/>
      <c r="B38" s="21"/>
      <c r="C38" s="22"/>
      <c r="D38" s="22"/>
      <c r="E38" s="22"/>
      <c r="G38" s="22"/>
      <c r="H38" s="22"/>
      <c r="I38" s="22"/>
      <c r="K38" s="22"/>
      <c r="L38" s="22"/>
      <c r="M38" s="22"/>
      <c r="O38" s="22"/>
      <c r="P38" s="22"/>
      <c r="Q38" s="22"/>
      <c r="S38" s="22"/>
      <c r="T38" s="22"/>
      <c r="U38" s="22"/>
      <c r="W38" s="22"/>
      <c r="X38" s="22"/>
      <c r="Y38" s="22"/>
      <c r="AA38" s="22"/>
      <c r="AB38" s="22"/>
      <c r="AC38" s="22"/>
      <c r="AD38" s="22"/>
      <c r="AE38" s="22"/>
      <c r="AF38" s="22"/>
      <c r="AH38" s="24"/>
      <c r="AI38" s="24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6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</row>
    <row r="39" spans="1:153" s="23" customFormat="1" ht="14.25" customHeight="1" x14ac:dyDescent="0.2">
      <c r="A39" s="20"/>
      <c r="B39" s="21"/>
      <c r="C39" s="22"/>
      <c r="D39" s="22"/>
      <c r="E39" s="22"/>
      <c r="G39" s="22"/>
      <c r="H39" s="22"/>
      <c r="I39" s="22"/>
      <c r="K39" s="22"/>
      <c r="L39" s="22"/>
      <c r="M39" s="22"/>
      <c r="O39" s="22"/>
      <c r="P39" s="22"/>
      <c r="Q39" s="22"/>
      <c r="S39" s="22"/>
      <c r="T39" s="22"/>
      <c r="U39" s="22"/>
      <c r="W39" s="22"/>
      <c r="X39" s="22"/>
      <c r="Y39" s="22"/>
      <c r="AA39" s="22"/>
      <c r="AB39" s="22"/>
      <c r="AC39" s="22"/>
      <c r="AD39" s="22"/>
      <c r="AE39" s="22"/>
      <c r="AF39" s="22"/>
      <c r="AH39" s="24"/>
      <c r="AI39" s="24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6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</row>
    <row r="40" spans="1:153" s="23" customFormat="1" ht="14.25" customHeight="1" x14ac:dyDescent="0.2">
      <c r="A40" s="20"/>
      <c r="B40" s="21"/>
      <c r="C40" s="22"/>
      <c r="D40" s="22"/>
      <c r="E40" s="22"/>
      <c r="G40" s="22"/>
      <c r="H40" s="22"/>
      <c r="I40" s="22"/>
      <c r="K40" s="22"/>
      <c r="L40" s="22"/>
      <c r="M40" s="22"/>
      <c r="O40" s="22"/>
      <c r="P40" s="22"/>
      <c r="Q40" s="22"/>
      <c r="S40" s="22"/>
      <c r="T40" s="22"/>
      <c r="U40" s="22"/>
      <c r="W40" s="22"/>
      <c r="X40" s="22"/>
      <c r="Y40" s="22"/>
      <c r="AA40" s="22"/>
      <c r="AB40" s="22"/>
      <c r="AC40" s="22"/>
      <c r="AD40" s="22"/>
      <c r="AE40" s="22"/>
      <c r="AF40" s="22"/>
      <c r="AH40" s="24"/>
      <c r="AI40" s="24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6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</row>
    <row r="41" spans="1:153" s="23" customFormat="1" ht="14.25" customHeight="1" x14ac:dyDescent="0.2">
      <c r="A41" s="20"/>
      <c r="B41" s="21"/>
      <c r="C41" s="22"/>
      <c r="D41" s="22"/>
      <c r="E41" s="22"/>
      <c r="G41" s="22"/>
      <c r="H41" s="22"/>
      <c r="I41" s="22"/>
      <c r="K41" s="22"/>
      <c r="L41" s="22"/>
      <c r="M41" s="22"/>
      <c r="O41" s="22"/>
      <c r="P41" s="22"/>
      <c r="Q41" s="22"/>
      <c r="S41" s="22"/>
      <c r="T41" s="22"/>
      <c r="U41" s="22"/>
      <c r="W41" s="22"/>
      <c r="X41" s="22"/>
      <c r="Y41" s="22"/>
      <c r="AA41" s="22"/>
      <c r="AB41" s="22"/>
      <c r="AC41" s="22"/>
      <c r="AD41" s="22"/>
      <c r="AE41" s="22"/>
      <c r="AF41" s="22"/>
      <c r="AH41" s="24"/>
      <c r="AI41" s="24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6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</row>
    <row r="42" spans="1:153" s="23" customFormat="1" ht="14.25" customHeight="1" x14ac:dyDescent="0.2">
      <c r="A42" s="20"/>
      <c r="B42" s="21"/>
      <c r="C42" s="22"/>
      <c r="D42" s="22"/>
      <c r="E42" s="22"/>
      <c r="G42" s="22"/>
      <c r="H42" s="22"/>
      <c r="I42" s="22"/>
      <c r="K42" s="22"/>
      <c r="L42" s="22"/>
      <c r="M42" s="22"/>
      <c r="O42" s="22"/>
      <c r="P42" s="22"/>
      <c r="Q42" s="22"/>
      <c r="S42" s="22"/>
      <c r="T42" s="22"/>
      <c r="U42" s="22"/>
      <c r="W42" s="22"/>
      <c r="X42" s="22"/>
      <c r="Y42" s="22"/>
      <c r="AA42" s="22"/>
      <c r="AB42" s="22"/>
      <c r="AC42" s="22"/>
      <c r="AD42" s="22"/>
      <c r="AE42" s="22"/>
      <c r="AF42" s="22"/>
      <c r="AH42" s="24"/>
      <c r="AI42" s="24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6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</row>
    <row r="43" spans="1:153" s="23" customFormat="1" ht="14.25" customHeight="1" x14ac:dyDescent="0.2">
      <c r="A43" s="20"/>
      <c r="B43" s="21"/>
      <c r="C43" s="22"/>
      <c r="D43" s="22"/>
      <c r="E43" s="22"/>
      <c r="G43" s="22"/>
      <c r="H43" s="22"/>
      <c r="I43" s="22"/>
      <c r="K43" s="22"/>
      <c r="L43" s="22"/>
      <c r="M43" s="22"/>
      <c r="O43" s="22"/>
      <c r="P43" s="22"/>
      <c r="Q43" s="22"/>
      <c r="S43" s="22"/>
      <c r="T43" s="22"/>
      <c r="U43" s="22"/>
      <c r="W43" s="22"/>
      <c r="X43" s="22"/>
      <c r="Y43" s="22"/>
      <c r="AA43" s="22"/>
      <c r="AB43" s="22"/>
      <c r="AC43" s="22"/>
      <c r="AD43" s="22"/>
      <c r="AE43" s="22"/>
      <c r="AF43" s="22"/>
      <c r="AH43" s="24"/>
      <c r="AI43" s="24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6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</row>
    <row r="44" spans="1:153" s="23" customFormat="1" ht="14.25" customHeight="1" x14ac:dyDescent="0.2">
      <c r="A44" s="20"/>
      <c r="B44" s="21"/>
      <c r="C44" s="22"/>
      <c r="D44" s="22"/>
      <c r="E44" s="22"/>
      <c r="G44" s="22"/>
      <c r="H44" s="22"/>
      <c r="I44" s="22"/>
      <c r="K44" s="22"/>
      <c r="L44" s="22"/>
      <c r="M44" s="22"/>
      <c r="O44" s="22"/>
      <c r="P44" s="22"/>
      <c r="Q44" s="22"/>
      <c r="S44" s="22"/>
      <c r="T44" s="22"/>
      <c r="U44" s="22"/>
      <c r="W44" s="22"/>
      <c r="X44" s="22"/>
      <c r="Y44" s="22"/>
      <c r="AA44" s="22"/>
      <c r="AB44" s="22"/>
      <c r="AC44" s="22"/>
      <c r="AD44" s="22"/>
      <c r="AE44" s="22"/>
      <c r="AF44" s="22"/>
      <c r="AH44" s="24"/>
      <c r="AI44" s="24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6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</row>
    <row r="45" spans="1:153" s="23" customFormat="1" ht="14.25" customHeight="1" x14ac:dyDescent="0.2">
      <c r="A45" s="20"/>
      <c r="B45" s="21"/>
      <c r="C45" s="22"/>
      <c r="D45" s="22"/>
      <c r="E45" s="22"/>
      <c r="G45" s="22"/>
      <c r="H45" s="22"/>
      <c r="I45" s="22"/>
      <c r="K45" s="22"/>
      <c r="L45" s="22"/>
      <c r="M45" s="22"/>
      <c r="O45" s="22"/>
      <c r="P45" s="22"/>
      <c r="Q45" s="22"/>
      <c r="S45" s="22"/>
      <c r="T45" s="22"/>
      <c r="U45" s="22"/>
      <c r="W45" s="22"/>
      <c r="X45" s="22"/>
      <c r="Y45" s="22"/>
      <c r="AA45" s="22"/>
      <c r="AB45" s="22"/>
      <c r="AC45" s="22"/>
      <c r="AD45" s="22"/>
      <c r="AE45" s="22"/>
      <c r="AF45" s="22"/>
      <c r="AH45" s="24"/>
      <c r="AI45" s="24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6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</row>
    <row r="46" spans="1:153" s="23" customFormat="1" ht="14.25" customHeight="1" x14ac:dyDescent="0.2">
      <c r="A46" s="20"/>
      <c r="B46" s="21"/>
      <c r="C46" s="22"/>
      <c r="D46" s="22"/>
      <c r="E46" s="22"/>
      <c r="G46" s="22"/>
      <c r="H46" s="22"/>
      <c r="I46" s="22"/>
      <c r="K46" s="22"/>
      <c r="L46" s="22"/>
      <c r="M46" s="22"/>
      <c r="O46" s="22"/>
      <c r="P46" s="22"/>
      <c r="Q46" s="22"/>
      <c r="S46" s="22"/>
      <c r="T46" s="22"/>
      <c r="U46" s="22"/>
      <c r="W46" s="22"/>
      <c r="X46" s="22"/>
      <c r="Y46" s="22"/>
      <c r="AA46" s="22"/>
      <c r="AB46" s="22"/>
      <c r="AC46" s="22"/>
      <c r="AD46" s="22"/>
      <c r="AE46" s="22"/>
      <c r="AF46" s="22"/>
      <c r="AH46" s="24"/>
      <c r="AI46" s="24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6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</row>
    <row r="47" spans="1:153" s="23" customFormat="1" ht="14.25" customHeight="1" x14ac:dyDescent="0.2">
      <c r="A47" s="20"/>
      <c r="B47" s="21"/>
      <c r="C47" s="22"/>
      <c r="D47" s="22"/>
      <c r="E47" s="22"/>
      <c r="G47" s="22"/>
      <c r="H47" s="22"/>
      <c r="I47" s="22"/>
      <c r="K47" s="22"/>
      <c r="L47" s="22"/>
      <c r="M47" s="22"/>
      <c r="O47" s="22"/>
      <c r="P47" s="22"/>
      <c r="Q47" s="22"/>
      <c r="S47" s="22"/>
      <c r="T47" s="22"/>
      <c r="U47" s="22"/>
      <c r="W47" s="22"/>
      <c r="X47" s="22"/>
      <c r="Y47" s="22"/>
      <c r="AA47" s="22"/>
      <c r="AB47" s="22"/>
      <c r="AC47" s="22"/>
      <c r="AD47" s="22"/>
      <c r="AE47" s="22"/>
      <c r="AF47" s="22"/>
      <c r="AH47" s="24"/>
      <c r="AI47" s="24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6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</row>
    <row r="48" spans="1:153" s="23" customFormat="1" ht="14.25" customHeight="1" x14ac:dyDescent="0.2">
      <c r="A48" s="20"/>
      <c r="B48" s="21"/>
      <c r="C48" s="22"/>
      <c r="D48" s="22"/>
      <c r="E48" s="22"/>
      <c r="G48" s="22"/>
      <c r="H48" s="22"/>
      <c r="I48" s="22"/>
      <c r="K48" s="22"/>
      <c r="L48" s="22"/>
      <c r="M48" s="22"/>
      <c r="O48" s="22"/>
      <c r="P48" s="22"/>
      <c r="Q48" s="22"/>
      <c r="S48" s="22"/>
      <c r="T48" s="22"/>
      <c r="U48" s="22"/>
      <c r="W48" s="22"/>
      <c r="X48" s="22"/>
      <c r="Y48" s="22"/>
      <c r="AA48" s="22"/>
      <c r="AB48" s="22"/>
      <c r="AC48" s="22"/>
      <c r="AD48" s="22"/>
      <c r="AE48" s="22"/>
      <c r="AF48" s="22"/>
      <c r="AH48" s="24"/>
      <c r="AI48" s="24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6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</row>
    <row r="49" spans="1:153" s="23" customFormat="1" ht="14.25" customHeight="1" x14ac:dyDescent="0.2">
      <c r="A49" s="20"/>
      <c r="B49" s="21"/>
      <c r="C49" s="22"/>
      <c r="D49" s="22"/>
      <c r="E49" s="22"/>
      <c r="G49" s="22"/>
      <c r="H49" s="22"/>
      <c r="I49" s="22"/>
      <c r="K49" s="22"/>
      <c r="L49" s="22"/>
      <c r="M49" s="22"/>
      <c r="O49" s="22"/>
      <c r="P49" s="22"/>
      <c r="Q49" s="22"/>
      <c r="S49" s="22"/>
      <c r="T49" s="22"/>
      <c r="U49" s="22"/>
      <c r="W49" s="22"/>
      <c r="X49" s="22"/>
      <c r="Y49" s="22"/>
      <c r="AA49" s="22"/>
      <c r="AB49" s="22"/>
      <c r="AC49" s="22"/>
      <c r="AD49" s="22"/>
      <c r="AE49" s="22"/>
      <c r="AF49" s="22"/>
      <c r="AH49" s="24"/>
      <c r="AI49" s="24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6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</row>
    <row r="50" spans="1:153" s="23" customFormat="1" ht="14.25" customHeight="1" x14ac:dyDescent="0.2">
      <c r="A50" s="20"/>
      <c r="B50" s="21"/>
      <c r="C50" s="22"/>
      <c r="D50" s="22"/>
      <c r="E50" s="22"/>
      <c r="G50" s="22"/>
      <c r="H50" s="22"/>
      <c r="I50" s="22"/>
      <c r="K50" s="22"/>
      <c r="L50" s="22"/>
      <c r="M50" s="22"/>
      <c r="O50" s="22"/>
      <c r="P50" s="22"/>
      <c r="Q50" s="22"/>
      <c r="S50" s="22"/>
      <c r="T50" s="22"/>
      <c r="U50" s="22"/>
      <c r="W50" s="22"/>
      <c r="X50" s="22"/>
      <c r="Y50" s="22"/>
      <c r="AA50" s="22"/>
      <c r="AB50" s="22"/>
      <c r="AC50" s="22"/>
      <c r="AD50" s="22"/>
      <c r="AE50" s="22"/>
      <c r="AF50" s="22"/>
      <c r="AH50" s="24"/>
      <c r="AI50" s="24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6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</row>
    <row r="51" spans="1:153" s="23" customFormat="1" ht="14.25" customHeight="1" x14ac:dyDescent="0.2">
      <c r="A51" s="20"/>
      <c r="B51" s="21"/>
      <c r="C51" s="22"/>
      <c r="D51" s="22"/>
      <c r="E51" s="22"/>
      <c r="G51" s="22"/>
      <c r="H51" s="22"/>
      <c r="I51" s="22"/>
      <c r="K51" s="22"/>
      <c r="L51" s="22"/>
      <c r="M51" s="22"/>
      <c r="O51" s="22"/>
      <c r="P51" s="22"/>
      <c r="Q51" s="22"/>
      <c r="S51" s="22"/>
      <c r="T51" s="22"/>
      <c r="U51" s="22"/>
      <c r="W51" s="22"/>
      <c r="X51" s="22"/>
      <c r="Y51" s="22"/>
      <c r="AA51" s="22"/>
      <c r="AB51" s="22"/>
      <c r="AC51" s="22"/>
      <c r="AD51" s="22"/>
      <c r="AE51" s="22"/>
      <c r="AF51" s="22"/>
      <c r="AH51" s="24"/>
      <c r="AI51" s="24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6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</row>
    <row r="52" spans="1:153" s="23" customFormat="1" ht="14.25" customHeight="1" x14ac:dyDescent="0.2">
      <c r="A52" s="20"/>
      <c r="B52" s="21"/>
      <c r="C52" s="22"/>
      <c r="D52" s="22"/>
      <c r="E52" s="22"/>
      <c r="G52" s="22"/>
      <c r="H52" s="22"/>
      <c r="I52" s="22"/>
      <c r="K52" s="22"/>
      <c r="L52" s="22"/>
      <c r="M52" s="22"/>
      <c r="O52" s="22"/>
      <c r="P52" s="22"/>
      <c r="Q52" s="22"/>
      <c r="S52" s="22"/>
      <c r="T52" s="22"/>
      <c r="U52" s="22"/>
      <c r="W52" s="22"/>
      <c r="X52" s="22"/>
      <c r="Y52" s="22"/>
      <c r="AA52" s="22"/>
      <c r="AB52" s="22"/>
      <c r="AC52" s="22"/>
      <c r="AD52" s="22"/>
      <c r="AE52" s="22"/>
      <c r="AF52" s="22"/>
      <c r="AH52" s="24"/>
      <c r="AI52" s="24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6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</row>
    <row r="53" spans="1:153" s="23" customFormat="1" ht="14.25" customHeight="1" x14ac:dyDescent="0.2">
      <c r="A53" s="20"/>
      <c r="B53" s="21"/>
      <c r="C53" s="22"/>
      <c r="D53" s="22"/>
      <c r="E53" s="22"/>
      <c r="G53" s="22"/>
      <c r="H53" s="22"/>
      <c r="I53" s="22"/>
      <c r="K53" s="22"/>
      <c r="L53" s="22"/>
      <c r="M53" s="22"/>
      <c r="O53" s="22"/>
      <c r="P53" s="22"/>
      <c r="Q53" s="22"/>
      <c r="S53" s="22"/>
      <c r="T53" s="22"/>
      <c r="U53" s="22"/>
      <c r="W53" s="22"/>
      <c r="X53" s="22"/>
      <c r="Y53" s="22"/>
      <c r="AA53" s="22"/>
      <c r="AB53" s="22"/>
      <c r="AC53" s="22"/>
      <c r="AD53" s="22"/>
      <c r="AE53" s="22"/>
      <c r="AF53" s="22"/>
      <c r="AH53" s="24"/>
      <c r="AI53" s="24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6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</row>
    <row r="54" spans="1:153" s="23" customFormat="1" ht="14.25" customHeight="1" x14ac:dyDescent="0.2">
      <c r="A54" s="20"/>
      <c r="B54" s="21"/>
      <c r="C54" s="22"/>
      <c r="D54" s="22"/>
      <c r="E54" s="22"/>
      <c r="G54" s="22"/>
      <c r="H54" s="22"/>
      <c r="I54" s="22"/>
      <c r="K54" s="22"/>
      <c r="L54" s="22"/>
      <c r="M54" s="22"/>
      <c r="O54" s="22"/>
      <c r="P54" s="22"/>
      <c r="Q54" s="22"/>
      <c r="S54" s="22"/>
      <c r="T54" s="22"/>
      <c r="U54" s="22"/>
      <c r="W54" s="22"/>
      <c r="X54" s="22"/>
      <c r="Y54" s="22"/>
      <c r="AA54" s="22"/>
      <c r="AB54" s="22"/>
      <c r="AC54" s="22"/>
      <c r="AD54" s="22"/>
      <c r="AE54" s="22"/>
      <c r="AF54" s="22"/>
      <c r="AH54" s="24"/>
      <c r="AI54" s="24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6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</row>
    <row r="55" spans="1:153" s="23" customFormat="1" ht="14.25" customHeight="1" x14ac:dyDescent="0.2">
      <c r="A55" s="20"/>
      <c r="B55" s="21"/>
      <c r="C55" s="22"/>
      <c r="D55" s="22"/>
      <c r="E55" s="22"/>
      <c r="G55" s="22"/>
      <c r="H55" s="22"/>
      <c r="I55" s="22"/>
      <c r="K55" s="22"/>
      <c r="L55" s="22"/>
      <c r="M55" s="22"/>
      <c r="O55" s="22"/>
      <c r="P55" s="22"/>
      <c r="Q55" s="22"/>
      <c r="S55" s="22"/>
      <c r="T55" s="22"/>
      <c r="U55" s="22"/>
      <c r="W55" s="22"/>
      <c r="X55" s="22"/>
      <c r="Y55" s="22"/>
      <c r="AA55" s="22"/>
      <c r="AB55" s="22"/>
      <c r="AC55" s="22"/>
      <c r="AD55" s="22"/>
      <c r="AE55" s="22"/>
      <c r="AF55" s="22"/>
      <c r="AH55" s="24"/>
      <c r="AI55" s="24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6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</row>
    <row r="56" spans="1:153" s="23" customFormat="1" ht="14.25" customHeight="1" x14ac:dyDescent="0.2">
      <c r="A56" s="20"/>
      <c r="B56" s="21"/>
      <c r="C56" s="22"/>
      <c r="D56" s="22"/>
      <c r="E56" s="22"/>
      <c r="G56" s="22"/>
      <c r="H56" s="22"/>
      <c r="I56" s="22"/>
      <c r="K56" s="22"/>
      <c r="L56" s="22"/>
      <c r="M56" s="22"/>
      <c r="O56" s="22"/>
      <c r="P56" s="22"/>
      <c r="Q56" s="22"/>
      <c r="S56" s="22"/>
      <c r="T56" s="22"/>
      <c r="U56" s="22"/>
      <c r="W56" s="22"/>
      <c r="X56" s="22"/>
      <c r="Y56" s="22"/>
      <c r="AA56" s="22"/>
      <c r="AB56" s="22"/>
      <c r="AC56" s="22"/>
      <c r="AD56" s="22"/>
      <c r="AE56" s="22"/>
      <c r="AF56" s="22"/>
      <c r="AH56" s="24"/>
      <c r="AI56" s="24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6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</row>
    <row r="57" spans="1:153" s="23" customFormat="1" ht="14.25" customHeight="1" x14ac:dyDescent="0.2">
      <c r="A57" s="20"/>
      <c r="B57" s="21"/>
      <c r="C57" s="22"/>
      <c r="D57" s="22"/>
      <c r="E57" s="22"/>
      <c r="G57" s="22"/>
      <c r="H57" s="22"/>
      <c r="I57" s="22"/>
      <c r="K57" s="22"/>
      <c r="L57" s="22"/>
      <c r="M57" s="22"/>
      <c r="O57" s="22"/>
      <c r="P57" s="22"/>
      <c r="Q57" s="22"/>
      <c r="S57" s="22"/>
      <c r="T57" s="22"/>
      <c r="U57" s="22"/>
      <c r="W57" s="22"/>
      <c r="X57" s="22"/>
      <c r="Y57" s="22"/>
      <c r="AA57" s="22"/>
      <c r="AB57" s="22"/>
      <c r="AC57" s="22"/>
      <c r="AD57" s="22"/>
      <c r="AE57" s="22"/>
      <c r="AF57" s="22"/>
      <c r="AH57" s="24"/>
      <c r="AI57" s="24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6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</row>
    <row r="58" spans="1:153" s="23" customFormat="1" ht="14.25" customHeight="1" x14ac:dyDescent="0.2">
      <c r="A58" s="20"/>
      <c r="B58" s="21"/>
      <c r="C58" s="22"/>
      <c r="D58" s="22"/>
      <c r="E58" s="22"/>
      <c r="G58" s="22"/>
      <c r="H58" s="22"/>
      <c r="I58" s="22"/>
      <c r="K58" s="22"/>
      <c r="L58" s="22"/>
      <c r="M58" s="22"/>
      <c r="O58" s="22"/>
      <c r="P58" s="22"/>
      <c r="Q58" s="22"/>
      <c r="S58" s="22"/>
      <c r="T58" s="22"/>
      <c r="U58" s="22"/>
      <c r="W58" s="22"/>
      <c r="X58" s="22"/>
      <c r="Y58" s="22"/>
      <c r="AA58" s="22"/>
      <c r="AB58" s="22"/>
      <c r="AC58" s="22"/>
      <c r="AD58" s="22"/>
      <c r="AE58" s="22"/>
      <c r="AF58" s="22"/>
      <c r="AH58" s="24"/>
      <c r="AI58" s="24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6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</row>
    <row r="59" spans="1:153" s="23" customFormat="1" ht="14.25" customHeight="1" x14ac:dyDescent="0.2">
      <c r="A59" s="20"/>
      <c r="B59" s="21"/>
      <c r="C59" s="22"/>
      <c r="D59" s="22"/>
      <c r="E59" s="22"/>
      <c r="G59" s="22"/>
      <c r="H59" s="22"/>
      <c r="I59" s="22"/>
      <c r="K59" s="22"/>
      <c r="L59" s="22"/>
      <c r="M59" s="22"/>
      <c r="O59" s="22"/>
      <c r="P59" s="22"/>
      <c r="Q59" s="22"/>
      <c r="S59" s="22"/>
      <c r="T59" s="22"/>
      <c r="U59" s="22"/>
      <c r="W59" s="22"/>
      <c r="X59" s="22"/>
      <c r="Y59" s="22"/>
      <c r="AA59" s="22"/>
      <c r="AB59" s="22"/>
      <c r="AC59" s="22"/>
      <c r="AD59" s="22"/>
      <c r="AE59" s="22"/>
      <c r="AF59" s="22"/>
      <c r="AH59" s="24"/>
      <c r="AI59" s="24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6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</row>
    <row r="60" spans="1:153" s="23" customFormat="1" ht="14.25" customHeight="1" x14ac:dyDescent="0.2">
      <c r="A60" s="20"/>
      <c r="B60" s="21"/>
      <c r="C60" s="22"/>
      <c r="D60" s="22"/>
      <c r="E60" s="22"/>
      <c r="G60" s="22"/>
      <c r="H60" s="22"/>
      <c r="I60" s="22"/>
      <c r="K60" s="22"/>
      <c r="L60" s="22"/>
      <c r="M60" s="22"/>
      <c r="O60" s="22"/>
      <c r="P60" s="22"/>
      <c r="Q60" s="22"/>
      <c r="S60" s="22"/>
      <c r="T60" s="22"/>
      <c r="U60" s="22"/>
      <c r="W60" s="22"/>
      <c r="X60" s="22"/>
      <c r="Y60" s="22"/>
      <c r="AA60" s="22"/>
      <c r="AB60" s="22"/>
      <c r="AC60" s="22"/>
      <c r="AD60" s="22"/>
      <c r="AE60" s="22"/>
      <c r="AF60" s="22"/>
      <c r="AH60" s="24"/>
      <c r="AI60" s="24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6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</row>
    <row r="61" spans="1:153" s="23" customFormat="1" ht="14.25" customHeight="1" x14ac:dyDescent="0.2">
      <c r="A61" s="20"/>
      <c r="B61" s="21"/>
      <c r="C61" s="22"/>
      <c r="D61" s="22"/>
      <c r="E61" s="22"/>
      <c r="G61" s="22"/>
      <c r="H61" s="22"/>
      <c r="I61" s="22"/>
      <c r="K61" s="22"/>
      <c r="L61" s="22"/>
      <c r="M61" s="22"/>
      <c r="O61" s="22"/>
      <c r="P61" s="22"/>
      <c r="Q61" s="22"/>
      <c r="S61" s="22"/>
      <c r="T61" s="22"/>
      <c r="U61" s="22"/>
      <c r="W61" s="22"/>
      <c r="X61" s="22"/>
      <c r="Y61" s="22"/>
      <c r="AA61" s="22"/>
      <c r="AB61" s="22"/>
      <c r="AC61" s="22"/>
      <c r="AD61" s="22"/>
      <c r="AE61" s="22"/>
      <c r="AF61" s="22"/>
      <c r="AH61" s="24"/>
      <c r="AI61" s="24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6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</row>
    <row r="62" spans="1:153" s="23" customFormat="1" ht="14.25" customHeight="1" x14ac:dyDescent="0.2">
      <c r="A62" s="20"/>
      <c r="B62" s="21"/>
      <c r="C62" s="22"/>
      <c r="D62" s="22"/>
      <c r="E62" s="22"/>
      <c r="G62" s="22"/>
      <c r="H62" s="22"/>
      <c r="I62" s="22"/>
      <c r="K62" s="22"/>
      <c r="L62" s="22"/>
      <c r="M62" s="22"/>
      <c r="O62" s="22"/>
      <c r="P62" s="22"/>
      <c r="Q62" s="22"/>
      <c r="S62" s="22"/>
      <c r="T62" s="22"/>
      <c r="U62" s="22"/>
      <c r="W62" s="22"/>
      <c r="X62" s="22"/>
      <c r="Y62" s="22"/>
      <c r="AA62" s="22"/>
      <c r="AB62" s="22"/>
      <c r="AC62" s="22"/>
      <c r="AD62" s="22"/>
      <c r="AE62" s="22"/>
      <c r="AF62" s="22"/>
      <c r="AH62" s="24"/>
      <c r="AI62" s="24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6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</row>
    <row r="63" spans="1:153" s="23" customFormat="1" ht="14.25" customHeight="1" x14ac:dyDescent="0.2">
      <c r="A63" s="20"/>
      <c r="B63" s="21"/>
      <c r="C63" s="22"/>
      <c r="D63" s="22"/>
      <c r="E63" s="22"/>
      <c r="G63" s="22"/>
      <c r="H63" s="22"/>
      <c r="I63" s="22"/>
      <c r="K63" s="22"/>
      <c r="L63" s="22"/>
      <c r="M63" s="22"/>
      <c r="O63" s="22"/>
      <c r="P63" s="22"/>
      <c r="Q63" s="22"/>
      <c r="S63" s="22"/>
      <c r="T63" s="22"/>
      <c r="U63" s="22"/>
      <c r="W63" s="22"/>
      <c r="X63" s="22"/>
      <c r="Y63" s="22"/>
      <c r="AA63" s="22"/>
      <c r="AB63" s="22"/>
      <c r="AC63" s="22"/>
      <c r="AD63" s="22"/>
      <c r="AE63" s="22"/>
      <c r="AF63" s="22"/>
      <c r="AH63" s="24"/>
      <c r="AI63" s="24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6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</row>
    <row r="64" spans="1:153" s="23" customFormat="1" ht="14.25" customHeight="1" x14ac:dyDescent="0.2">
      <c r="A64" s="20"/>
      <c r="B64" s="21"/>
      <c r="C64" s="22"/>
      <c r="D64" s="22"/>
      <c r="E64" s="22"/>
      <c r="G64" s="22"/>
      <c r="H64" s="22"/>
      <c r="I64" s="22"/>
      <c r="K64" s="22"/>
      <c r="L64" s="22"/>
      <c r="M64" s="22"/>
      <c r="O64" s="22"/>
      <c r="P64" s="22"/>
      <c r="Q64" s="22"/>
      <c r="S64" s="22"/>
      <c r="T64" s="22"/>
      <c r="U64" s="22"/>
      <c r="W64" s="22"/>
      <c r="X64" s="22"/>
      <c r="Y64" s="22"/>
      <c r="AA64" s="22"/>
      <c r="AB64" s="22"/>
      <c r="AC64" s="22"/>
      <c r="AD64" s="22"/>
      <c r="AE64" s="22"/>
      <c r="AF64" s="22"/>
      <c r="AH64" s="24"/>
      <c r="AI64" s="24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6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</row>
    <row r="65" spans="1:153" s="23" customFormat="1" ht="14.25" customHeight="1" x14ac:dyDescent="0.2">
      <c r="A65" s="20"/>
      <c r="B65" s="21"/>
      <c r="C65" s="22"/>
      <c r="D65" s="22"/>
      <c r="E65" s="22"/>
      <c r="G65" s="22"/>
      <c r="H65" s="22"/>
      <c r="I65" s="22"/>
      <c r="K65" s="22"/>
      <c r="L65" s="22"/>
      <c r="M65" s="22"/>
      <c r="O65" s="22"/>
      <c r="P65" s="22"/>
      <c r="Q65" s="22"/>
      <c r="S65" s="22"/>
      <c r="T65" s="22"/>
      <c r="U65" s="22"/>
      <c r="W65" s="22"/>
      <c r="X65" s="22"/>
      <c r="Y65" s="22"/>
      <c r="AA65" s="22"/>
      <c r="AB65" s="22"/>
      <c r="AC65" s="22"/>
      <c r="AD65" s="22"/>
      <c r="AE65" s="22"/>
      <c r="AF65" s="22"/>
      <c r="AH65" s="24"/>
      <c r="AI65" s="24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6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</row>
    <row r="66" spans="1:153" s="23" customFormat="1" ht="14.25" customHeight="1" x14ac:dyDescent="0.2">
      <c r="A66" s="20"/>
      <c r="B66" s="21"/>
      <c r="C66" s="22"/>
      <c r="D66" s="22"/>
      <c r="E66" s="22"/>
      <c r="G66" s="22"/>
      <c r="H66" s="22"/>
      <c r="I66" s="22"/>
      <c r="K66" s="22"/>
      <c r="L66" s="22"/>
      <c r="M66" s="22"/>
      <c r="O66" s="22"/>
      <c r="P66" s="22"/>
      <c r="Q66" s="22"/>
      <c r="S66" s="22"/>
      <c r="T66" s="22"/>
      <c r="U66" s="22"/>
      <c r="W66" s="22"/>
      <c r="X66" s="22"/>
      <c r="Y66" s="22"/>
      <c r="AA66" s="22"/>
      <c r="AB66" s="22"/>
      <c r="AC66" s="22"/>
      <c r="AD66" s="22"/>
      <c r="AE66" s="22"/>
      <c r="AF66" s="22"/>
      <c r="AH66" s="24"/>
      <c r="AI66" s="24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6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</row>
    <row r="67" spans="1:153" s="23" customFormat="1" ht="14.25" customHeight="1" x14ac:dyDescent="0.2">
      <c r="A67" s="20"/>
      <c r="B67" s="21"/>
      <c r="C67" s="22"/>
      <c r="D67" s="22"/>
      <c r="E67" s="22"/>
      <c r="G67" s="22"/>
      <c r="H67" s="22"/>
      <c r="I67" s="22"/>
      <c r="K67" s="22"/>
      <c r="L67" s="22"/>
      <c r="M67" s="22"/>
      <c r="O67" s="22"/>
      <c r="P67" s="22"/>
      <c r="Q67" s="22"/>
      <c r="S67" s="22"/>
      <c r="T67" s="22"/>
      <c r="U67" s="22"/>
      <c r="W67" s="22"/>
      <c r="X67" s="22"/>
      <c r="Y67" s="22"/>
      <c r="AA67" s="22"/>
      <c r="AB67" s="22"/>
      <c r="AC67" s="22"/>
      <c r="AD67" s="22"/>
      <c r="AE67" s="22"/>
      <c r="AF67" s="22"/>
      <c r="AH67" s="24"/>
      <c r="AI67" s="24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6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</row>
    <row r="68" spans="1:153" s="23" customFormat="1" ht="14.25" customHeight="1" x14ac:dyDescent="0.2">
      <c r="A68" s="20"/>
      <c r="B68" s="21"/>
      <c r="C68" s="22"/>
      <c r="D68" s="22"/>
      <c r="E68" s="22"/>
      <c r="G68" s="22"/>
      <c r="H68" s="22"/>
      <c r="I68" s="22"/>
      <c r="K68" s="22"/>
      <c r="L68" s="22"/>
      <c r="M68" s="22"/>
      <c r="O68" s="22"/>
      <c r="P68" s="22"/>
      <c r="Q68" s="22"/>
      <c r="S68" s="22"/>
      <c r="T68" s="22"/>
      <c r="U68" s="22"/>
      <c r="W68" s="22"/>
      <c r="X68" s="22"/>
      <c r="Y68" s="22"/>
      <c r="AA68" s="22"/>
      <c r="AB68" s="22"/>
      <c r="AC68" s="22"/>
      <c r="AD68" s="22"/>
      <c r="AE68" s="22"/>
      <c r="AF68" s="22"/>
      <c r="AH68" s="24"/>
      <c r="AI68" s="24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6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</row>
    <row r="69" spans="1:153" s="23" customFormat="1" ht="14.25" customHeight="1" x14ac:dyDescent="0.2">
      <c r="A69" s="20"/>
      <c r="B69" s="21"/>
      <c r="C69" s="22"/>
      <c r="D69" s="22"/>
      <c r="E69" s="22"/>
      <c r="G69" s="22"/>
      <c r="H69" s="22"/>
      <c r="I69" s="22"/>
      <c r="K69" s="22"/>
      <c r="L69" s="22"/>
      <c r="M69" s="22"/>
      <c r="O69" s="22"/>
      <c r="P69" s="22"/>
      <c r="Q69" s="22"/>
      <c r="S69" s="22"/>
      <c r="T69" s="22"/>
      <c r="U69" s="22"/>
      <c r="W69" s="22"/>
      <c r="X69" s="22"/>
      <c r="Y69" s="22"/>
      <c r="AA69" s="22"/>
      <c r="AB69" s="22"/>
      <c r="AC69" s="22"/>
      <c r="AD69" s="22"/>
      <c r="AE69" s="22"/>
      <c r="AF69" s="22"/>
      <c r="AH69" s="24"/>
      <c r="AI69" s="24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6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</row>
    <row r="70" spans="1:153" s="23" customFormat="1" ht="14.25" customHeight="1" x14ac:dyDescent="0.2">
      <c r="A70" s="20"/>
      <c r="B70" s="21"/>
      <c r="C70" s="22"/>
      <c r="D70" s="22"/>
      <c r="E70" s="22"/>
      <c r="G70" s="22"/>
      <c r="H70" s="22"/>
      <c r="I70" s="22"/>
      <c r="K70" s="22"/>
      <c r="L70" s="22"/>
      <c r="M70" s="22"/>
      <c r="O70" s="22"/>
      <c r="P70" s="22"/>
      <c r="Q70" s="22"/>
      <c r="S70" s="22"/>
      <c r="T70" s="22"/>
      <c r="U70" s="22"/>
      <c r="W70" s="22"/>
      <c r="X70" s="22"/>
      <c r="Y70" s="22"/>
      <c r="AA70" s="22"/>
      <c r="AB70" s="22"/>
      <c r="AC70" s="22"/>
      <c r="AD70" s="22"/>
      <c r="AE70" s="22"/>
      <c r="AF70" s="22"/>
      <c r="AH70" s="24"/>
      <c r="AI70" s="24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6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</row>
    <row r="71" spans="1:153" s="23" customFormat="1" ht="14.25" customHeight="1" x14ac:dyDescent="0.2">
      <c r="A71" s="20"/>
      <c r="B71" s="21"/>
      <c r="C71" s="22"/>
      <c r="D71" s="22"/>
      <c r="E71" s="22"/>
      <c r="G71" s="22"/>
      <c r="H71" s="22"/>
      <c r="I71" s="22"/>
      <c r="K71" s="22"/>
      <c r="L71" s="22"/>
      <c r="M71" s="22"/>
      <c r="O71" s="22"/>
      <c r="P71" s="22"/>
      <c r="Q71" s="22"/>
      <c r="S71" s="22"/>
      <c r="T71" s="22"/>
      <c r="U71" s="22"/>
      <c r="W71" s="22"/>
      <c r="X71" s="22"/>
      <c r="Y71" s="22"/>
      <c r="AA71" s="22"/>
      <c r="AB71" s="22"/>
      <c r="AC71" s="22"/>
      <c r="AD71" s="22"/>
      <c r="AE71" s="22"/>
      <c r="AF71" s="22"/>
      <c r="AH71" s="24"/>
      <c r="AI71" s="24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6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</row>
    <row r="72" spans="1:153" s="23" customFormat="1" ht="14.25" customHeight="1" x14ac:dyDescent="0.2">
      <c r="A72" s="20"/>
      <c r="B72" s="21"/>
      <c r="C72" s="22"/>
      <c r="D72" s="22"/>
      <c r="E72" s="22"/>
      <c r="G72" s="22"/>
      <c r="H72" s="22"/>
      <c r="I72" s="22"/>
      <c r="K72" s="22"/>
      <c r="L72" s="22"/>
      <c r="M72" s="22"/>
      <c r="O72" s="22"/>
      <c r="P72" s="22"/>
      <c r="Q72" s="22"/>
      <c r="S72" s="22"/>
      <c r="T72" s="22"/>
      <c r="U72" s="22"/>
      <c r="W72" s="22"/>
      <c r="X72" s="22"/>
      <c r="Y72" s="22"/>
      <c r="AA72" s="22"/>
      <c r="AB72" s="22"/>
      <c r="AC72" s="22"/>
      <c r="AD72" s="22"/>
      <c r="AE72" s="22"/>
      <c r="AF72" s="22"/>
      <c r="AH72" s="24"/>
      <c r="AI72" s="24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6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</row>
    <row r="73" spans="1:153" s="23" customFormat="1" ht="14.25" customHeight="1" x14ac:dyDescent="0.2">
      <c r="A73" s="20"/>
      <c r="B73" s="21"/>
      <c r="C73" s="22"/>
      <c r="D73" s="22"/>
      <c r="E73" s="22"/>
      <c r="G73" s="22"/>
      <c r="H73" s="22"/>
      <c r="I73" s="22"/>
      <c r="K73" s="22"/>
      <c r="L73" s="22"/>
      <c r="M73" s="22"/>
      <c r="O73" s="22"/>
      <c r="P73" s="22"/>
      <c r="Q73" s="22"/>
      <c r="S73" s="22"/>
      <c r="T73" s="22"/>
      <c r="U73" s="22"/>
      <c r="W73" s="22"/>
      <c r="X73" s="22"/>
      <c r="Y73" s="22"/>
      <c r="AA73" s="22"/>
      <c r="AB73" s="22"/>
      <c r="AC73" s="22"/>
      <c r="AD73" s="22"/>
      <c r="AE73" s="22"/>
      <c r="AF73" s="22"/>
      <c r="AH73" s="24"/>
      <c r="AI73" s="24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6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</row>
    <row r="74" spans="1:153" s="23" customFormat="1" ht="14.25" customHeight="1" x14ac:dyDescent="0.2">
      <c r="A74" s="20"/>
      <c r="B74" s="21"/>
      <c r="C74" s="22"/>
      <c r="D74" s="22"/>
      <c r="E74" s="22"/>
      <c r="G74" s="22"/>
      <c r="H74" s="22"/>
      <c r="I74" s="22"/>
      <c r="K74" s="22"/>
      <c r="L74" s="22"/>
      <c r="M74" s="22"/>
      <c r="O74" s="22"/>
      <c r="P74" s="22"/>
      <c r="Q74" s="22"/>
      <c r="S74" s="22"/>
      <c r="T74" s="22"/>
      <c r="U74" s="22"/>
      <c r="W74" s="22"/>
      <c r="X74" s="22"/>
      <c r="Y74" s="22"/>
      <c r="AA74" s="22"/>
      <c r="AB74" s="22"/>
      <c r="AC74" s="22"/>
      <c r="AD74" s="22"/>
      <c r="AE74" s="22"/>
      <c r="AF74" s="22"/>
      <c r="AH74" s="24"/>
      <c r="AI74" s="24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6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</row>
    <row r="75" spans="1:153" s="23" customFormat="1" ht="14.25" customHeight="1" x14ac:dyDescent="0.2">
      <c r="A75" s="20"/>
      <c r="B75" s="21"/>
      <c r="C75" s="22"/>
      <c r="D75" s="22"/>
      <c r="E75" s="22"/>
      <c r="G75" s="22"/>
      <c r="H75" s="22"/>
      <c r="I75" s="22"/>
      <c r="K75" s="22"/>
      <c r="L75" s="22"/>
      <c r="M75" s="22"/>
      <c r="O75" s="22"/>
      <c r="P75" s="22"/>
      <c r="Q75" s="22"/>
      <c r="S75" s="22"/>
      <c r="T75" s="22"/>
      <c r="U75" s="22"/>
      <c r="W75" s="22"/>
      <c r="X75" s="22"/>
      <c r="Y75" s="22"/>
      <c r="AA75" s="22"/>
      <c r="AB75" s="22"/>
      <c r="AC75" s="22"/>
      <c r="AD75" s="22"/>
      <c r="AE75" s="22"/>
      <c r="AF75" s="22"/>
      <c r="AH75" s="24"/>
      <c r="AI75" s="24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6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</row>
    <row r="76" spans="1:153" s="23" customFormat="1" ht="14.25" customHeight="1" x14ac:dyDescent="0.2">
      <c r="A76" s="20"/>
      <c r="B76" s="21"/>
      <c r="C76" s="22"/>
      <c r="D76" s="22"/>
      <c r="E76" s="22"/>
      <c r="G76" s="22"/>
      <c r="H76" s="22"/>
      <c r="I76" s="22"/>
      <c r="K76" s="22"/>
      <c r="L76" s="22"/>
      <c r="M76" s="22"/>
      <c r="O76" s="22"/>
      <c r="P76" s="22"/>
      <c r="Q76" s="22"/>
      <c r="S76" s="22"/>
      <c r="T76" s="22"/>
      <c r="U76" s="22"/>
      <c r="W76" s="22"/>
      <c r="X76" s="22"/>
      <c r="Y76" s="22"/>
      <c r="AA76" s="22"/>
      <c r="AB76" s="22"/>
      <c r="AC76" s="22"/>
      <c r="AD76" s="22"/>
      <c r="AE76" s="22"/>
      <c r="AF76" s="22"/>
      <c r="AH76" s="24"/>
      <c r="AI76" s="24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6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</row>
    <row r="77" spans="1:153" s="23" customFormat="1" ht="14.25" customHeight="1" x14ac:dyDescent="0.2">
      <c r="A77" s="20"/>
      <c r="B77" s="21"/>
      <c r="C77" s="22"/>
      <c r="D77" s="22"/>
      <c r="E77" s="22"/>
      <c r="G77" s="22"/>
      <c r="H77" s="22"/>
      <c r="I77" s="22"/>
      <c r="K77" s="22"/>
      <c r="L77" s="22"/>
      <c r="M77" s="22"/>
      <c r="O77" s="22"/>
      <c r="P77" s="22"/>
      <c r="Q77" s="22"/>
      <c r="S77" s="22"/>
      <c r="T77" s="22"/>
      <c r="U77" s="22"/>
      <c r="W77" s="22"/>
      <c r="X77" s="22"/>
      <c r="Y77" s="22"/>
      <c r="AA77" s="22"/>
      <c r="AB77" s="22"/>
      <c r="AC77" s="22"/>
      <c r="AD77" s="22"/>
      <c r="AE77" s="22"/>
      <c r="AF77" s="22"/>
      <c r="AH77" s="24"/>
      <c r="AI77" s="24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</row>
    <row r="78" spans="1:153" s="23" customFormat="1" ht="14.25" customHeight="1" x14ac:dyDescent="0.2">
      <c r="A78" s="20"/>
      <c r="B78" s="21"/>
      <c r="C78" s="22"/>
      <c r="D78" s="22"/>
      <c r="E78" s="22"/>
      <c r="G78" s="22"/>
      <c r="H78" s="22"/>
      <c r="I78" s="22"/>
      <c r="K78" s="22"/>
      <c r="L78" s="22"/>
      <c r="M78" s="22"/>
      <c r="O78" s="22"/>
      <c r="P78" s="22"/>
      <c r="Q78" s="22"/>
      <c r="S78" s="22"/>
      <c r="T78" s="22"/>
      <c r="U78" s="22"/>
      <c r="W78" s="22"/>
      <c r="X78" s="22"/>
      <c r="Y78" s="22"/>
      <c r="AA78" s="22"/>
      <c r="AB78" s="22"/>
      <c r="AC78" s="22"/>
      <c r="AD78" s="22"/>
      <c r="AE78" s="22"/>
      <c r="AF78" s="22"/>
      <c r="AH78" s="24"/>
      <c r="AI78" s="24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6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</row>
    <row r="79" spans="1:153" s="23" customFormat="1" ht="14.25" customHeight="1" x14ac:dyDescent="0.2">
      <c r="A79" s="20"/>
      <c r="B79" s="21"/>
      <c r="C79" s="22"/>
      <c r="D79" s="22"/>
      <c r="E79" s="22"/>
      <c r="G79" s="22"/>
      <c r="H79" s="22"/>
      <c r="I79" s="22"/>
      <c r="K79" s="22"/>
      <c r="L79" s="22"/>
      <c r="M79" s="22"/>
      <c r="O79" s="22"/>
      <c r="P79" s="22"/>
      <c r="Q79" s="22"/>
      <c r="S79" s="22"/>
      <c r="T79" s="22"/>
      <c r="U79" s="22"/>
      <c r="W79" s="22"/>
      <c r="X79" s="22"/>
      <c r="Y79" s="22"/>
      <c r="AA79" s="22"/>
      <c r="AB79" s="22"/>
      <c r="AC79" s="22"/>
      <c r="AD79" s="22"/>
      <c r="AE79" s="22"/>
      <c r="AF79" s="22"/>
      <c r="AH79" s="24"/>
      <c r="AI79" s="24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</row>
    <row r="80" spans="1:153" s="23" customFormat="1" ht="14.25" customHeight="1" x14ac:dyDescent="0.2">
      <c r="A80" s="20"/>
      <c r="B80" s="21"/>
      <c r="C80" s="22"/>
      <c r="D80" s="22"/>
      <c r="E80" s="22"/>
      <c r="G80" s="22"/>
      <c r="H80" s="22"/>
      <c r="I80" s="22"/>
      <c r="K80" s="22"/>
      <c r="L80" s="22"/>
      <c r="M80" s="22"/>
      <c r="O80" s="22"/>
      <c r="P80" s="22"/>
      <c r="Q80" s="22"/>
      <c r="S80" s="22"/>
      <c r="T80" s="22"/>
      <c r="U80" s="22"/>
      <c r="W80" s="22"/>
      <c r="X80" s="22"/>
      <c r="Y80" s="22"/>
      <c r="AA80" s="22"/>
      <c r="AB80" s="22"/>
      <c r="AC80" s="22"/>
      <c r="AD80" s="22"/>
      <c r="AE80" s="22"/>
      <c r="AF80" s="22"/>
      <c r="AH80" s="24"/>
      <c r="AI80" s="24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6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</row>
    <row r="81" spans="1:153" s="23" customFormat="1" ht="14.25" customHeight="1" x14ac:dyDescent="0.2">
      <c r="A81" s="20"/>
      <c r="B81" s="21"/>
      <c r="C81" s="22"/>
      <c r="D81" s="22"/>
      <c r="E81" s="22"/>
      <c r="G81" s="22"/>
      <c r="H81" s="22"/>
      <c r="I81" s="22"/>
      <c r="K81" s="22"/>
      <c r="L81" s="22"/>
      <c r="M81" s="22"/>
      <c r="O81" s="22"/>
      <c r="P81" s="22"/>
      <c r="Q81" s="22"/>
      <c r="S81" s="22"/>
      <c r="T81" s="22"/>
      <c r="U81" s="22"/>
      <c r="W81" s="22"/>
      <c r="X81" s="22"/>
      <c r="Y81" s="22"/>
      <c r="AA81" s="22"/>
      <c r="AB81" s="22"/>
      <c r="AC81" s="22"/>
      <c r="AD81" s="22"/>
      <c r="AE81" s="22"/>
      <c r="AF81" s="22"/>
      <c r="AH81" s="24"/>
      <c r="AI81" s="24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6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</row>
    <row r="82" spans="1:153" s="23" customFormat="1" ht="14.25" customHeight="1" x14ac:dyDescent="0.2">
      <c r="A82" s="20"/>
      <c r="B82" s="21"/>
      <c r="C82" s="22"/>
      <c r="D82" s="22"/>
      <c r="E82" s="22"/>
      <c r="G82" s="22"/>
      <c r="H82" s="22"/>
      <c r="I82" s="22"/>
      <c r="K82" s="22"/>
      <c r="L82" s="22"/>
      <c r="M82" s="22"/>
      <c r="O82" s="22"/>
      <c r="P82" s="22"/>
      <c r="Q82" s="22"/>
      <c r="S82" s="22"/>
      <c r="T82" s="22"/>
      <c r="U82" s="22"/>
      <c r="W82" s="22"/>
      <c r="X82" s="22"/>
      <c r="Y82" s="22"/>
      <c r="AA82" s="22"/>
      <c r="AB82" s="22"/>
      <c r="AC82" s="22"/>
      <c r="AD82" s="22"/>
      <c r="AE82" s="22"/>
      <c r="AF82" s="22"/>
      <c r="AH82" s="24"/>
      <c r="AI82" s="24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6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</row>
    <row r="83" spans="1:153" s="23" customFormat="1" ht="14.25" customHeight="1" x14ac:dyDescent="0.2">
      <c r="A83" s="20"/>
      <c r="B83" s="21"/>
      <c r="C83" s="22"/>
      <c r="D83" s="22"/>
      <c r="E83" s="22"/>
      <c r="G83" s="22"/>
      <c r="H83" s="22"/>
      <c r="I83" s="22"/>
      <c r="K83" s="22"/>
      <c r="L83" s="22"/>
      <c r="M83" s="22"/>
      <c r="O83" s="22"/>
      <c r="P83" s="22"/>
      <c r="Q83" s="22"/>
      <c r="S83" s="22"/>
      <c r="T83" s="22"/>
      <c r="U83" s="22"/>
      <c r="W83" s="22"/>
      <c r="X83" s="22"/>
      <c r="Y83" s="22"/>
      <c r="AA83" s="22"/>
      <c r="AB83" s="22"/>
      <c r="AC83" s="22"/>
      <c r="AD83" s="22"/>
      <c r="AE83" s="22"/>
      <c r="AF83" s="22"/>
      <c r="AH83" s="24"/>
      <c r="AI83" s="24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6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</row>
    <row r="84" spans="1:153" s="23" customFormat="1" ht="14.25" customHeight="1" x14ac:dyDescent="0.2">
      <c r="A84" s="20"/>
      <c r="B84" s="21"/>
      <c r="C84" s="22"/>
      <c r="D84" s="22"/>
      <c r="E84" s="22"/>
      <c r="G84" s="22"/>
      <c r="H84" s="22"/>
      <c r="I84" s="22"/>
      <c r="K84" s="22"/>
      <c r="L84" s="22"/>
      <c r="M84" s="22"/>
      <c r="O84" s="22"/>
      <c r="P84" s="22"/>
      <c r="Q84" s="22"/>
      <c r="S84" s="22"/>
      <c r="T84" s="22"/>
      <c r="U84" s="22"/>
      <c r="W84" s="22"/>
      <c r="X84" s="22"/>
      <c r="Y84" s="22"/>
      <c r="AA84" s="22"/>
      <c r="AB84" s="22"/>
      <c r="AC84" s="22"/>
      <c r="AD84" s="22"/>
      <c r="AE84" s="22"/>
      <c r="AF84" s="22"/>
      <c r="AH84" s="24"/>
      <c r="AI84" s="24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6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</row>
    <row r="85" spans="1:153" s="23" customFormat="1" ht="14.25" customHeight="1" x14ac:dyDescent="0.2">
      <c r="A85" s="20"/>
      <c r="B85" s="21"/>
      <c r="C85" s="22"/>
      <c r="D85" s="22"/>
      <c r="E85" s="22"/>
      <c r="G85" s="22"/>
      <c r="H85" s="22"/>
      <c r="I85" s="22"/>
      <c r="K85" s="22"/>
      <c r="L85" s="22"/>
      <c r="M85" s="22"/>
      <c r="O85" s="22"/>
      <c r="P85" s="22"/>
      <c r="Q85" s="22"/>
      <c r="S85" s="22"/>
      <c r="T85" s="22"/>
      <c r="U85" s="22"/>
      <c r="W85" s="22"/>
      <c r="X85" s="22"/>
      <c r="Y85" s="22"/>
      <c r="AA85" s="22"/>
      <c r="AB85" s="22"/>
      <c r="AC85" s="22"/>
      <c r="AD85" s="22"/>
      <c r="AE85" s="22"/>
      <c r="AF85" s="22"/>
      <c r="AH85" s="24"/>
      <c r="AI85" s="24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6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</row>
    <row r="86" spans="1:153" s="23" customFormat="1" ht="14.25" customHeight="1" x14ac:dyDescent="0.2">
      <c r="A86" s="20"/>
      <c r="B86" s="21"/>
      <c r="C86" s="22"/>
      <c r="D86" s="22"/>
      <c r="E86" s="22"/>
      <c r="G86" s="22"/>
      <c r="H86" s="22"/>
      <c r="I86" s="22"/>
      <c r="K86" s="22"/>
      <c r="L86" s="22"/>
      <c r="M86" s="22"/>
      <c r="O86" s="22"/>
      <c r="P86" s="22"/>
      <c r="Q86" s="22"/>
      <c r="S86" s="22"/>
      <c r="T86" s="22"/>
      <c r="U86" s="22"/>
      <c r="W86" s="22"/>
      <c r="X86" s="22"/>
      <c r="Y86" s="22"/>
      <c r="AA86" s="22"/>
      <c r="AB86" s="22"/>
      <c r="AC86" s="22"/>
      <c r="AD86" s="22"/>
      <c r="AE86" s="22"/>
      <c r="AF86" s="22"/>
      <c r="AH86" s="24"/>
      <c r="AI86" s="24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6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</row>
    <row r="87" spans="1:153" s="23" customFormat="1" ht="14.25" customHeight="1" x14ac:dyDescent="0.2">
      <c r="A87" s="20"/>
      <c r="B87" s="21"/>
      <c r="C87" s="22"/>
      <c r="D87" s="22"/>
      <c r="E87" s="22"/>
      <c r="G87" s="22"/>
      <c r="H87" s="22"/>
      <c r="I87" s="22"/>
      <c r="K87" s="22"/>
      <c r="L87" s="22"/>
      <c r="M87" s="22"/>
      <c r="O87" s="22"/>
      <c r="P87" s="22"/>
      <c r="Q87" s="22"/>
      <c r="S87" s="22"/>
      <c r="T87" s="22"/>
      <c r="U87" s="22"/>
      <c r="W87" s="22"/>
      <c r="X87" s="22"/>
      <c r="Y87" s="22"/>
      <c r="AA87" s="22"/>
      <c r="AB87" s="22"/>
      <c r="AC87" s="22"/>
      <c r="AD87" s="22"/>
      <c r="AE87" s="22"/>
      <c r="AF87" s="22"/>
      <c r="AH87" s="24"/>
      <c r="AI87" s="24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6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</row>
    <row r="88" spans="1:153" s="23" customFormat="1" ht="14.25" customHeight="1" x14ac:dyDescent="0.2">
      <c r="A88" s="20"/>
      <c r="B88" s="21"/>
      <c r="C88" s="22"/>
      <c r="D88" s="22"/>
      <c r="E88" s="22"/>
      <c r="G88" s="22"/>
      <c r="H88" s="22"/>
      <c r="I88" s="22"/>
      <c r="K88" s="22"/>
      <c r="L88" s="22"/>
      <c r="M88" s="22"/>
      <c r="O88" s="22"/>
      <c r="P88" s="22"/>
      <c r="Q88" s="22"/>
      <c r="S88" s="22"/>
      <c r="T88" s="22"/>
      <c r="U88" s="22"/>
      <c r="W88" s="22"/>
      <c r="X88" s="22"/>
      <c r="Y88" s="22"/>
      <c r="AA88" s="22"/>
      <c r="AB88" s="22"/>
      <c r="AC88" s="22"/>
      <c r="AD88" s="22"/>
      <c r="AE88" s="22"/>
      <c r="AF88" s="22"/>
      <c r="AH88" s="24"/>
      <c r="AI88" s="24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6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</row>
    <row r="89" spans="1:153" s="23" customFormat="1" ht="14.25" customHeight="1" x14ac:dyDescent="0.2">
      <c r="A89" s="20"/>
      <c r="B89" s="21"/>
      <c r="C89" s="22"/>
      <c r="D89" s="22"/>
      <c r="E89" s="22"/>
      <c r="G89" s="22"/>
      <c r="H89" s="22"/>
      <c r="I89" s="22"/>
      <c r="K89" s="22"/>
      <c r="L89" s="22"/>
      <c r="M89" s="22"/>
      <c r="O89" s="22"/>
      <c r="P89" s="22"/>
      <c r="Q89" s="22"/>
      <c r="S89" s="22"/>
      <c r="T89" s="22"/>
      <c r="U89" s="22"/>
      <c r="W89" s="22"/>
      <c r="X89" s="22"/>
      <c r="Y89" s="22"/>
      <c r="AA89" s="22"/>
      <c r="AB89" s="22"/>
      <c r="AC89" s="22"/>
      <c r="AD89" s="22"/>
      <c r="AE89" s="22"/>
      <c r="AF89" s="22"/>
      <c r="AH89" s="24"/>
      <c r="AI89" s="24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6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</row>
    <row r="90" spans="1:153" s="23" customFormat="1" ht="14.25" customHeight="1" x14ac:dyDescent="0.2">
      <c r="A90" s="20"/>
      <c r="B90" s="21"/>
      <c r="C90" s="22"/>
      <c r="D90" s="22"/>
      <c r="E90" s="22"/>
      <c r="G90" s="22"/>
      <c r="H90" s="22"/>
      <c r="I90" s="22"/>
      <c r="K90" s="22"/>
      <c r="L90" s="22"/>
      <c r="M90" s="22"/>
      <c r="O90" s="22"/>
      <c r="P90" s="22"/>
      <c r="Q90" s="22"/>
      <c r="S90" s="22"/>
      <c r="T90" s="22"/>
      <c r="U90" s="22"/>
      <c r="W90" s="22"/>
      <c r="X90" s="22"/>
      <c r="Y90" s="22"/>
      <c r="AA90" s="22"/>
      <c r="AB90" s="22"/>
      <c r="AC90" s="22"/>
      <c r="AD90" s="22"/>
      <c r="AE90" s="22"/>
      <c r="AF90" s="22"/>
      <c r="AH90" s="24"/>
      <c r="AI90" s="24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6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</row>
    <row r="91" spans="1:153" s="23" customFormat="1" ht="14.25" customHeight="1" x14ac:dyDescent="0.2">
      <c r="A91" s="20"/>
      <c r="B91" s="21"/>
      <c r="C91" s="22"/>
      <c r="D91" s="22"/>
      <c r="E91" s="22"/>
      <c r="G91" s="22"/>
      <c r="H91" s="22"/>
      <c r="I91" s="22"/>
      <c r="K91" s="22"/>
      <c r="L91" s="22"/>
      <c r="M91" s="22"/>
      <c r="O91" s="22"/>
      <c r="P91" s="22"/>
      <c r="Q91" s="22"/>
      <c r="S91" s="22"/>
      <c r="T91" s="22"/>
      <c r="U91" s="22"/>
      <c r="W91" s="22"/>
      <c r="X91" s="22"/>
      <c r="Y91" s="22"/>
      <c r="AA91" s="22"/>
      <c r="AB91" s="22"/>
      <c r="AC91" s="22"/>
      <c r="AD91" s="22"/>
      <c r="AE91" s="22"/>
      <c r="AF91" s="22"/>
      <c r="AH91" s="24"/>
      <c r="AI91" s="24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6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</row>
    <row r="92" spans="1:153" s="23" customFormat="1" ht="14.25" customHeight="1" x14ac:dyDescent="0.2">
      <c r="A92" s="20"/>
      <c r="B92" s="21"/>
      <c r="C92" s="22"/>
      <c r="D92" s="22"/>
      <c r="E92" s="22"/>
      <c r="G92" s="22"/>
      <c r="H92" s="22"/>
      <c r="I92" s="22"/>
      <c r="K92" s="22"/>
      <c r="L92" s="22"/>
      <c r="M92" s="22"/>
      <c r="O92" s="22"/>
      <c r="P92" s="22"/>
      <c r="Q92" s="22"/>
      <c r="S92" s="22"/>
      <c r="T92" s="22"/>
      <c r="U92" s="22"/>
      <c r="W92" s="22"/>
      <c r="X92" s="22"/>
      <c r="Y92" s="22"/>
      <c r="AA92" s="22"/>
      <c r="AB92" s="22"/>
      <c r="AC92" s="22"/>
      <c r="AD92" s="22"/>
      <c r="AE92" s="22"/>
      <c r="AF92" s="22"/>
      <c r="AH92" s="24"/>
      <c r="AI92" s="24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6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</row>
    <row r="93" spans="1:153" s="23" customFormat="1" ht="14.25" customHeight="1" x14ac:dyDescent="0.2">
      <c r="A93" s="20"/>
      <c r="B93" s="21"/>
      <c r="C93" s="22"/>
      <c r="D93" s="22"/>
      <c r="E93" s="22"/>
      <c r="G93" s="22"/>
      <c r="H93" s="22"/>
      <c r="I93" s="22"/>
      <c r="K93" s="22"/>
      <c r="L93" s="22"/>
      <c r="M93" s="22"/>
      <c r="O93" s="22"/>
      <c r="P93" s="22"/>
      <c r="Q93" s="22"/>
      <c r="S93" s="22"/>
      <c r="T93" s="22"/>
      <c r="U93" s="22"/>
      <c r="W93" s="22"/>
      <c r="X93" s="22"/>
      <c r="Y93" s="22"/>
      <c r="AA93" s="22"/>
      <c r="AB93" s="22"/>
      <c r="AC93" s="22"/>
      <c r="AD93" s="22"/>
      <c r="AE93" s="22"/>
      <c r="AF93" s="22"/>
      <c r="AH93" s="24"/>
      <c r="AI93" s="24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6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</row>
    <row r="94" spans="1:153" s="23" customFormat="1" ht="14.25" customHeight="1" x14ac:dyDescent="0.2">
      <c r="A94" s="20"/>
      <c r="B94" s="21"/>
      <c r="C94" s="22"/>
      <c r="D94" s="22"/>
      <c r="E94" s="22"/>
      <c r="G94" s="22"/>
      <c r="H94" s="22"/>
      <c r="I94" s="22"/>
      <c r="K94" s="22"/>
      <c r="L94" s="22"/>
      <c r="M94" s="22"/>
      <c r="O94" s="22"/>
      <c r="P94" s="22"/>
      <c r="Q94" s="22"/>
      <c r="S94" s="22"/>
      <c r="T94" s="22"/>
      <c r="U94" s="22"/>
      <c r="W94" s="22"/>
      <c r="X94" s="22"/>
      <c r="Y94" s="22"/>
      <c r="AA94" s="22"/>
      <c r="AB94" s="22"/>
      <c r="AC94" s="22"/>
      <c r="AD94" s="22"/>
      <c r="AE94" s="22"/>
      <c r="AF94" s="22"/>
      <c r="AH94" s="24"/>
      <c r="AI94" s="24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6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</row>
    <row r="95" spans="1:153" s="23" customFormat="1" ht="14.25" customHeight="1" x14ac:dyDescent="0.2">
      <c r="A95" s="20"/>
      <c r="B95" s="21"/>
      <c r="C95" s="22"/>
      <c r="D95" s="22"/>
      <c r="E95" s="22"/>
      <c r="G95" s="22"/>
      <c r="H95" s="22"/>
      <c r="I95" s="22"/>
      <c r="K95" s="22"/>
      <c r="L95" s="22"/>
      <c r="M95" s="22"/>
      <c r="O95" s="22"/>
      <c r="P95" s="22"/>
      <c r="Q95" s="22"/>
      <c r="S95" s="22"/>
      <c r="T95" s="22"/>
      <c r="U95" s="22"/>
      <c r="W95" s="22"/>
      <c r="X95" s="22"/>
      <c r="Y95" s="22"/>
      <c r="AA95" s="22"/>
      <c r="AB95" s="22"/>
      <c r="AC95" s="22"/>
      <c r="AD95" s="22"/>
      <c r="AE95" s="22"/>
      <c r="AF95" s="22"/>
      <c r="AH95" s="24"/>
      <c r="AI95" s="24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6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</row>
    <row r="96" spans="1:153" s="23" customFormat="1" ht="14.25" customHeight="1" x14ac:dyDescent="0.2">
      <c r="A96" s="20"/>
      <c r="B96" s="21"/>
      <c r="C96" s="22"/>
      <c r="D96" s="22"/>
      <c r="E96" s="22"/>
      <c r="G96" s="22"/>
      <c r="H96" s="22"/>
      <c r="I96" s="22"/>
      <c r="K96" s="22"/>
      <c r="L96" s="22"/>
      <c r="M96" s="22"/>
      <c r="O96" s="22"/>
      <c r="P96" s="22"/>
      <c r="Q96" s="22"/>
      <c r="S96" s="22"/>
      <c r="T96" s="22"/>
      <c r="U96" s="22"/>
      <c r="W96" s="22"/>
      <c r="X96" s="22"/>
      <c r="Y96" s="22"/>
      <c r="AA96" s="22"/>
      <c r="AB96" s="22"/>
      <c r="AC96" s="22"/>
      <c r="AD96" s="22"/>
      <c r="AE96" s="22"/>
      <c r="AF96" s="22"/>
      <c r="AH96" s="24"/>
      <c r="AI96" s="24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6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</row>
    <row r="97" spans="1:153" s="23" customFormat="1" ht="14.25" customHeight="1" x14ac:dyDescent="0.2">
      <c r="A97" s="20"/>
      <c r="B97" s="21"/>
      <c r="C97" s="22"/>
      <c r="D97" s="22"/>
      <c r="E97" s="22"/>
      <c r="G97" s="22"/>
      <c r="H97" s="22"/>
      <c r="I97" s="22"/>
      <c r="K97" s="22"/>
      <c r="L97" s="22"/>
      <c r="M97" s="22"/>
      <c r="O97" s="22"/>
      <c r="P97" s="22"/>
      <c r="Q97" s="22"/>
      <c r="S97" s="22"/>
      <c r="T97" s="22"/>
      <c r="U97" s="22"/>
      <c r="W97" s="22"/>
      <c r="X97" s="22"/>
      <c r="Y97" s="22"/>
      <c r="AA97" s="22"/>
      <c r="AB97" s="22"/>
      <c r="AC97" s="22"/>
      <c r="AD97" s="22"/>
      <c r="AE97" s="22"/>
      <c r="AF97" s="22"/>
      <c r="AH97" s="24"/>
      <c r="AI97" s="24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6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</row>
    <row r="98" spans="1:153" s="23" customFormat="1" ht="14.25" customHeight="1" x14ac:dyDescent="0.2">
      <c r="A98" s="20"/>
      <c r="B98" s="21"/>
      <c r="C98" s="22"/>
      <c r="D98" s="22"/>
      <c r="E98" s="22"/>
      <c r="G98" s="22"/>
      <c r="H98" s="22"/>
      <c r="I98" s="22"/>
      <c r="K98" s="22"/>
      <c r="L98" s="22"/>
      <c r="M98" s="22"/>
      <c r="O98" s="22"/>
      <c r="P98" s="22"/>
      <c r="Q98" s="22"/>
      <c r="S98" s="22"/>
      <c r="T98" s="22"/>
      <c r="U98" s="22"/>
      <c r="W98" s="22"/>
      <c r="X98" s="22"/>
      <c r="Y98" s="22"/>
      <c r="AA98" s="22"/>
      <c r="AB98" s="22"/>
      <c r="AC98" s="22"/>
      <c r="AD98" s="22"/>
      <c r="AE98" s="22"/>
      <c r="AF98" s="22"/>
      <c r="AH98" s="24"/>
      <c r="AI98" s="24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6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</row>
    <row r="99" spans="1:153" s="23" customFormat="1" ht="14.25" customHeight="1" x14ac:dyDescent="0.2">
      <c r="A99" s="20"/>
      <c r="B99" s="21"/>
      <c r="C99" s="22"/>
      <c r="D99" s="22"/>
      <c r="E99" s="22"/>
      <c r="G99" s="22"/>
      <c r="H99" s="22"/>
      <c r="I99" s="22"/>
      <c r="K99" s="22"/>
      <c r="L99" s="22"/>
      <c r="M99" s="22"/>
      <c r="O99" s="22"/>
      <c r="P99" s="22"/>
      <c r="Q99" s="22"/>
      <c r="S99" s="22"/>
      <c r="T99" s="22"/>
      <c r="U99" s="22"/>
      <c r="W99" s="22"/>
      <c r="X99" s="22"/>
      <c r="Y99" s="22"/>
      <c r="AA99" s="22"/>
      <c r="AB99" s="22"/>
      <c r="AC99" s="22"/>
      <c r="AD99" s="22"/>
      <c r="AE99" s="22"/>
      <c r="AF99" s="22"/>
      <c r="AH99" s="24"/>
      <c r="AI99" s="24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6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</row>
    <row r="100" spans="1:153" s="23" customFormat="1" ht="14.25" customHeight="1" x14ac:dyDescent="0.2">
      <c r="A100" s="20"/>
      <c r="B100" s="21"/>
      <c r="C100" s="22"/>
      <c r="D100" s="22"/>
      <c r="E100" s="22"/>
      <c r="G100" s="22"/>
      <c r="H100" s="22"/>
      <c r="I100" s="22"/>
      <c r="K100" s="22"/>
      <c r="L100" s="22"/>
      <c r="M100" s="22"/>
      <c r="O100" s="22"/>
      <c r="P100" s="22"/>
      <c r="Q100" s="22"/>
      <c r="S100" s="22"/>
      <c r="T100" s="22"/>
      <c r="U100" s="22"/>
      <c r="W100" s="22"/>
      <c r="X100" s="22"/>
      <c r="Y100" s="22"/>
      <c r="AA100" s="22"/>
      <c r="AB100" s="22"/>
      <c r="AC100" s="22"/>
      <c r="AD100" s="22"/>
      <c r="AE100" s="22"/>
      <c r="AF100" s="22"/>
      <c r="AH100" s="24"/>
      <c r="AI100" s="24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6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</row>
    <row r="101" spans="1:153" s="23" customFormat="1" ht="14.25" customHeight="1" x14ac:dyDescent="0.2">
      <c r="A101" s="20"/>
      <c r="B101" s="21"/>
      <c r="C101" s="22"/>
      <c r="D101" s="22"/>
      <c r="E101" s="22"/>
      <c r="G101" s="22"/>
      <c r="H101" s="22"/>
      <c r="I101" s="22"/>
      <c r="K101" s="22"/>
      <c r="L101" s="22"/>
      <c r="M101" s="22"/>
      <c r="O101" s="22"/>
      <c r="P101" s="22"/>
      <c r="Q101" s="22"/>
      <c r="S101" s="22"/>
      <c r="T101" s="22"/>
      <c r="U101" s="22"/>
      <c r="W101" s="22"/>
      <c r="X101" s="22"/>
      <c r="Y101" s="22"/>
      <c r="AA101" s="22"/>
      <c r="AB101" s="22"/>
      <c r="AC101" s="22"/>
      <c r="AD101" s="22"/>
      <c r="AE101" s="22"/>
      <c r="AF101" s="22"/>
      <c r="AH101" s="24"/>
      <c r="AI101" s="24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6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</row>
    <row r="102" spans="1:153" s="23" customFormat="1" ht="14.25" customHeight="1" x14ac:dyDescent="0.2">
      <c r="A102" s="20"/>
      <c r="B102" s="21"/>
      <c r="C102" s="22"/>
      <c r="D102" s="22"/>
      <c r="E102" s="22"/>
      <c r="G102" s="22"/>
      <c r="H102" s="22"/>
      <c r="I102" s="22"/>
      <c r="K102" s="22"/>
      <c r="L102" s="22"/>
      <c r="M102" s="22"/>
      <c r="O102" s="22"/>
      <c r="P102" s="22"/>
      <c r="Q102" s="22"/>
      <c r="S102" s="22"/>
      <c r="T102" s="22"/>
      <c r="U102" s="22"/>
      <c r="W102" s="22"/>
      <c r="X102" s="22"/>
      <c r="Y102" s="22"/>
      <c r="AA102" s="22"/>
      <c r="AB102" s="22"/>
      <c r="AC102" s="22"/>
      <c r="AD102" s="22"/>
      <c r="AE102" s="22"/>
      <c r="AF102" s="22"/>
      <c r="AH102" s="24"/>
      <c r="AI102" s="24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6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</row>
    <row r="103" spans="1:153" s="23" customFormat="1" ht="14.25" customHeight="1" x14ac:dyDescent="0.2">
      <c r="A103" s="20"/>
      <c r="B103" s="21"/>
      <c r="C103" s="22"/>
      <c r="D103" s="22"/>
      <c r="E103" s="22"/>
      <c r="G103" s="22"/>
      <c r="H103" s="22"/>
      <c r="I103" s="22"/>
      <c r="K103" s="22"/>
      <c r="L103" s="22"/>
      <c r="M103" s="22"/>
      <c r="O103" s="22"/>
      <c r="P103" s="22"/>
      <c r="Q103" s="22"/>
      <c r="S103" s="22"/>
      <c r="T103" s="22"/>
      <c r="U103" s="22"/>
      <c r="W103" s="22"/>
      <c r="X103" s="22"/>
      <c r="Y103" s="22"/>
      <c r="AA103" s="22"/>
      <c r="AB103" s="22"/>
      <c r="AC103" s="22"/>
      <c r="AD103" s="22"/>
      <c r="AE103" s="22"/>
      <c r="AF103" s="22"/>
      <c r="AH103" s="24"/>
      <c r="AI103" s="24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6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</row>
    <row r="104" spans="1:153" s="23" customFormat="1" ht="14.25" customHeight="1" x14ac:dyDescent="0.2">
      <c r="A104" s="20"/>
      <c r="B104" s="21"/>
      <c r="C104" s="22"/>
      <c r="D104" s="22"/>
      <c r="E104" s="22"/>
      <c r="G104" s="22"/>
      <c r="H104" s="22"/>
      <c r="I104" s="22"/>
      <c r="K104" s="22"/>
      <c r="L104" s="22"/>
      <c r="M104" s="22"/>
      <c r="O104" s="22"/>
      <c r="P104" s="22"/>
      <c r="Q104" s="22"/>
      <c r="S104" s="22"/>
      <c r="T104" s="22"/>
      <c r="U104" s="22"/>
      <c r="W104" s="22"/>
      <c r="X104" s="22"/>
      <c r="Y104" s="22"/>
      <c r="AA104" s="22"/>
      <c r="AB104" s="22"/>
      <c r="AC104" s="22"/>
      <c r="AD104" s="22"/>
      <c r="AE104" s="22"/>
      <c r="AF104" s="22"/>
      <c r="AH104" s="24"/>
      <c r="AI104" s="24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6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</row>
    <row r="105" spans="1:153" s="23" customFormat="1" ht="14.25" customHeight="1" x14ac:dyDescent="0.2">
      <c r="A105" s="20"/>
      <c r="B105" s="21"/>
      <c r="C105" s="22"/>
      <c r="D105" s="22"/>
      <c r="E105" s="22"/>
      <c r="G105" s="22"/>
      <c r="H105" s="22"/>
      <c r="I105" s="22"/>
      <c r="K105" s="22"/>
      <c r="L105" s="22"/>
      <c r="M105" s="22"/>
      <c r="O105" s="22"/>
      <c r="P105" s="22"/>
      <c r="Q105" s="22"/>
      <c r="S105" s="22"/>
      <c r="T105" s="22"/>
      <c r="U105" s="22"/>
      <c r="W105" s="22"/>
      <c r="X105" s="22"/>
      <c r="Y105" s="22"/>
      <c r="AA105" s="22"/>
      <c r="AB105" s="22"/>
      <c r="AC105" s="22"/>
      <c r="AD105" s="22"/>
      <c r="AE105" s="22"/>
      <c r="AF105" s="22"/>
      <c r="AH105" s="24"/>
      <c r="AI105" s="24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6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</row>
    <row r="106" spans="1:153" s="23" customFormat="1" ht="14.25" customHeight="1" x14ac:dyDescent="0.2">
      <c r="A106" s="20"/>
      <c r="B106" s="21"/>
      <c r="C106" s="22"/>
      <c r="D106" s="22"/>
      <c r="E106" s="22"/>
      <c r="G106" s="22"/>
      <c r="H106" s="22"/>
      <c r="I106" s="22"/>
      <c r="K106" s="22"/>
      <c r="L106" s="22"/>
      <c r="M106" s="22"/>
      <c r="O106" s="22"/>
      <c r="P106" s="22"/>
      <c r="Q106" s="22"/>
      <c r="S106" s="22"/>
      <c r="T106" s="22"/>
      <c r="U106" s="22"/>
      <c r="W106" s="22"/>
      <c r="X106" s="22"/>
      <c r="Y106" s="22"/>
      <c r="AA106" s="22"/>
      <c r="AB106" s="22"/>
      <c r="AC106" s="22"/>
      <c r="AD106" s="22"/>
      <c r="AE106" s="22"/>
      <c r="AF106" s="22"/>
      <c r="AH106" s="24"/>
      <c r="AI106" s="24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6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</row>
    <row r="107" spans="1:153" s="23" customFormat="1" ht="14.25" customHeight="1" x14ac:dyDescent="0.2">
      <c r="A107" s="20"/>
      <c r="B107" s="21"/>
      <c r="C107" s="22"/>
      <c r="D107" s="22"/>
      <c r="E107" s="22"/>
      <c r="G107" s="22"/>
      <c r="H107" s="22"/>
      <c r="I107" s="22"/>
      <c r="K107" s="22"/>
      <c r="L107" s="22"/>
      <c r="M107" s="22"/>
      <c r="O107" s="22"/>
      <c r="P107" s="22"/>
      <c r="Q107" s="22"/>
      <c r="S107" s="22"/>
      <c r="T107" s="22"/>
      <c r="U107" s="22"/>
      <c r="W107" s="22"/>
      <c r="X107" s="22"/>
      <c r="Y107" s="22"/>
      <c r="AA107" s="22"/>
      <c r="AB107" s="22"/>
      <c r="AC107" s="22"/>
      <c r="AD107" s="22"/>
      <c r="AE107" s="22"/>
      <c r="AF107" s="22"/>
      <c r="AH107" s="24"/>
      <c r="AI107" s="24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6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</row>
    <row r="108" spans="1:153" s="23" customFormat="1" ht="14.25" customHeight="1" x14ac:dyDescent="0.2">
      <c r="A108" s="20"/>
      <c r="B108" s="21"/>
      <c r="C108" s="22"/>
      <c r="D108" s="22"/>
      <c r="E108" s="22"/>
      <c r="G108" s="22"/>
      <c r="H108" s="22"/>
      <c r="I108" s="22"/>
      <c r="K108" s="22"/>
      <c r="L108" s="22"/>
      <c r="M108" s="22"/>
      <c r="O108" s="22"/>
      <c r="P108" s="22"/>
      <c r="Q108" s="22"/>
      <c r="S108" s="22"/>
      <c r="T108" s="22"/>
      <c r="U108" s="22"/>
      <c r="W108" s="22"/>
      <c r="X108" s="22"/>
      <c r="Y108" s="22"/>
      <c r="AA108" s="22"/>
      <c r="AB108" s="22"/>
      <c r="AC108" s="22"/>
      <c r="AD108" s="22"/>
      <c r="AE108" s="22"/>
      <c r="AF108" s="22"/>
      <c r="AH108" s="24"/>
      <c r="AI108" s="24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6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</row>
    <row r="109" spans="1:153" s="23" customFormat="1" ht="14.25" customHeight="1" x14ac:dyDescent="0.2">
      <c r="A109" s="20"/>
      <c r="B109" s="21"/>
      <c r="C109" s="22"/>
      <c r="D109" s="22"/>
      <c r="E109" s="22"/>
      <c r="G109" s="22"/>
      <c r="H109" s="22"/>
      <c r="I109" s="22"/>
      <c r="K109" s="22"/>
      <c r="L109" s="22"/>
      <c r="M109" s="22"/>
      <c r="O109" s="22"/>
      <c r="P109" s="22"/>
      <c r="Q109" s="22"/>
      <c r="S109" s="22"/>
      <c r="T109" s="22"/>
      <c r="U109" s="22"/>
      <c r="W109" s="22"/>
      <c r="X109" s="22"/>
      <c r="Y109" s="22"/>
      <c r="AA109" s="22"/>
      <c r="AB109" s="22"/>
      <c r="AC109" s="22"/>
      <c r="AD109" s="22"/>
      <c r="AE109" s="22"/>
      <c r="AF109" s="22"/>
      <c r="AH109" s="24"/>
      <c r="AI109" s="24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6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</row>
    <row r="110" spans="1:153" s="23" customFormat="1" ht="14.25" customHeight="1" x14ac:dyDescent="0.2">
      <c r="A110" s="20"/>
      <c r="B110" s="21"/>
      <c r="C110" s="22"/>
      <c r="D110" s="22"/>
      <c r="E110" s="22"/>
      <c r="G110" s="22"/>
      <c r="H110" s="22"/>
      <c r="I110" s="22"/>
      <c r="K110" s="22"/>
      <c r="L110" s="22"/>
      <c r="M110" s="22"/>
      <c r="O110" s="22"/>
      <c r="P110" s="22"/>
      <c r="Q110" s="22"/>
      <c r="S110" s="22"/>
      <c r="T110" s="22"/>
      <c r="U110" s="22"/>
      <c r="W110" s="22"/>
      <c r="X110" s="22"/>
      <c r="Y110" s="22"/>
      <c r="AA110" s="22"/>
      <c r="AB110" s="22"/>
      <c r="AC110" s="22"/>
      <c r="AD110" s="22"/>
      <c r="AE110" s="22"/>
      <c r="AF110" s="22"/>
      <c r="AH110" s="24"/>
      <c r="AI110" s="24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6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</row>
    <row r="111" spans="1:153" s="23" customFormat="1" ht="14.25" customHeight="1" x14ac:dyDescent="0.2">
      <c r="A111" s="20"/>
      <c r="B111" s="21"/>
      <c r="C111" s="22"/>
      <c r="D111" s="22"/>
      <c r="E111" s="22"/>
      <c r="G111" s="22"/>
      <c r="H111" s="22"/>
      <c r="I111" s="22"/>
      <c r="K111" s="22"/>
      <c r="L111" s="22"/>
      <c r="M111" s="22"/>
      <c r="O111" s="22"/>
      <c r="P111" s="22"/>
      <c r="Q111" s="22"/>
      <c r="S111" s="22"/>
      <c r="T111" s="22"/>
      <c r="U111" s="22"/>
      <c r="W111" s="22"/>
      <c r="X111" s="22"/>
      <c r="Y111" s="22"/>
      <c r="AA111" s="22"/>
      <c r="AB111" s="22"/>
      <c r="AC111" s="22"/>
      <c r="AD111" s="22"/>
      <c r="AE111" s="22"/>
      <c r="AF111" s="22"/>
      <c r="AH111" s="24"/>
      <c r="AI111" s="24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6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</row>
    <row r="112" spans="1:153" s="23" customFormat="1" ht="14.25" customHeight="1" x14ac:dyDescent="0.2">
      <c r="A112" s="20"/>
      <c r="B112" s="21"/>
      <c r="C112" s="22"/>
      <c r="D112" s="22"/>
      <c r="E112" s="22"/>
      <c r="G112" s="22"/>
      <c r="H112" s="22"/>
      <c r="I112" s="22"/>
      <c r="K112" s="22"/>
      <c r="L112" s="22"/>
      <c r="M112" s="22"/>
      <c r="O112" s="22"/>
      <c r="P112" s="22"/>
      <c r="Q112" s="22"/>
      <c r="S112" s="22"/>
      <c r="T112" s="22"/>
      <c r="U112" s="22"/>
      <c r="W112" s="22"/>
      <c r="X112" s="22"/>
      <c r="Y112" s="22"/>
      <c r="AA112" s="22"/>
      <c r="AB112" s="22"/>
      <c r="AC112" s="22"/>
      <c r="AD112" s="22"/>
      <c r="AE112" s="22"/>
      <c r="AF112" s="22"/>
      <c r="AH112" s="24"/>
      <c r="AI112" s="24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6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</row>
    <row r="113" spans="1:153" s="23" customFormat="1" ht="14.25" customHeight="1" x14ac:dyDescent="0.2">
      <c r="A113" s="20"/>
      <c r="B113" s="21"/>
      <c r="C113" s="22"/>
      <c r="D113" s="22"/>
      <c r="E113" s="22"/>
      <c r="G113" s="22"/>
      <c r="H113" s="22"/>
      <c r="I113" s="22"/>
      <c r="K113" s="22"/>
      <c r="L113" s="22"/>
      <c r="M113" s="22"/>
      <c r="O113" s="22"/>
      <c r="P113" s="22"/>
      <c r="Q113" s="22"/>
      <c r="S113" s="22"/>
      <c r="T113" s="22"/>
      <c r="U113" s="22"/>
      <c r="W113" s="22"/>
      <c r="X113" s="22"/>
      <c r="Y113" s="22"/>
      <c r="AA113" s="22"/>
      <c r="AB113" s="22"/>
      <c r="AC113" s="22"/>
      <c r="AD113" s="22"/>
      <c r="AE113" s="22"/>
      <c r="AF113" s="22"/>
      <c r="AH113" s="24"/>
      <c r="AI113" s="24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6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</row>
    <row r="114" spans="1:153" s="23" customFormat="1" ht="14.25" customHeight="1" x14ac:dyDescent="0.2">
      <c r="A114" s="20"/>
      <c r="B114" s="21"/>
      <c r="C114" s="22"/>
      <c r="D114" s="22"/>
      <c r="E114" s="22"/>
      <c r="G114" s="22"/>
      <c r="H114" s="22"/>
      <c r="I114" s="22"/>
      <c r="K114" s="22"/>
      <c r="L114" s="22"/>
      <c r="M114" s="22"/>
      <c r="O114" s="22"/>
      <c r="P114" s="22"/>
      <c r="Q114" s="22"/>
      <c r="S114" s="22"/>
      <c r="T114" s="22"/>
      <c r="U114" s="22"/>
      <c r="W114" s="22"/>
      <c r="X114" s="22"/>
      <c r="Y114" s="22"/>
      <c r="AA114" s="22"/>
      <c r="AB114" s="22"/>
      <c r="AC114" s="22"/>
      <c r="AD114" s="22"/>
      <c r="AE114" s="22"/>
      <c r="AF114" s="22"/>
      <c r="AH114" s="24"/>
      <c r="AI114" s="24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6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</row>
    <row r="115" spans="1:153" s="23" customFormat="1" ht="14.25" customHeight="1" x14ac:dyDescent="0.2">
      <c r="A115" s="20"/>
      <c r="B115" s="21"/>
      <c r="C115" s="22"/>
      <c r="D115" s="22"/>
      <c r="E115" s="22"/>
      <c r="G115" s="22"/>
      <c r="H115" s="22"/>
      <c r="I115" s="22"/>
      <c r="K115" s="22"/>
      <c r="L115" s="22"/>
      <c r="M115" s="22"/>
      <c r="O115" s="22"/>
      <c r="P115" s="22"/>
      <c r="Q115" s="22"/>
      <c r="S115" s="22"/>
      <c r="T115" s="22"/>
      <c r="U115" s="22"/>
      <c r="W115" s="22"/>
      <c r="X115" s="22"/>
      <c r="Y115" s="22"/>
      <c r="AA115" s="22"/>
      <c r="AB115" s="22"/>
      <c r="AC115" s="22"/>
      <c r="AD115" s="22"/>
      <c r="AE115" s="22"/>
      <c r="AF115" s="22"/>
      <c r="AH115" s="24"/>
      <c r="AI115" s="24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6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</row>
    <row r="116" spans="1:153" s="23" customFormat="1" ht="14.25" customHeight="1" x14ac:dyDescent="0.2">
      <c r="A116" s="20"/>
      <c r="B116" s="21"/>
      <c r="C116" s="22"/>
      <c r="D116" s="22"/>
      <c r="E116" s="22"/>
      <c r="G116" s="22"/>
      <c r="H116" s="22"/>
      <c r="I116" s="22"/>
      <c r="K116" s="22"/>
      <c r="L116" s="22"/>
      <c r="M116" s="22"/>
      <c r="O116" s="22"/>
      <c r="P116" s="22"/>
      <c r="Q116" s="22"/>
      <c r="S116" s="22"/>
      <c r="T116" s="22"/>
      <c r="U116" s="22"/>
      <c r="W116" s="22"/>
      <c r="X116" s="22"/>
      <c r="Y116" s="22"/>
      <c r="AA116" s="22"/>
      <c r="AB116" s="22"/>
      <c r="AC116" s="22"/>
      <c r="AD116" s="22"/>
      <c r="AE116" s="22"/>
      <c r="AF116" s="22"/>
      <c r="AH116" s="24"/>
      <c r="AI116" s="24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6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</row>
    <row r="117" spans="1:153" s="23" customFormat="1" ht="14.25" customHeight="1" x14ac:dyDescent="0.2">
      <c r="A117" s="20"/>
      <c r="B117" s="21"/>
      <c r="C117" s="22"/>
      <c r="D117" s="22"/>
      <c r="E117" s="22"/>
      <c r="G117" s="22"/>
      <c r="H117" s="22"/>
      <c r="I117" s="22"/>
      <c r="K117" s="22"/>
      <c r="L117" s="22"/>
      <c r="M117" s="22"/>
      <c r="O117" s="22"/>
      <c r="P117" s="22"/>
      <c r="Q117" s="22"/>
      <c r="S117" s="22"/>
      <c r="T117" s="22"/>
      <c r="U117" s="22"/>
      <c r="W117" s="22"/>
      <c r="X117" s="22"/>
      <c r="Y117" s="22"/>
      <c r="AA117" s="22"/>
      <c r="AB117" s="22"/>
      <c r="AC117" s="22"/>
      <c r="AD117" s="22"/>
      <c r="AE117" s="22"/>
      <c r="AF117" s="22"/>
      <c r="AH117" s="24"/>
      <c r="AI117" s="24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6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</row>
    <row r="118" spans="1:153" s="23" customFormat="1" ht="14.25" customHeight="1" x14ac:dyDescent="0.2">
      <c r="A118" s="20"/>
      <c r="B118" s="21"/>
      <c r="C118" s="22"/>
      <c r="D118" s="22"/>
      <c r="E118" s="22"/>
      <c r="G118" s="22"/>
      <c r="H118" s="22"/>
      <c r="I118" s="22"/>
      <c r="K118" s="22"/>
      <c r="L118" s="22"/>
      <c r="M118" s="22"/>
      <c r="O118" s="22"/>
      <c r="P118" s="22"/>
      <c r="Q118" s="22"/>
      <c r="S118" s="22"/>
      <c r="T118" s="22"/>
      <c r="U118" s="22"/>
      <c r="W118" s="22"/>
      <c r="X118" s="22"/>
      <c r="Y118" s="22"/>
      <c r="AA118" s="22"/>
      <c r="AB118" s="22"/>
      <c r="AC118" s="22"/>
      <c r="AD118" s="22"/>
      <c r="AE118" s="22"/>
      <c r="AF118" s="22"/>
      <c r="AH118" s="24"/>
      <c r="AI118" s="24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6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</row>
    <row r="119" spans="1:153" s="23" customFormat="1" ht="14.25" customHeight="1" x14ac:dyDescent="0.2">
      <c r="A119" s="20"/>
      <c r="B119" s="21"/>
      <c r="C119" s="22"/>
      <c r="D119" s="22"/>
      <c r="E119" s="22"/>
      <c r="G119" s="22"/>
      <c r="H119" s="22"/>
      <c r="I119" s="22"/>
      <c r="K119" s="22"/>
      <c r="L119" s="22"/>
      <c r="M119" s="22"/>
      <c r="O119" s="22"/>
      <c r="P119" s="22"/>
      <c r="Q119" s="22"/>
      <c r="S119" s="22"/>
      <c r="T119" s="22"/>
      <c r="U119" s="22"/>
      <c r="W119" s="22"/>
      <c r="X119" s="22"/>
      <c r="Y119" s="22"/>
      <c r="AA119" s="22"/>
      <c r="AB119" s="22"/>
      <c r="AC119" s="22"/>
      <c r="AD119" s="22"/>
      <c r="AE119" s="22"/>
      <c r="AF119" s="22"/>
      <c r="AH119" s="24"/>
      <c r="AI119" s="24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6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</row>
    <row r="120" spans="1:153" s="23" customFormat="1" ht="14.25" customHeight="1" x14ac:dyDescent="0.2">
      <c r="A120" s="20"/>
      <c r="B120" s="21"/>
      <c r="C120" s="22"/>
      <c r="D120" s="22"/>
      <c r="E120" s="22"/>
      <c r="G120" s="22"/>
      <c r="H120" s="22"/>
      <c r="I120" s="22"/>
      <c r="K120" s="22"/>
      <c r="L120" s="22"/>
      <c r="M120" s="22"/>
      <c r="O120" s="22"/>
      <c r="P120" s="22"/>
      <c r="Q120" s="22"/>
      <c r="S120" s="22"/>
      <c r="T120" s="22"/>
      <c r="U120" s="22"/>
      <c r="W120" s="22"/>
      <c r="X120" s="22"/>
      <c r="Y120" s="22"/>
      <c r="AA120" s="22"/>
      <c r="AB120" s="22"/>
      <c r="AC120" s="22"/>
      <c r="AD120" s="22"/>
      <c r="AE120" s="22"/>
      <c r="AF120" s="22"/>
      <c r="AH120" s="24"/>
      <c r="AI120" s="24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6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</row>
    <row r="121" spans="1:153" s="23" customFormat="1" ht="14.25" customHeight="1" x14ac:dyDescent="0.2">
      <c r="A121" s="20"/>
      <c r="B121" s="21"/>
      <c r="C121" s="22"/>
      <c r="D121" s="22"/>
      <c r="E121" s="22"/>
      <c r="G121" s="22"/>
      <c r="H121" s="22"/>
      <c r="I121" s="22"/>
      <c r="K121" s="22"/>
      <c r="L121" s="22"/>
      <c r="M121" s="22"/>
      <c r="O121" s="22"/>
      <c r="P121" s="22"/>
      <c r="Q121" s="22"/>
      <c r="S121" s="22"/>
      <c r="T121" s="22"/>
      <c r="U121" s="22"/>
      <c r="W121" s="22"/>
      <c r="X121" s="22"/>
      <c r="Y121" s="22"/>
      <c r="AA121" s="22"/>
      <c r="AB121" s="22"/>
      <c r="AC121" s="22"/>
      <c r="AD121" s="22"/>
      <c r="AE121" s="22"/>
      <c r="AF121" s="22"/>
      <c r="AH121" s="24"/>
      <c r="AI121" s="24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6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</row>
    <row r="122" spans="1:153" s="23" customFormat="1" ht="14.25" customHeight="1" x14ac:dyDescent="0.2">
      <c r="A122" s="20"/>
      <c r="B122" s="21"/>
      <c r="C122" s="22"/>
      <c r="D122" s="22"/>
      <c r="E122" s="22"/>
      <c r="G122" s="22"/>
      <c r="H122" s="22"/>
      <c r="I122" s="22"/>
      <c r="K122" s="22"/>
      <c r="L122" s="22"/>
      <c r="M122" s="22"/>
      <c r="O122" s="22"/>
      <c r="P122" s="22"/>
      <c r="Q122" s="22"/>
      <c r="S122" s="22"/>
      <c r="T122" s="22"/>
      <c r="U122" s="22"/>
      <c r="W122" s="22"/>
      <c r="X122" s="22"/>
      <c r="Y122" s="22"/>
      <c r="AA122" s="22"/>
      <c r="AB122" s="22"/>
      <c r="AC122" s="22"/>
      <c r="AD122" s="22"/>
      <c r="AE122" s="22"/>
      <c r="AF122" s="22"/>
      <c r="AH122" s="24"/>
      <c r="AI122" s="24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6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</row>
    <row r="123" spans="1:153" s="23" customFormat="1" ht="14.25" customHeight="1" x14ac:dyDescent="0.2">
      <c r="A123" s="20"/>
      <c r="B123" s="21"/>
      <c r="C123" s="22"/>
      <c r="D123" s="22"/>
      <c r="E123" s="22"/>
      <c r="G123" s="22"/>
      <c r="H123" s="22"/>
      <c r="I123" s="22"/>
      <c r="K123" s="22"/>
      <c r="L123" s="22"/>
      <c r="M123" s="22"/>
      <c r="O123" s="22"/>
      <c r="P123" s="22"/>
      <c r="Q123" s="22"/>
      <c r="S123" s="22"/>
      <c r="T123" s="22"/>
      <c r="U123" s="22"/>
      <c r="W123" s="22"/>
      <c r="X123" s="22"/>
      <c r="Y123" s="22"/>
      <c r="AA123" s="22"/>
      <c r="AB123" s="22"/>
      <c r="AC123" s="22"/>
      <c r="AD123" s="22"/>
      <c r="AE123" s="22"/>
      <c r="AF123" s="22"/>
      <c r="AH123" s="24"/>
      <c r="AI123" s="24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6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</row>
    <row r="124" spans="1:153" s="23" customFormat="1" ht="14.25" customHeight="1" x14ac:dyDescent="0.2">
      <c r="A124" s="20"/>
      <c r="B124" s="21"/>
      <c r="C124" s="22"/>
      <c r="D124" s="22"/>
      <c r="E124" s="22"/>
      <c r="G124" s="22"/>
      <c r="H124" s="22"/>
      <c r="I124" s="22"/>
      <c r="K124" s="22"/>
      <c r="L124" s="22"/>
      <c r="M124" s="22"/>
      <c r="O124" s="22"/>
      <c r="P124" s="22"/>
      <c r="Q124" s="22"/>
      <c r="S124" s="22"/>
      <c r="T124" s="22"/>
      <c r="U124" s="22"/>
      <c r="W124" s="22"/>
      <c r="X124" s="22"/>
      <c r="Y124" s="22"/>
      <c r="AA124" s="22"/>
      <c r="AB124" s="22"/>
      <c r="AC124" s="22"/>
      <c r="AD124" s="22"/>
      <c r="AE124" s="22"/>
      <c r="AF124" s="22"/>
      <c r="AH124" s="24"/>
      <c r="AI124" s="24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6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</row>
    <row r="125" spans="1:153" s="23" customFormat="1" ht="14.25" customHeight="1" x14ac:dyDescent="0.2">
      <c r="A125" s="20"/>
      <c r="B125" s="21"/>
      <c r="C125" s="22"/>
      <c r="D125" s="22"/>
      <c r="E125" s="22"/>
      <c r="G125" s="22"/>
      <c r="H125" s="22"/>
      <c r="I125" s="22"/>
      <c r="K125" s="22"/>
      <c r="L125" s="22"/>
      <c r="M125" s="22"/>
      <c r="O125" s="22"/>
      <c r="P125" s="22"/>
      <c r="Q125" s="22"/>
      <c r="S125" s="22"/>
      <c r="T125" s="22"/>
      <c r="U125" s="22"/>
      <c r="W125" s="22"/>
      <c r="X125" s="22"/>
      <c r="Y125" s="22"/>
      <c r="AA125" s="22"/>
      <c r="AB125" s="22"/>
      <c r="AC125" s="22"/>
      <c r="AD125" s="22"/>
      <c r="AE125" s="22"/>
      <c r="AF125" s="22"/>
      <c r="AH125" s="24"/>
      <c r="AI125" s="24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6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</row>
    <row r="126" spans="1:153" s="23" customFormat="1" ht="14.25" customHeight="1" x14ac:dyDescent="0.2">
      <c r="A126" s="20"/>
      <c r="B126" s="21"/>
      <c r="C126" s="22"/>
      <c r="D126" s="22"/>
      <c r="E126" s="22"/>
      <c r="G126" s="22"/>
      <c r="H126" s="22"/>
      <c r="I126" s="22"/>
      <c r="K126" s="22"/>
      <c r="L126" s="22"/>
      <c r="M126" s="22"/>
      <c r="O126" s="22"/>
      <c r="P126" s="22"/>
      <c r="Q126" s="22"/>
      <c r="S126" s="22"/>
      <c r="T126" s="22"/>
      <c r="U126" s="22"/>
      <c r="W126" s="22"/>
      <c r="X126" s="22"/>
      <c r="Y126" s="22"/>
      <c r="AA126" s="22"/>
      <c r="AB126" s="22"/>
      <c r="AC126" s="22"/>
      <c r="AD126" s="22"/>
      <c r="AE126" s="22"/>
      <c r="AF126" s="22"/>
      <c r="AH126" s="24"/>
      <c r="AI126" s="24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6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</row>
    <row r="127" spans="1:153" s="23" customFormat="1" ht="14.25" customHeight="1" x14ac:dyDescent="0.2">
      <c r="A127" s="20"/>
      <c r="B127" s="21"/>
      <c r="C127" s="22"/>
      <c r="D127" s="22"/>
      <c r="E127" s="22"/>
      <c r="G127" s="22"/>
      <c r="H127" s="22"/>
      <c r="I127" s="22"/>
      <c r="K127" s="22"/>
      <c r="L127" s="22"/>
      <c r="M127" s="22"/>
      <c r="O127" s="22"/>
      <c r="P127" s="22"/>
      <c r="Q127" s="22"/>
      <c r="S127" s="22"/>
      <c r="T127" s="22"/>
      <c r="U127" s="22"/>
      <c r="W127" s="22"/>
      <c r="X127" s="22"/>
      <c r="Y127" s="22"/>
      <c r="AA127" s="22"/>
      <c r="AB127" s="22"/>
      <c r="AC127" s="22"/>
      <c r="AD127" s="22"/>
      <c r="AE127" s="22"/>
      <c r="AF127" s="22"/>
      <c r="AH127" s="24"/>
      <c r="AI127" s="24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6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</row>
    <row r="128" spans="1:153" s="23" customFormat="1" ht="14.25" customHeight="1" x14ac:dyDescent="0.2">
      <c r="A128" s="20"/>
      <c r="B128" s="21"/>
      <c r="C128" s="22"/>
      <c r="D128" s="22"/>
      <c r="E128" s="22"/>
      <c r="G128" s="22"/>
      <c r="H128" s="22"/>
      <c r="I128" s="22"/>
      <c r="K128" s="22"/>
      <c r="L128" s="22"/>
      <c r="M128" s="22"/>
      <c r="O128" s="22"/>
      <c r="P128" s="22"/>
      <c r="Q128" s="22"/>
      <c r="S128" s="22"/>
      <c r="T128" s="22"/>
      <c r="U128" s="22"/>
      <c r="W128" s="22"/>
      <c r="X128" s="22"/>
      <c r="Y128" s="22"/>
      <c r="AA128" s="22"/>
      <c r="AB128" s="22"/>
      <c r="AC128" s="22"/>
      <c r="AD128" s="22"/>
      <c r="AE128" s="22"/>
      <c r="AF128" s="22"/>
      <c r="AH128" s="24"/>
      <c r="AI128" s="24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6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</row>
    <row r="129" spans="1:153" s="23" customFormat="1" ht="14.25" customHeight="1" x14ac:dyDescent="0.2">
      <c r="A129" s="20"/>
      <c r="B129" s="21"/>
      <c r="C129" s="22"/>
      <c r="D129" s="22"/>
      <c r="E129" s="22"/>
      <c r="G129" s="22"/>
      <c r="H129" s="22"/>
      <c r="I129" s="22"/>
      <c r="K129" s="22"/>
      <c r="L129" s="22"/>
      <c r="M129" s="22"/>
      <c r="O129" s="22"/>
      <c r="P129" s="22"/>
      <c r="Q129" s="22"/>
      <c r="S129" s="22"/>
      <c r="T129" s="22"/>
      <c r="U129" s="22"/>
      <c r="W129" s="22"/>
      <c r="X129" s="22"/>
      <c r="Y129" s="22"/>
      <c r="AA129" s="22"/>
      <c r="AB129" s="22"/>
      <c r="AC129" s="22"/>
      <c r="AD129" s="22"/>
      <c r="AE129" s="22"/>
      <c r="AF129" s="22"/>
      <c r="AH129" s="24"/>
      <c r="AI129" s="24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6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</row>
    <row r="130" spans="1:153" s="23" customFormat="1" ht="14.25" customHeight="1" x14ac:dyDescent="0.2">
      <c r="A130" s="20"/>
      <c r="B130" s="21"/>
      <c r="C130" s="22"/>
      <c r="D130" s="22"/>
      <c r="E130" s="22"/>
      <c r="G130" s="22"/>
      <c r="H130" s="22"/>
      <c r="I130" s="22"/>
      <c r="K130" s="22"/>
      <c r="L130" s="22"/>
      <c r="M130" s="22"/>
      <c r="O130" s="22"/>
      <c r="P130" s="22"/>
      <c r="Q130" s="22"/>
      <c r="S130" s="22"/>
      <c r="T130" s="22"/>
      <c r="U130" s="22"/>
      <c r="W130" s="22"/>
      <c r="X130" s="22"/>
      <c r="Y130" s="22"/>
      <c r="AA130" s="22"/>
      <c r="AB130" s="22"/>
      <c r="AC130" s="22"/>
      <c r="AD130" s="22"/>
      <c r="AE130" s="22"/>
      <c r="AF130" s="22"/>
      <c r="AH130" s="24"/>
      <c r="AI130" s="24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6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</row>
    <row r="131" spans="1:153" s="23" customFormat="1" ht="14.25" customHeight="1" x14ac:dyDescent="0.2">
      <c r="A131" s="20"/>
      <c r="B131" s="21"/>
      <c r="C131" s="22"/>
      <c r="D131" s="22"/>
      <c r="E131" s="22"/>
      <c r="G131" s="22"/>
      <c r="H131" s="22"/>
      <c r="I131" s="22"/>
      <c r="K131" s="22"/>
      <c r="L131" s="22"/>
      <c r="M131" s="22"/>
      <c r="O131" s="22"/>
      <c r="P131" s="22"/>
      <c r="Q131" s="22"/>
      <c r="S131" s="22"/>
      <c r="T131" s="22"/>
      <c r="U131" s="22"/>
      <c r="W131" s="22"/>
      <c r="X131" s="22"/>
      <c r="Y131" s="22"/>
      <c r="AA131" s="22"/>
      <c r="AB131" s="22"/>
      <c r="AC131" s="22"/>
      <c r="AD131" s="22"/>
      <c r="AE131" s="22"/>
      <c r="AF131" s="22"/>
      <c r="AH131" s="24"/>
      <c r="AI131" s="24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6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</row>
    <row r="132" spans="1:153" s="23" customFormat="1" ht="14.25" customHeight="1" x14ac:dyDescent="0.2">
      <c r="A132" s="20"/>
      <c r="B132" s="21"/>
      <c r="C132" s="22"/>
      <c r="D132" s="22"/>
      <c r="E132" s="22"/>
      <c r="G132" s="22"/>
      <c r="H132" s="22"/>
      <c r="I132" s="22"/>
      <c r="K132" s="22"/>
      <c r="L132" s="22"/>
      <c r="M132" s="22"/>
      <c r="O132" s="22"/>
      <c r="P132" s="22"/>
      <c r="Q132" s="22"/>
      <c r="S132" s="22"/>
      <c r="T132" s="22"/>
      <c r="U132" s="22"/>
      <c r="W132" s="22"/>
      <c r="X132" s="22"/>
      <c r="Y132" s="22"/>
      <c r="AA132" s="22"/>
      <c r="AB132" s="22"/>
      <c r="AC132" s="22"/>
      <c r="AD132" s="22"/>
      <c r="AE132" s="22"/>
      <c r="AF132" s="22"/>
      <c r="AH132" s="24"/>
      <c r="AI132" s="24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6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</row>
    <row r="133" spans="1:153" s="23" customFormat="1" ht="14.25" customHeight="1" x14ac:dyDescent="0.2">
      <c r="A133" s="20"/>
      <c r="B133" s="21"/>
      <c r="C133" s="22"/>
      <c r="D133" s="22"/>
      <c r="E133" s="22"/>
      <c r="G133" s="22"/>
      <c r="H133" s="22"/>
      <c r="I133" s="22"/>
      <c r="K133" s="22"/>
      <c r="L133" s="22"/>
      <c r="M133" s="22"/>
      <c r="O133" s="22"/>
      <c r="P133" s="22"/>
      <c r="Q133" s="22"/>
      <c r="S133" s="22"/>
      <c r="T133" s="22"/>
      <c r="U133" s="22"/>
      <c r="W133" s="22"/>
      <c r="X133" s="22"/>
      <c r="Y133" s="22"/>
      <c r="AA133" s="22"/>
      <c r="AB133" s="22"/>
      <c r="AC133" s="22"/>
      <c r="AD133" s="22"/>
      <c r="AE133" s="22"/>
      <c r="AF133" s="22"/>
      <c r="AH133" s="24"/>
      <c r="AI133" s="24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6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</row>
    <row r="134" spans="1:153" s="23" customFormat="1" ht="14.25" customHeight="1" x14ac:dyDescent="0.2">
      <c r="A134" s="20"/>
      <c r="B134" s="21"/>
      <c r="C134" s="22"/>
      <c r="D134" s="22"/>
      <c r="E134" s="22"/>
      <c r="G134" s="22"/>
      <c r="H134" s="22"/>
      <c r="I134" s="22"/>
      <c r="K134" s="22"/>
      <c r="L134" s="22"/>
      <c r="M134" s="22"/>
      <c r="O134" s="22"/>
      <c r="P134" s="22"/>
      <c r="Q134" s="22"/>
      <c r="S134" s="22"/>
      <c r="T134" s="22"/>
      <c r="U134" s="22"/>
      <c r="W134" s="22"/>
      <c r="X134" s="22"/>
      <c r="Y134" s="22"/>
      <c r="AA134" s="22"/>
      <c r="AB134" s="22"/>
      <c r="AC134" s="22"/>
      <c r="AD134" s="22"/>
      <c r="AE134" s="22"/>
      <c r="AF134" s="22"/>
      <c r="AH134" s="24"/>
      <c r="AI134" s="24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6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</row>
    <row r="135" spans="1:153" s="23" customFormat="1" ht="14.25" customHeight="1" x14ac:dyDescent="0.2">
      <c r="A135" s="20"/>
      <c r="B135" s="21"/>
      <c r="C135" s="22"/>
      <c r="D135" s="22"/>
      <c r="E135" s="22"/>
      <c r="G135" s="22"/>
      <c r="H135" s="22"/>
      <c r="I135" s="22"/>
      <c r="K135" s="22"/>
      <c r="L135" s="22"/>
      <c r="M135" s="22"/>
      <c r="O135" s="22"/>
      <c r="P135" s="22"/>
      <c r="Q135" s="22"/>
      <c r="S135" s="22"/>
      <c r="T135" s="22"/>
      <c r="U135" s="22"/>
      <c r="W135" s="22"/>
      <c r="X135" s="22"/>
      <c r="Y135" s="22"/>
      <c r="AA135" s="22"/>
      <c r="AB135" s="22"/>
      <c r="AC135" s="22"/>
      <c r="AD135" s="22"/>
      <c r="AE135" s="22"/>
      <c r="AF135" s="22"/>
      <c r="AH135" s="24"/>
      <c r="AI135" s="24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6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</row>
    <row r="136" spans="1:153" s="23" customFormat="1" ht="14.25" customHeight="1" x14ac:dyDescent="0.2">
      <c r="A136" s="20"/>
      <c r="B136" s="21"/>
      <c r="C136" s="22"/>
      <c r="D136" s="22"/>
      <c r="E136" s="22"/>
      <c r="G136" s="22"/>
      <c r="H136" s="22"/>
      <c r="I136" s="22"/>
      <c r="K136" s="22"/>
      <c r="L136" s="22"/>
      <c r="M136" s="22"/>
      <c r="O136" s="22"/>
      <c r="P136" s="22"/>
      <c r="Q136" s="22"/>
      <c r="S136" s="22"/>
      <c r="T136" s="22"/>
      <c r="U136" s="22"/>
      <c r="W136" s="22"/>
      <c r="X136" s="22"/>
      <c r="Y136" s="22"/>
      <c r="AA136" s="22"/>
      <c r="AB136" s="22"/>
      <c r="AC136" s="22"/>
      <c r="AD136" s="22"/>
      <c r="AE136" s="22"/>
      <c r="AF136" s="22"/>
      <c r="AH136" s="24"/>
      <c r="AI136" s="24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6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</row>
    <row r="137" spans="1:153" s="23" customFormat="1" ht="14.25" customHeight="1" x14ac:dyDescent="0.2">
      <c r="A137" s="20"/>
      <c r="B137" s="21"/>
      <c r="C137" s="22"/>
      <c r="D137" s="22"/>
      <c r="E137" s="22"/>
      <c r="G137" s="22"/>
      <c r="H137" s="22"/>
      <c r="I137" s="22"/>
      <c r="K137" s="22"/>
      <c r="L137" s="22"/>
      <c r="M137" s="22"/>
      <c r="O137" s="22"/>
      <c r="P137" s="22"/>
      <c r="Q137" s="22"/>
      <c r="S137" s="22"/>
      <c r="T137" s="22"/>
      <c r="U137" s="22"/>
      <c r="W137" s="22"/>
      <c r="X137" s="22"/>
      <c r="Y137" s="22"/>
      <c r="AA137" s="22"/>
      <c r="AB137" s="22"/>
      <c r="AC137" s="22"/>
      <c r="AD137" s="22"/>
      <c r="AE137" s="22"/>
      <c r="AF137" s="22"/>
      <c r="AH137" s="24"/>
      <c r="AI137" s="24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6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</row>
    <row r="138" spans="1:153" s="23" customFormat="1" ht="14.25" customHeight="1" x14ac:dyDescent="0.2">
      <c r="A138" s="20"/>
      <c r="B138" s="21"/>
      <c r="C138" s="22"/>
      <c r="D138" s="22"/>
      <c r="E138" s="22"/>
      <c r="G138" s="22"/>
      <c r="H138" s="22"/>
      <c r="I138" s="22"/>
      <c r="K138" s="22"/>
      <c r="L138" s="22"/>
      <c r="M138" s="22"/>
      <c r="O138" s="22"/>
      <c r="P138" s="22"/>
      <c r="Q138" s="22"/>
      <c r="S138" s="22"/>
      <c r="T138" s="22"/>
      <c r="U138" s="22"/>
      <c r="W138" s="22"/>
      <c r="X138" s="22"/>
      <c r="Y138" s="22"/>
      <c r="AA138" s="22"/>
      <c r="AB138" s="22"/>
      <c r="AC138" s="22"/>
      <c r="AD138" s="22"/>
      <c r="AE138" s="22"/>
      <c r="AF138" s="22"/>
      <c r="AH138" s="24"/>
      <c r="AI138" s="24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6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</row>
    <row r="139" spans="1:153" s="23" customFormat="1" ht="14.25" customHeight="1" x14ac:dyDescent="0.2">
      <c r="A139" s="20"/>
      <c r="B139" s="21"/>
      <c r="C139" s="22"/>
      <c r="D139" s="22"/>
      <c r="E139" s="22"/>
      <c r="G139" s="22"/>
      <c r="H139" s="22"/>
      <c r="I139" s="22"/>
      <c r="K139" s="22"/>
      <c r="L139" s="22"/>
      <c r="M139" s="22"/>
      <c r="O139" s="22"/>
      <c r="P139" s="22"/>
      <c r="Q139" s="22"/>
      <c r="S139" s="22"/>
      <c r="T139" s="22"/>
      <c r="U139" s="22"/>
      <c r="W139" s="22"/>
      <c r="X139" s="22"/>
      <c r="Y139" s="22"/>
      <c r="AA139" s="22"/>
      <c r="AB139" s="22"/>
      <c r="AC139" s="22"/>
      <c r="AD139" s="22"/>
      <c r="AE139" s="22"/>
      <c r="AF139" s="22"/>
      <c r="AH139" s="24"/>
      <c r="AI139" s="24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6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</row>
    <row r="140" spans="1:153" s="23" customFormat="1" ht="14.25" customHeight="1" x14ac:dyDescent="0.2">
      <c r="A140" s="20"/>
      <c r="B140" s="21"/>
      <c r="C140" s="22"/>
      <c r="D140" s="22"/>
      <c r="E140" s="22"/>
      <c r="G140" s="22"/>
      <c r="H140" s="22"/>
      <c r="I140" s="22"/>
      <c r="K140" s="22"/>
      <c r="L140" s="22"/>
      <c r="M140" s="22"/>
      <c r="O140" s="22"/>
      <c r="P140" s="22"/>
      <c r="Q140" s="22"/>
      <c r="S140" s="22"/>
      <c r="T140" s="22"/>
      <c r="U140" s="22"/>
      <c r="W140" s="22"/>
      <c r="X140" s="22"/>
      <c r="Y140" s="22"/>
      <c r="AA140" s="22"/>
      <c r="AB140" s="22"/>
      <c r="AC140" s="22"/>
      <c r="AD140" s="22"/>
      <c r="AE140" s="22"/>
      <c r="AF140" s="22"/>
      <c r="AH140" s="24"/>
      <c r="AI140" s="24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6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</row>
    <row r="141" spans="1:153" s="23" customFormat="1" ht="14.25" customHeight="1" x14ac:dyDescent="0.2">
      <c r="A141" s="20"/>
      <c r="B141" s="21"/>
      <c r="C141" s="22"/>
      <c r="D141" s="22"/>
      <c r="E141" s="22"/>
      <c r="G141" s="22"/>
      <c r="H141" s="22"/>
      <c r="I141" s="22"/>
      <c r="K141" s="22"/>
      <c r="L141" s="22"/>
      <c r="M141" s="22"/>
      <c r="O141" s="22"/>
      <c r="P141" s="22"/>
      <c r="Q141" s="22"/>
      <c r="S141" s="22"/>
      <c r="T141" s="22"/>
      <c r="U141" s="22"/>
      <c r="W141" s="22"/>
      <c r="X141" s="22"/>
      <c r="Y141" s="22"/>
      <c r="AA141" s="22"/>
      <c r="AB141" s="22"/>
      <c r="AC141" s="22"/>
      <c r="AD141" s="22"/>
      <c r="AE141" s="22"/>
      <c r="AF141" s="22"/>
      <c r="AH141" s="24"/>
      <c r="AI141" s="24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6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</row>
    <row r="142" spans="1:153" s="23" customFormat="1" ht="14.25" customHeight="1" x14ac:dyDescent="0.2">
      <c r="A142" s="20"/>
      <c r="B142" s="21"/>
      <c r="C142" s="22"/>
      <c r="D142" s="22"/>
      <c r="E142" s="22"/>
      <c r="G142" s="22"/>
      <c r="H142" s="22"/>
      <c r="I142" s="22"/>
      <c r="K142" s="22"/>
      <c r="L142" s="22"/>
      <c r="M142" s="22"/>
      <c r="O142" s="22"/>
      <c r="P142" s="22"/>
      <c r="Q142" s="22"/>
      <c r="S142" s="22"/>
      <c r="T142" s="22"/>
      <c r="U142" s="22"/>
      <c r="W142" s="22"/>
      <c r="X142" s="22"/>
      <c r="Y142" s="22"/>
      <c r="AA142" s="22"/>
      <c r="AB142" s="22"/>
      <c r="AC142" s="22"/>
      <c r="AD142" s="22"/>
      <c r="AE142" s="22"/>
      <c r="AF142" s="22"/>
      <c r="AH142" s="24"/>
      <c r="AI142" s="24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6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</row>
    <row r="143" spans="1:153" s="23" customFormat="1" ht="14.25" customHeight="1" x14ac:dyDescent="0.2">
      <c r="A143" s="20"/>
      <c r="B143" s="21"/>
      <c r="C143" s="22"/>
      <c r="D143" s="22"/>
      <c r="E143" s="22"/>
      <c r="G143" s="22"/>
      <c r="H143" s="22"/>
      <c r="I143" s="22"/>
      <c r="K143" s="22"/>
      <c r="L143" s="22"/>
      <c r="M143" s="22"/>
      <c r="O143" s="22"/>
      <c r="P143" s="22"/>
      <c r="Q143" s="22"/>
      <c r="S143" s="22"/>
      <c r="T143" s="22"/>
      <c r="U143" s="22"/>
      <c r="W143" s="22"/>
      <c r="X143" s="22"/>
      <c r="Y143" s="22"/>
      <c r="AA143" s="22"/>
      <c r="AB143" s="22"/>
      <c r="AC143" s="22"/>
      <c r="AD143" s="22"/>
      <c r="AE143" s="22"/>
      <c r="AF143" s="22"/>
      <c r="AH143" s="24"/>
      <c r="AI143" s="24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6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</row>
    <row r="144" spans="1:153" s="23" customFormat="1" ht="14.25" customHeight="1" x14ac:dyDescent="0.2">
      <c r="A144" s="20"/>
      <c r="B144" s="21"/>
      <c r="C144" s="22"/>
      <c r="D144" s="22"/>
      <c r="E144" s="22"/>
      <c r="G144" s="22"/>
      <c r="H144" s="22"/>
      <c r="I144" s="22"/>
      <c r="K144" s="22"/>
      <c r="L144" s="22"/>
      <c r="M144" s="22"/>
      <c r="O144" s="22"/>
      <c r="P144" s="22"/>
      <c r="Q144" s="22"/>
      <c r="S144" s="22"/>
      <c r="T144" s="22"/>
      <c r="U144" s="22"/>
      <c r="W144" s="22"/>
      <c r="X144" s="22"/>
      <c r="Y144" s="22"/>
      <c r="AA144" s="22"/>
      <c r="AB144" s="22"/>
      <c r="AC144" s="22"/>
      <c r="AD144" s="22"/>
      <c r="AE144" s="22"/>
      <c r="AF144" s="22"/>
      <c r="AH144" s="24"/>
      <c r="AI144" s="24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6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</row>
    <row r="145" spans="1:153" s="23" customFormat="1" ht="14.25" customHeight="1" x14ac:dyDescent="0.2">
      <c r="A145" s="20"/>
      <c r="B145" s="21"/>
      <c r="C145" s="22"/>
      <c r="D145" s="22"/>
      <c r="E145" s="22"/>
      <c r="G145" s="22"/>
      <c r="H145" s="22"/>
      <c r="I145" s="22"/>
      <c r="K145" s="22"/>
      <c r="L145" s="22"/>
      <c r="M145" s="22"/>
      <c r="O145" s="22"/>
      <c r="P145" s="22"/>
      <c r="Q145" s="22"/>
      <c r="S145" s="22"/>
      <c r="T145" s="22"/>
      <c r="U145" s="22"/>
      <c r="W145" s="22"/>
      <c r="X145" s="22"/>
      <c r="Y145" s="22"/>
      <c r="AA145" s="22"/>
      <c r="AB145" s="22"/>
      <c r="AC145" s="22"/>
      <c r="AD145" s="22"/>
      <c r="AE145" s="22"/>
      <c r="AF145" s="22"/>
      <c r="AH145" s="24"/>
      <c r="AI145" s="24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6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</row>
    <row r="146" spans="1:153" s="23" customFormat="1" ht="14.25" customHeight="1" x14ac:dyDescent="0.2">
      <c r="A146" s="20"/>
      <c r="B146" s="21"/>
      <c r="C146" s="22"/>
      <c r="D146" s="22"/>
      <c r="E146" s="22"/>
      <c r="G146" s="22"/>
      <c r="H146" s="22"/>
      <c r="I146" s="22"/>
      <c r="K146" s="22"/>
      <c r="L146" s="22"/>
      <c r="M146" s="22"/>
      <c r="O146" s="22"/>
      <c r="P146" s="22"/>
      <c r="Q146" s="22"/>
      <c r="S146" s="22"/>
      <c r="T146" s="22"/>
      <c r="U146" s="22"/>
      <c r="W146" s="22"/>
      <c r="X146" s="22"/>
      <c r="Y146" s="22"/>
      <c r="AA146" s="22"/>
      <c r="AB146" s="22"/>
      <c r="AC146" s="22"/>
      <c r="AD146" s="22"/>
      <c r="AE146" s="22"/>
      <c r="AF146" s="22"/>
      <c r="AH146" s="24"/>
      <c r="AI146" s="24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6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</row>
    <row r="147" spans="1:153" s="23" customFormat="1" ht="14.25" customHeight="1" x14ac:dyDescent="0.2">
      <c r="A147" s="20"/>
      <c r="B147" s="21"/>
      <c r="C147" s="22"/>
      <c r="D147" s="22"/>
      <c r="E147" s="22"/>
      <c r="G147" s="22"/>
      <c r="H147" s="22"/>
      <c r="I147" s="22"/>
      <c r="K147" s="22"/>
      <c r="L147" s="22"/>
      <c r="M147" s="22"/>
      <c r="O147" s="22"/>
      <c r="P147" s="22"/>
      <c r="Q147" s="22"/>
      <c r="S147" s="22"/>
      <c r="T147" s="22"/>
      <c r="U147" s="22"/>
      <c r="W147" s="22"/>
      <c r="X147" s="22"/>
      <c r="Y147" s="22"/>
      <c r="AA147" s="22"/>
      <c r="AB147" s="22"/>
      <c r="AC147" s="22"/>
      <c r="AD147" s="22"/>
      <c r="AE147" s="22"/>
      <c r="AF147" s="22"/>
      <c r="AH147" s="24"/>
      <c r="AI147" s="24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6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</row>
    <row r="148" spans="1:153" s="23" customFormat="1" ht="14.25" customHeight="1" x14ac:dyDescent="0.2">
      <c r="A148" s="20"/>
      <c r="B148" s="21"/>
      <c r="C148" s="22"/>
      <c r="D148" s="22"/>
      <c r="E148" s="22"/>
      <c r="G148" s="22"/>
      <c r="H148" s="22"/>
      <c r="I148" s="22"/>
      <c r="K148" s="22"/>
      <c r="L148" s="22"/>
      <c r="M148" s="22"/>
      <c r="O148" s="22"/>
      <c r="P148" s="22"/>
      <c r="Q148" s="22"/>
      <c r="S148" s="22"/>
      <c r="T148" s="22"/>
      <c r="U148" s="22"/>
      <c r="W148" s="22"/>
      <c r="X148" s="22"/>
      <c r="Y148" s="22"/>
      <c r="AA148" s="22"/>
      <c r="AB148" s="22"/>
      <c r="AC148" s="22"/>
      <c r="AD148" s="22"/>
      <c r="AE148" s="22"/>
      <c r="AF148" s="22"/>
      <c r="AH148" s="24"/>
      <c r="AI148" s="24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6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</row>
    <row r="149" spans="1:153" s="23" customFormat="1" ht="14.25" customHeight="1" x14ac:dyDescent="0.2">
      <c r="A149" s="20"/>
      <c r="B149" s="21"/>
      <c r="C149" s="22"/>
      <c r="D149" s="22"/>
      <c r="E149" s="22"/>
      <c r="G149" s="22"/>
      <c r="H149" s="22"/>
      <c r="I149" s="22"/>
      <c r="K149" s="22"/>
      <c r="L149" s="22"/>
      <c r="M149" s="22"/>
      <c r="O149" s="22"/>
      <c r="P149" s="22"/>
      <c r="Q149" s="22"/>
      <c r="S149" s="22"/>
      <c r="T149" s="22"/>
      <c r="U149" s="22"/>
      <c r="W149" s="22"/>
      <c r="X149" s="22"/>
      <c r="Y149" s="22"/>
      <c r="AA149" s="22"/>
      <c r="AB149" s="22"/>
      <c r="AC149" s="22"/>
      <c r="AD149" s="22"/>
      <c r="AE149" s="22"/>
      <c r="AF149" s="22"/>
      <c r="AH149" s="24"/>
      <c r="AI149" s="24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6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</row>
    <row r="150" spans="1:153" s="23" customFormat="1" ht="14.25" customHeight="1" x14ac:dyDescent="0.2">
      <c r="A150" s="20"/>
      <c r="B150" s="21"/>
      <c r="C150" s="22"/>
      <c r="D150" s="22"/>
      <c r="E150" s="22"/>
      <c r="G150" s="22"/>
      <c r="H150" s="22"/>
      <c r="I150" s="22"/>
      <c r="K150" s="22"/>
      <c r="L150" s="22"/>
      <c r="M150" s="22"/>
      <c r="O150" s="22"/>
      <c r="P150" s="22"/>
      <c r="Q150" s="22"/>
      <c r="S150" s="22"/>
      <c r="T150" s="22"/>
      <c r="U150" s="22"/>
      <c r="W150" s="22"/>
      <c r="X150" s="22"/>
      <c r="Y150" s="22"/>
      <c r="AA150" s="22"/>
      <c r="AB150" s="22"/>
      <c r="AC150" s="22"/>
      <c r="AD150" s="22"/>
      <c r="AE150" s="22"/>
      <c r="AF150" s="22"/>
      <c r="AH150" s="24"/>
      <c r="AI150" s="24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6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</row>
    <row r="151" spans="1:153" s="23" customFormat="1" ht="14.25" customHeight="1" x14ac:dyDescent="0.2">
      <c r="A151" s="20"/>
      <c r="B151" s="21"/>
      <c r="C151" s="22"/>
      <c r="D151" s="22"/>
      <c r="E151" s="22"/>
      <c r="G151" s="22"/>
      <c r="H151" s="22"/>
      <c r="I151" s="22"/>
      <c r="K151" s="22"/>
      <c r="L151" s="22"/>
      <c r="M151" s="22"/>
      <c r="O151" s="22"/>
      <c r="P151" s="22"/>
      <c r="Q151" s="22"/>
      <c r="S151" s="22"/>
      <c r="T151" s="22"/>
      <c r="U151" s="22"/>
      <c r="W151" s="22"/>
      <c r="X151" s="22"/>
      <c r="Y151" s="22"/>
      <c r="AA151" s="22"/>
      <c r="AB151" s="22"/>
      <c r="AC151" s="22"/>
      <c r="AD151" s="22"/>
      <c r="AE151" s="22"/>
      <c r="AF151" s="22"/>
      <c r="AH151" s="24"/>
      <c r="AI151" s="24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6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</row>
    <row r="152" spans="1:153" s="23" customFormat="1" ht="14.25" customHeight="1" x14ac:dyDescent="0.2">
      <c r="A152" s="20"/>
      <c r="B152" s="21"/>
      <c r="C152" s="22"/>
      <c r="D152" s="22"/>
      <c r="E152" s="22"/>
      <c r="G152" s="22"/>
      <c r="H152" s="22"/>
      <c r="I152" s="22"/>
      <c r="K152" s="22"/>
      <c r="L152" s="22"/>
      <c r="M152" s="22"/>
      <c r="O152" s="22"/>
      <c r="P152" s="22"/>
      <c r="Q152" s="22"/>
      <c r="S152" s="22"/>
      <c r="T152" s="22"/>
      <c r="U152" s="22"/>
      <c r="W152" s="22"/>
      <c r="X152" s="22"/>
      <c r="Y152" s="22"/>
      <c r="AA152" s="22"/>
      <c r="AB152" s="22"/>
      <c r="AC152" s="22"/>
      <c r="AD152" s="22"/>
      <c r="AE152" s="22"/>
      <c r="AF152" s="22"/>
      <c r="AH152" s="24"/>
      <c r="AI152" s="24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6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</row>
    <row r="153" spans="1:153" s="23" customFormat="1" ht="14.25" customHeight="1" x14ac:dyDescent="0.2">
      <c r="A153" s="20"/>
      <c r="B153" s="21"/>
      <c r="C153" s="22"/>
      <c r="D153" s="22"/>
      <c r="E153" s="22"/>
      <c r="G153" s="22"/>
      <c r="H153" s="22"/>
      <c r="I153" s="22"/>
      <c r="K153" s="22"/>
      <c r="L153" s="22"/>
      <c r="M153" s="22"/>
      <c r="O153" s="22"/>
      <c r="P153" s="22"/>
      <c r="Q153" s="22"/>
      <c r="S153" s="22"/>
      <c r="T153" s="22"/>
      <c r="U153" s="22"/>
      <c r="W153" s="22"/>
      <c r="X153" s="22"/>
      <c r="Y153" s="22"/>
      <c r="AA153" s="22"/>
      <c r="AB153" s="22"/>
      <c r="AC153" s="22"/>
      <c r="AD153" s="22"/>
      <c r="AE153" s="22"/>
      <c r="AF153" s="22"/>
      <c r="AH153" s="24"/>
      <c r="AI153" s="24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6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</row>
    <row r="154" spans="1:153" s="23" customFormat="1" ht="14.25" customHeight="1" x14ac:dyDescent="0.2">
      <c r="A154" s="20"/>
      <c r="B154" s="21"/>
      <c r="C154" s="22"/>
      <c r="D154" s="22"/>
      <c r="E154" s="22"/>
      <c r="G154" s="22"/>
      <c r="H154" s="22"/>
      <c r="I154" s="22"/>
      <c r="K154" s="22"/>
      <c r="L154" s="22"/>
      <c r="M154" s="22"/>
      <c r="O154" s="22"/>
      <c r="P154" s="22"/>
      <c r="Q154" s="22"/>
      <c r="S154" s="22"/>
      <c r="T154" s="22"/>
      <c r="U154" s="22"/>
      <c r="W154" s="22"/>
      <c r="X154" s="22"/>
      <c r="Y154" s="22"/>
      <c r="AA154" s="22"/>
      <c r="AB154" s="22"/>
      <c r="AC154" s="22"/>
      <c r="AD154" s="22"/>
      <c r="AE154" s="22"/>
      <c r="AF154" s="22"/>
      <c r="AH154" s="24"/>
      <c r="AI154" s="24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6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</row>
    <row r="155" spans="1:153" s="23" customFormat="1" ht="14.25" customHeight="1" x14ac:dyDescent="0.2">
      <c r="A155" s="20"/>
      <c r="B155" s="21"/>
      <c r="C155" s="22"/>
      <c r="D155" s="22"/>
      <c r="E155" s="22"/>
      <c r="G155" s="22"/>
      <c r="H155" s="22"/>
      <c r="I155" s="22"/>
      <c r="K155" s="22"/>
      <c r="L155" s="22"/>
      <c r="M155" s="22"/>
      <c r="O155" s="22"/>
      <c r="P155" s="22"/>
      <c r="Q155" s="22"/>
      <c r="S155" s="22"/>
      <c r="T155" s="22"/>
      <c r="U155" s="22"/>
      <c r="W155" s="22"/>
      <c r="X155" s="22"/>
      <c r="Y155" s="22"/>
      <c r="AA155" s="22"/>
      <c r="AB155" s="22"/>
      <c r="AC155" s="22"/>
      <c r="AD155" s="22"/>
      <c r="AE155" s="22"/>
      <c r="AF155" s="22"/>
      <c r="AH155" s="24"/>
      <c r="AI155" s="24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6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</row>
    <row r="156" spans="1:153" s="23" customFormat="1" ht="14.25" customHeight="1" x14ac:dyDescent="0.2">
      <c r="A156" s="20"/>
      <c r="B156" s="21"/>
      <c r="C156" s="22"/>
      <c r="D156" s="22"/>
      <c r="E156" s="22"/>
      <c r="G156" s="22"/>
      <c r="H156" s="22"/>
      <c r="I156" s="22"/>
      <c r="K156" s="22"/>
      <c r="L156" s="22"/>
      <c r="M156" s="22"/>
      <c r="O156" s="22"/>
      <c r="P156" s="22"/>
      <c r="Q156" s="22"/>
      <c r="S156" s="22"/>
      <c r="T156" s="22"/>
      <c r="U156" s="22"/>
      <c r="W156" s="22"/>
      <c r="X156" s="22"/>
      <c r="Y156" s="22"/>
      <c r="AA156" s="22"/>
      <c r="AB156" s="22"/>
      <c r="AC156" s="22"/>
      <c r="AD156" s="22"/>
      <c r="AE156" s="22"/>
      <c r="AF156" s="22"/>
      <c r="AH156" s="24"/>
      <c r="AI156" s="24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6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</row>
    <row r="157" spans="1:153" s="23" customFormat="1" ht="14.25" customHeight="1" x14ac:dyDescent="0.2">
      <c r="A157" s="20"/>
      <c r="B157" s="21"/>
      <c r="C157" s="22"/>
      <c r="D157" s="22"/>
      <c r="E157" s="22"/>
      <c r="G157" s="22"/>
      <c r="H157" s="22"/>
      <c r="I157" s="22"/>
      <c r="K157" s="22"/>
      <c r="L157" s="22"/>
      <c r="M157" s="22"/>
      <c r="O157" s="22"/>
      <c r="P157" s="22"/>
      <c r="Q157" s="22"/>
      <c r="S157" s="22"/>
      <c r="T157" s="22"/>
      <c r="U157" s="22"/>
      <c r="W157" s="22"/>
      <c r="X157" s="22"/>
      <c r="Y157" s="22"/>
      <c r="AA157" s="22"/>
      <c r="AB157" s="22"/>
      <c r="AC157" s="22"/>
      <c r="AD157" s="22"/>
      <c r="AE157" s="22"/>
      <c r="AF157" s="22"/>
      <c r="AH157" s="24"/>
      <c r="AI157" s="24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6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</row>
    <row r="158" spans="1:153" s="23" customFormat="1" ht="14.25" customHeight="1" x14ac:dyDescent="0.2">
      <c r="A158" s="20"/>
      <c r="B158" s="21"/>
      <c r="C158" s="22"/>
      <c r="D158" s="22"/>
      <c r="E158" s="22"/>
      <c r="G158" s="22"/>
      <c r="H158" s="22"/>
      <c r="I158" s="22"/>
      <c r="K158" s="22"/>
      <c r="L158" s="22"/>
      <c r="M158" s="22"/>
      <c r="O158" s="22"/>
      <c r="P158" s="22"/>
      <c r="Q158" s="22"/>
      <c r="S158" s="22"/>
      <c r="T158" s="22"/>
      <c r="U158" s="22"/>
      <c r="W158" s="22"/>
      <c r="X158" s="22"/>
      <c r="Y158" s="22"/>
      <c r="AA158" s="22"/>
      <c r="AB158" s="22"/>
      <c r="AC158" s="22"/>
      <c r="AD158" s="22"/>
      <c r="AE158" s="22"/>
      <c r="AF158" s="22"/>
      <c r="AH158" s="24"/>
      <c r="AI158" s="24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6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</row>
    <row r="159" spans="1:153" s="23" customFormat="1" ht="14.25" customHeight="1" x14ac:dyDescent="0.2">
      <c r="A159" s="20"/>
      <c r="B159" s="21"/>
      <c r="C159" s="22"/>
      <c r="D159" s="22"/>
      <c r="E159" s="22"/>
      <c r="G159" s="22"/>
      <c r="H159" s="22"/>
      <c r="I159" s="22"/>
      <c r="K159" s="22"/>
      <c r="L159" s="22"/>
      <c r="M159" s="22"/>
      <c r="O159" s="22"/>
      <c r="P159" s="22"/>
      <c r="Q159" s="22"/>
      <c r="S159" s="22"/>
      <c r="T159" s="22"/>
      <c r="U159" s="22"/>
      <c r="W159" s="22"/>
      <c r="X159" s="22"/>
      <c r="Y159" s="22"/>
      <c r="AA159" s="22"/>
      <c r="AB159" s="22"/>
      <c r="AC159" s="22"/>
      <c r="AD159" s="22"/>
      <c r="AE159" s="22"/>
      <c r="AF159" s="22"/>
      <c r="AH159" s="24"/>
      <c r="AI159" s="24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6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</row>
    <row r="160" spans="1:153" s="23" customFormat="1" ht="14.25" customHeight="1" x14ac:dyDescent="0.2">
      <c r="A160" s="20"/>
      <c r="B160" s="21"/>
      <c r="C160" s="22"/>
      <c r="D160" s="22"/>
      <c r="E160" s="22"/>
      <c r="G160" s="22"/>
      <c r="H160" s="22"/>
      <c r="I160" s="22"/>
      <c r="K160" s="22"/>
      <c r="L160" s="22"/>
      <c r="M160" s="22"/>
      <c r="O160" s="22"/>
      <c r="P160" s="22"/>
      <c r="Q160" s="22"/>
      <c r="S160" s="22"/>
      <c r="T160" s="22"/>
      <c r="U160" s="22"/>
      <c r="W160" s="22"/>
      <c r="X160" s="22"/>
      <c r="Y160" s="22"/>
      <c r="AA160" s="22"/>
      <c r="AB160" s="22"/>
      <c r="AC160" s="22"/>
      <c r="AD160" s="22"/>
      <c r="AE160" s="22"/>
      <c r="AF160" s="22"/>
      <c r="AH160" s="24"/>
      <c r="AI160" s="24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6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</row>
    <row r="161" spans="1:153" s="23" customFormat="1" ht="14.25" customHeight="1" x14ac:dyDescent="0.2">
      <c r="A161" s="20"/>
      <c r="B161" s="21"/>
      <c r="C161" s="22"/>
      <c r="D161" s="22"/>
      <c r="E161" s="22"/>
      <c r="G161" s="22"/>
      <c r="H161" s="22"/>
      <c r="I161" s="22"/>
      <c r="K161" s="22"/>
      <c r="L161" s="22"/>
      <c r="M161" s="22"/>
      <c r="O161" s="22"/>
      <c r="P161" s="22"/>
      <c r="Q161" s="22"/>
      <c r="S161" s="22"/>
      <c r="T161" s="22"/>
      <c r="U161" s="22"/>
      <c r="W161" s="22"/>
      <c r="X161" s="22"/>
      <c r="Y161" s="22"/>
      <c r="AA161" s="22"/>
      <c r="AB161" s="22"/>
      <c r="AC161" s="22"/>
      <c r="AD161" s="22"/>
      <c r="AE161" s="22"/>
      <c r="AF161" s="22"/>
      <c r="AH161" s="24"/>
      <c r="AI161" s="24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6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</row>
    <row r="162" spans="1:153" s="23" customFormat="1" ht="14.25" customHeight="1" x14ac:dyDescent="0.2">
      <c r="A162" s="20"/>
      <c r="B162" s="21"/>
      <c r="C162" s="22"/>
      <c r="D162" s="22"/>
      <c r="E162" s="22"/>
      <c r="G162" s="22"/>
      <c r="H162" s="22"/>
      <c r="I162" s="22"/>
      <c r="K162" s="22"/>
      <c r="L162" s="22"/>
      <c r="M162" s="22"/>
      <c r="O162" s="22"/>
      <c r="P162" s="22"/>
      <c r="Q162" s="22"/>
      <c r="S162" s="22"/>
      <c r="T162" s="22"/>
      <c r="U162" s="22"/>
      <c r="W162" s="22"/>
      <c r="X162" s="22"/>
      <c r="Y162" s="22"/>
      <c r="AA162" s="22"/>
      <c r="AB162" s="22"/>
      <c r="AC162" s="22"/>
      <c r="AD162" s="22"/>
      <c r="AE162" s="22"/>
      <c r="AF162" s="22"/>
      <c r="AH162" s="24"/>
      <c r="AI162" s="24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6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</row>
    <row r="163" spans="1:153" s="23" customFormat="1" ht="14.25" customHeight="1" x14ac:dyDescent="0.2">
      <c r="A163" s="20"/>
      <c r="B163" s="21"/>
      <c r="C163" s="22"/>
      <c r="D163" s="22"/>
      <c r="E163" s="22"/>
      <c r="G163" s="22"/>
      <c r="H163" s="22"/>
      <c r="I163" s="22"/>
      <c r="K163" s="22"/>
      <c r="L163" s="22"/>
      <c r="M163" s="22"/>
      <c r="O163" s="22"/>
      <c r="P163" s="22"/>
      <c r="Q163" s="22"/>
      <c r="S163" s="22"/>
      <c r="T163" s="22"/>
      <c r="U163" s="22"/>
      <c r="W163" s="22"/>
      <c r="X163" s="22"/>
      <c r="Y163" s="22"/>
      <c r="AA163" s="22"/>
      <c r="AB163" s="22"/>
      <c r="AC163" s="22"/>
      <c r="AD163" s="22"/>
      <c r="AE163" s="22"/>
      <c r="AF163" s="22"/>
      <c r="AH163" s="24"/>
      <c r="AI163" s="24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6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</row>
    <row r="164" spans="1:153" s="23" customFormat="1" ht="14.25" customHeight="1" x14ac:dyDescent="0.2">
      <c r="A164" s="20"/>
      <c r="B164" s="21"/>
      <c r="C164" s="22"/>
      <c r="D164" s="22"/>
      <c r="E164" s="22"/>
      <c r="G164" s="22"/>
      <c r="H164" s="22"/>
      <c r="I164" s="22"/>
      <c r="K164" s="22"/>
      <c r="L164" s="22"/>
      <c r="M164" s="22"/>
      <c r="O164" s="22"/>
      <c r="P164" s="22"/>
      <c r="Q164" s="22"/>
      <c r="S164" s="22"/>
      <c r="T164" s="22"/>
      <c r="U164" s="22"/>
      <c r="W164" s="22"/>
      <c r="X164" s="22"/>
      <c r="Y164" s="22"/>
      <c r="AA164" s="22"/>
      <c r="AB164" s="22"/>
      <c r="AC164" s="22"/>
      <c r="AD164" s="22"/>
      <c r="AE164" s="22"/>
      <c r="AF164" s="22"/>
      <c r="AH164" s="24"/>
      <c r="AI164" s="24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6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</row>
    <row r="165" spans="1:153" s="23" customFormat="1" ht="14.25" customHeight="1" x14ac:dyDescent="0.2">
      <c r="A165" s="20"/>
      <c r="B165" s="21"/>
      <c r="C165" s="22"/>
      <c r="D165" s="22"/>
      <c r="E165" s="22"/>
      <c r="G165" s="22"/>
      <c r="H165" s="22"/>
      <c r="I165" s="22"/>
      <c r="K165" s="22"/>
      <c r="L165" s="22"/>
      <c r="M165" s="22"/>
      <c r="O165" s="22"/>
      <c r="P165" s="22"/>
      <c r="Q165" s="22"/>
      <c r="S165" s="22"/>
      <c r="T165" s="22"/>
      <c r="U165" s="22"/>
      <c r="W165" s="22"/>
      <c r="X165" s="22"/>
      <c r="Y165" s="22"/>
      <c r="AA165" s="22"/>
      <c r="AB165" s="22"/>
      <c r="AC165" s="22"/>
      <c r="AD165" s="22"/>
      <c r="AE165" s="22"/>
      <c r="AF165" s="22"/>
      <c r="AH165" s="24"/>
      <c r="AI165" s="24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6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</row>
    <row r="166" spans="1:153" s="23" customFormat="1" ht="14.25" customHeight="1" x14ac:dyDescent="0.2">
      <c r="A166" s="20"/>
      <c r="B166" s="21"/>
      <c r="C166" s="22"/>
      <c r="D166" s="22"/>
      <c r="E166" s="22"/>
      <c r="G166" s="22"/>
      <c r="H166" s="22"/>
      <c r="I166" s="22"/>
      <c r="K166" s="22"/>
      <c r="L166" s="22"/>
      <c r="M166" s="22"/>
      <c r="O166" s="22"/>
      <c r="P166" s="22"/>
      <c r="Q166" s="22"/>
      <c r="S166" s="22"/>
      <c r="T166" s="22"/>
      <c r="U166" s="22"/>
      <c r="W166" s="22"/>
      <c r="X166" s="22"/>
      <c r="Y166" s="22"/>
      <c r="AA166" s="22"/>
      <c r="AB166" s="22"/>
      <c r="AC166" s="22"/>
      <c r="AD166" s="22"/>
      <c r="AE166" s="22"/>
      <c r="AF166" s="22"/>
      <c r="AH166" s="24"/>
      <c r="AI166" s="24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6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</row>
    <row r="167" spans="1:153" s="23" customFormat="1" ht="14.25" customHeight="1" x14ac:dyDescent="0.2">
      <c r="A167" s="20"/>
      <c r="B167" s="21"/>
      <c r="C167" s="22"/>
      <c r="D167" s="22"/>
      <c r="E167" s="22"/>
      <c r="G167" s="22"/>
      <c r="H167" s="22"/>
      <c r="I167" s="22"/>
      <c r="K167" s="22"/>
      <c r="L167" s="22"/>
      <c r="M167" s="22"/>
      <c r="O167" s="22"/>
      <c r="P167" s="22"/>
      <c r="Q167" s="22"/>
      <c r="S167" s="22"/>
      <c r="T167" s="22"/>
      <c r="U167" s="22"/>
      <c r="W167" s="22"/>
      <c r="X167" s="22"/>
      <c r="Y167" s="22"/>
      <c r="AA167" s="22"/>
      <c r="AB167" s="22"/>
      <c r="AC167" s="22"/>
      <c r="AD167" s="22"/>
      <c r="AE167" s="22"/>
      <c r="AF167" s="22"/>
      <c r="AH167" s="24"/>
      <c r="AI167" s="24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6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</row>
    <row r="168" spans="1:153" s="23" customFormat="1" ht="14.25" customHeight="1" x14ac:dyDescent="0.2">
      <c r="A168" s="20"/>
      <c r="B168" s="21"/>
      <c r="C168" s="22"/>
      <c r="D168" s="22"/>
      <c r="E168" s="22"/>
      <c r="G168" s="22"/>
      <c r="H168" s="22"/>
      <c r="I168" s="22"/>
      <c r="K168" s="22"/>
      <c r="L168" s="22"/>
      <c r="M168" s="22"/>
      <c r="O168" s="22"/>
      <c r="P168" s="22"/>
      <c r="Q168" s="22"/>
      <c r="S168" s="22"/>
      <c r="T168" s="22"/>
      <c r="U168" s="22"/>
      <c r="W168" s="22"/>
      <c r="X168" s="22"/>
      <c r="Y168" s="22"/>
      <c r="AA168" s="22"/>
      <c r="AB168" s="22"/>
      <c r="AC168" s="22"/>
      <c r="AD168" s="22"/>
      <c r="AE168" s="22"/>
      <c r="AF168" s="22"/>
      <c r="AH168" s="24"/>
      <c r="AI168" s="24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6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</row>
    <row r="169" spans="1:153" s="23" customFormat="1" ht="14.25" customHeight="1" x14ac:dyDescent="0.2">
      <c r="A169" s="20"/>
      <c r="B169" s="21"/>
      <c r="C169" s="22"/>
      <c r="D169" s="22"/>
      <c r="E169" s="22"/>
      <c r="G169" s="22"/>
      <c r="H169" s="22"/>
      <c r="I169" s="22"/>
      <c r="K169" s="22"/>
      <c r="L169" s="22"/>
      <c r="M169" s="22"/>
      <c r="O169" s="22"/>
      <c r="P169" s="22"/>
      <c r="Q169" s="22"/>
      <c r="S169" s="22"/>
      <c r="T169" s="22"/>
      <c r="U169" s="22"/>
      <c r="W169" s="22"/>
      <c r="X169" s="22"/>
      <c r="Y169" s="22"/>
      <c r="AA169" s="22"/>
      <c r="AB169" s="22"/>
      <c r="AC169" s="22"/>
      <c r="AD169" s="22"/>
      <c r="AE169" s="22"/>
      <c r="AF169" s="22"/>
      <c r="AH169" s="24"/>
      <c r="AI169" s="24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6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</row>
    <row r="170" spans="1:153" s="23" customFormat="1" ht="14.25" customHeight="1" x14ac:dyDescent="0.2">
      <c r="A170" s="20"/>
      <c r="B170" s="21"/>
      <c r="C170" s="22"/>
      <c r="D170" s="22"/>
      <c r="E170" s="22"/>
      <c r="G170" s="22"/>
      <c r="H170" s="22"/>
      <c r="I170" s="22"/>
      <c r="K170" s="22"/>
      <c r="L170" s="22"/>
      <c r="M170" s="22"/>
      <c r="O170" s="22"/>
      <c r="P170" s="22"/>
      <c r="Q170" s="22"/>
      <c r="S170" s="22"/>
      <c r="T170" s="22"/>
      <c r="U170" s="22"/>
      <c r="W170" s="22"/>
      <c r="X170" s="22"/>
      <c r="Y170" s="22"/>
      <c r="AA170" s="22"/>
      <c r="AB170" s="22"/>
      <c r="AC170" s="22"/>
      <c r="AD170" s="22"/>
      <c r="AE170" s="22"/>
      <c r="AF170" s="22"/>
      <c r="AH170" s="24"/>
      <c r="AI170" s="24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6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</row>
    <row r="171" spans="1:153" s="23" customFormat="1" ht="14.25" customHeight="1" x14ac:dyDescent="0.2">
      <c r="A171" s="20"/>
      <c r="B171" s="21"/>
      <c r="C171" s="22"/>
      <c r="D171" s="22"/>
      <c r="E171" s="22"/>
      <c r="G171" s="22"/>
      <c r="H171" s="22"/>
      <c r="I171" s="22"/>
      <c r="K171" s="22"/>
      <c r="L171" s="22"/>
      <c r="M171" s="22"/>
      <c r="O171" s="22"/>
      <c r="P171" s="22"/>
      <c r="Q171" s="22"/>
      <c r="S171" s="22"/>
      <c r="T171" s="22"/>
      <c r="U171" s="22"/>
      <c r="W171" s="22"/>
      <c r="X171" s="22"/>
      <c r="Y171" s="22"/>
      <c r="AA171" s="22"/>
      <c r="AB171" s="22"/>
      <c r="AC171" s="22"/>
      <c r="AD171" s="22"/>
      <c r="AE171" s="22"/>
      <c r="AF171" s="22"/>
      <c r="AH171" s="24"/>
      <c r="AI171" s="24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6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</row>
    <row r="172" spans="1:153" s="23" customFormat="1" ht="14.25" customHeight="1" x14ac:dyDescent="0.2">
      <c r="A172" s="20"/>
      <c r="B172" s="21"/>
      <c r="C172" s="22"/>
      <c r="D172" s="22"/>
      <c r="E172" s="22"/>
      <c r="G172" s="22"/>
      <c r="H172" s="22"/>
      <c r="I172" s="22"/>
      <c r="K172" s="22"/>
      <c r="L172" s="22"/>
      <c r="M172" s="22"/>
      <c r="O172" s="22"/>
      <c r="P172" s="22"/>
      <c r="Q172" s="22"/>
      <c r="S172" s="22"/>
      <c r="T172" s="22"/>
      <c r="U172" s="22"/>
      <c r="W172" s="22"/>
      <c r="X172" s="22"/>
      <c r="Y172" s="22"/>
      <c r="AA172" s="22"/>
      <c r="AB172" s="22"/>
      <c r="AC172" s="22"/>
      <c r="AD172" s="22"/>
      <c r="AE172" s="22"/>
      <c r="AF172" s="22"/>
      <c r="AH172" s="24"/>
      <c r="AI172" s="24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6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</row>
    <row r="173" spans="1:153" s="23" customFormat="1" ht="14.25" customHeight="1" x14ac:dyDescent="0.2">
      <c r="A173" s="20"/>
      <c r="B173" s="21"/>
      <c r="C173" s="22"/>
      <c r="D173" s="22"/>
      <c r="E173" s="22"/>
      <c r="G173" s="22"/>
      <c r="H173" s="22"/>
      <c r="I173" s="22"/>
      <c r="K173" s="22"/>
      <c r="L173" s="22"/>
      <c r="M173" s="22"/>
      <c r="O173" s="22"/>
      <c r="P173" s="22"/>
      <c r="Q173" s="22"/>
      <c r="S173" s="22"/>
      <c r="T173" s="22"/>
      <c r="U173" s="22"/>
      <c r="W173" s="22"/>
      <c r="X173" s="22"/>
      <c r="Y173" s="22"/>
      <c r="AA173" s="22"/>
      <c r="AB173" s="22"/>
      <c r="AC173" s="22"/>
      <c r="AD173" s="22"/>
      <c r="AE173" s="22"/>
      <c r="AF173" s="22"/>
      <c r="AH173" s="24"/>
      <c r="AI173" s="24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6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</row>
    <row r="174" spans="1:153" s="23" customFormat="1" ht="14.25" customHeight="1" x14ac:dyDescent="0.2">
      <c r="A174" s="20"/>
      <c r="B174" s="21"/>
      <c r="C174" s="22"/>
      <c r="D174" s="22"/>
      <c r="E174" s="22"/>
      <c r="G174" s="22"/>
      <c r="H174" s="22"/>
      <c r="I174" s="22"/>
      <c r="K174" s="22"/>
      <c r="L174" s="22"/>
      <c r="M174" s="22"/>
      <c r="O174" s="22"/>
      <c r="P174" s="22"/>
      <c r="Q174" s="22"/>
      <c r="S174" s="22"/>
      <c r="T174" s="22"/>
      <c r="U174" s="22"/>
      <c r="W174" s="22"/>
      <c r="X174" s="22"/>
      <c r="Y174" s="22"/>
      <c r="AA174" s="22"/>
      <c r="AB174" s="22"/>
      <c r="AC174" s="22"/>
      <c r="AD174" s="22"/>
      <c r="AE174" s="22"/>
      <c r="AF174" s="22"/>
      <c r="AH174" s="24"/>
      <c r="AI174" s="24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6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</row>
    <row r="175" spans="1:153" s="23" customFormat="1" ht="14.25" customHeight="1" x14ac:dyDescent="0.2">
      <c r="A175" s="20"/>
      <c r="B175" s="21"/>
      <c r="C175" s="22"/>
      <c r="D175" s="22"/>
      <c r="E175" s="22"/>
      <c r="G175" s="22"/>
      <c r="H175" s="22"/>
      <c r="I175" s="22"/>
      <c r="K175" s="22"/>
      <c r="L175" s="22"/>
      <c r="M175" s="22"/>
      <c r="O175" s="22"/>
      <c r="P175" s="22"/>
      <c r="Q175" s="22"/>
      <c r="S175" s="22"/>
      <c r="T175" s="22"/>
      <c r="U175" s="22"/>
      <c r="W175" s="22"/>
      <c r="X175" s="22"/>
      <c r="Y175" s="22"/>
      <c r="AA175" s="22"/>
      <c r="AB175" s="22"/>
      <c r="AC175" s="22"/>
      <c r="AD175" s="22"/>
      <c r="AE175" s="22"/>
      <c r="AF175" s="22"/>
      <c r="AH175" s="24"/>
      <c r="AI175" s="24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6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</row>
    <row r="176" spans="1:153" s="23" customFormat="1" ht="14.25" customHeight="1" x14ac:dyDescent="0.2">
      <c r="A176" s="20"/>
      <c r="B176" s="21"/>
      <c r="C176" s="22"/>
      <c r="D176" s="22"/>
      <c r="E176" s="22"/>
      <c r="G176" s="22"/>
      <c r="H176" s="22"/>
      <c r="I176" s="22"/>
      <c r="K176" s="22"/>
      <c r="L176" s="22"/>
      <c r="M176" s="22"/>
      <c r="O176" s="22"/>
      <c r="P176" s="22"/>
      <c r="Q176" s="22"/>
      <c r="S176" s="22"/>
      <c r="T176" s="22"/>
      <c r="U176" s="22"/>
      <c r="W176" s="22"/>
      <c r="X176" s="22"/>
      <c r="Y176" s="22"/>
      <c r="AA176" s="22"/>
      <c r="AB176" s="22"/>
      <c r="AC176" s="22"/>
      <c r="AD176" s="22"/>
      <c r="AE176" s="22"/>
      <c r="AF176" s="22"/>
      <c r="AH176" s="24"/>
      <c r="AI176" s="24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6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</row>
    <row r="177" spans="1:153" s="23" customFormat="1" ht="14.25" customHeight="1" x14ac:dyDescent="0.2">
      <c r="A177" s="20"/>
      <c r="B177" s="21"/>
      <c r="C177" s="22"/>
      <c r="D177" s="22"/>
      <c r="E177" s="22"/>
      <c r="G177" s="22"/>
      <c r="H177" s="22"/>
      <c r="I177" s="22"/>
      <c r="K177" s="22"/>
      <c r="L177" s="22"/>
      <c r="M177" s="22"/>
      <c r="O177" s="22"/>
      <c r="P177" s="22"/>
      <c r="Q177" s="22"/>
      <c r="S177" s="22"/>
      <c r="T177" s="22"/>
      <c r="U177" s="22"/>
      <c r="W177" s="22"/>
      <c r="X177" s="22"/>
      <c r="Y177" s="22"/>
      <c r="AA177" s="22"/>
      <c r="AB177" s="22"/>
      <c r="AC177" s="22"/>
      <c r="AD177" s="22"/>
      <c r="AE177" s="22"/>
      <c r="AF177" s="22"/>
      <c r="AH177" s="24"/>
      <c r="AI177" s="24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6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</row>
    <row r="178" spans="1:153" s="23" customFormat="1" ht="14.25" customHeight="1" x14ac:dyDescent="0.2">
      <c r="A178" s="20"/>
      <c r="B178" s="21"/>
      <c r="C178" s="22"/>
      <c r="D178" s="22"/>
      <c r="E178" s="22"/>
      <c r="G178" s="22"/>
      <c r="H178" s="22"/>
      <c r="I178" s="22"/>
      <c r="K178" s="22"/>
      <c r="L178" s="22"/>
      <c r="M178" s="22"/>
      <c r="O178" s="22"/>
      <c r="P178" s="22"/>
      <c r="Q178" s="22"/>
      <c r="S178" s="22"/>
      <c r="T178" s="22"/>
      <c r="U178" s="22"/>
      <c r="W178" s="22"/>
      <c r="X178" s="22"/>
      <c r="Y178" s="22"/>
      <c r="AA178" s="22"/>
      <c r="AB178" s="22"/>
      <c r="AC178" s="22"/>
      <c r="AD178" s="22"/>
      <c r="AE178" s="22"/>
      <c r="AF178" s="22"/>
      <c r="AH178" s="24"/>
      <c r="AI178" s="24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6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</row>
    <row r="179" spans="1:153" s="23" customFormat="1" ht="14.25" customHeight="1" x14ac:dyDescent="0.2">
      <c r="A179" s="20"/>
      <c r="B179" s="21"/>
      <c r="C179" s="22"/>
      <c r="D179" s="22"/>
      <c r="E179" s="22"/>
      <c r="G179" s="22"/>
      <c r="H179" s="22"/>
      <c r="I179" s="22"/>
      <c r="K179" s="22"/>
      <c r="L179" s="22"/>
      <c r="M179" s="22"/>
      <c r="O179" s="22"/>
      <c r="P179" s="22"/>
      <c r="Q179" s="22"/>
      <c r="S179" s="22"/>
      <c r="T179" s="22"/>
      <c r="U179" s="22"/>
      <c r="W179" s="22"/>
      <c r="X179" s="22"/>
      <c r="Y179" s="22"/>
      <c r="AA179" s="22"/>
      <c r="AB179" s="22"/>
      <c r="AC179" s="22"/>
      <c r="AD179" s="22"/>
      <c r="AE179" s="22"/>
      <c r="AF179" s="22"/>
      <c r="AH179" s="24"/>
      <c r="AI179" s="24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6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</row>
    <row r="180" spans="1:153" s="23" customFormat="1" ht="14.25" customHeight="1" x14ac:dyDescent="0.2">
      <c r="A180" s="20"/>
      <c r="B180" s="21"/>
      <c r="C180" s="22"/>
      <c r="D180" s="22"/>
      <c r="E180" s="22"/>
      <c r="G180" s="22"/>
      <c r="H180" s="22"/>
      <c r="I180" s="22"/>
      <c r="K180" s="22"/>
      <c r="L180" s="22"/>
      <c r="M180" s="22"/>
      <c r="O180" s="22"/>
      <c r="P180" s="22"/>
      <c r="Q180" s="22"/>
      <c r="S180" s="22"/>
      <c r="T180" s="22"/>
      <c r="U180" s="22"/>
      <c r="W180" s="22"/>
      <c r="X180" s="22"/>
      <c r="Y180" s="22"/>
      <c r="AA180" s="22"/>
      <c r="AB180" s="22"/>
      <c r="AC180" s="22"/>
      <c r="AD180" s="22"/>
      <c r="AE180" s="22"/>
      <c r="AF180" s="22"/>
      <c r="AH180" s="24"/>
      <c r="AI180" s="24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6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</row>
    <row r="181" spans="1:153" s="23" customFormat="1" ht="14.25" customHeight="1" x14ac:dyDescent="0.2">
      <c r="A181" s="20"/>
      <c r="B181" s="21"/>
      <c r="C181" s="22"/>
      <c r="D181" s="22"/>
      <c r="E181" s="22"/>
      <c r="G181" s="22"/>
      <c r="H181" s="22"/>
      <c r="I181" s="22"/>
      <c r="K181" s="22"/>
      <c r="L181" s="22"/>
      <c r="M181" s="22"/>
      <c r="O181" s="22"/>
      <c r="P181" s="22"/>
      <c r="Q181" s="22"/>
      <c r="S181" s="22"/>
      <c r="T181" s="22"/>
      <c r="U181" s="22"/>
      <c r="W181" s="22"/>
      <c r="X181" s="22"/>
      <c r="Y181" s="22"/>
      <c r="AA181" s="22"/>
      <c r="AB181" s="22"/>
      <c r="AC181" s="22"/>
      <c r="AD181" s="22"/>
      <c r="AE181" s="22"/>
      <c r="AF181" s="22"/>
      <c r="AH181" s="24"/>
      <c r="AI181" s="24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6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</row>
    <row r="182" spans="1:153" s="23" customFormat="1" ht="14.25" customHeight="1" x14ac:dyDescent="0.2">
      <c r="A182" s="20"/>
      <c r="B182" s="21"/>
      <c r="C182" s="22"/>
      <c r="D182" s="22"/>
      <c r="E182" s="22"/>
      <c r="G182" s="22"/>
      <c r="H182" s="22"/>
      <c r="I182" s="22"/>
      <c r="K182" s="22"/>
      <c r="L182" s="22"/>
      <c r="M182" s="22"/>
      <c r="O182" s="22"/>
      <c r="P182" s="22"/>
      <c r="Q182" s="22"/>
      <c r="S182" s="22"/>
      <c r="T182" s="22"/>
      <c r="U182" s="22"/>
      <c r="W182" s="22"/>
      <c r="X182" s="22"/>
      <c r="Y182" s="22"/>
      <c r="AA182" s="22"/>
      <c r="AB182" s="22"/>
      <c r="AC182" s="22"/>
      <c r="AD182" s="22"/>
      <c r="AE182" s="22"/>
      <c r="AF182" s="22"/>
      <c r="AH182" s="24"/>
      <c r="AI182" s="24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6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</row>
    <row r="183" spans="1:153" s="23" customFormat="1" ht="14.25" customHeight="1" x14ac:dyDescent="0.2">
      <c r="A183" s="20"/>
      <c r="B183" s="21"/>
      <c r="C183" s="22"/>
      <c r="D183" s="22"/>
      <c r="E183" s="22"/>
      <c r="G183" s="22"/>
      <c r="H183" s="22"/>
      <c r="I183" s="22"/>
      <c r="K183" s="22"/>
      <c r="L183" s="22"/>
      <c r="M183" s="22"/>
      <c r="O183" s="22"/>
      <c r="P183" s="22"/>
      <c r="Q183" s="22"/>
      <c r="S183" s="22"/>
      <c r="T183" s="22"/>
      <c r="U183" s="22"/>
      <c r="W183" s="22"/>
      <c r="X183" s="22"/>
      <c r="Y183" s="22"/>
      <c r="AA183" s="22"/>
      <c r="AB183" s="22"/>
      <c r="AC183" s="22"/>
      <c r="AD183" s="22"/>
      <c r="AE183" s="22"/>
      <c r="AF183" s="22"/>
      <c r="AH183" s="24"/>
      <c r="AI183" s="24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6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</row>
    <row r="184" spans="1:153" s="23" customFormat="1" ht="14.25" customHeight="1" x14ac:dyDescent="0.2">
      <c r="A184" s="20"/>
      <c r="B184" s="21"/>
      <c r="C184" s="22"/>
      <c r="D184" s="22"/>
      <c r="E184" s="22"/>
      <c r="G184" s="22"/>
      <c r="H184" s="22"/>
      <c r="I184" s="22"/>
      <c r="K184" s="22"/>
      <c r="L184" s="22"/>
      <c r="M184" s="22"/>
      <c r="O184" s="22"/>
      <c r="P184" s="22"/>
      <c r="Q184" s="22"/>
      <c r="S184" s="22"/>
      <c r="T184" s="22"/>
      <c r="U184" s="22"/>
      <c r="W184" s="22"/>
      <c r="X184" s="22"/>
      <c r="Y184" s="22"/>
      <c r="AA184" s="22"/>
      <c r="AB184" s="22"/>
      <c r="AC184" s="22"/>
      <c r="AD184" s="22"/>
      <c r="AE184" s="22"/>
      <c r="AF184" s="22"/>
      <c r="AH184" s="24"/>
      <c r="AI184" s="24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6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</row>
    <row r="185" spans="1:153" s="23" customFormat="1" ht="14.25" customHeight="1" x14ac:dyDescent="0.2">
      <c r="A185" s="20"/>
      <c r="B185" s="21"/>
      <c r="C185" s="22"/>
      <c r="D185" s="22"/>
      <c r="E185" s="22"/>
      <c r="G185" s="22"/>
      <c r="H185" s="22"/>
      <c r="I185" s="22"/>
      <c r="K185" s="22"/>
      <c r="L185" s="22"/>
      <c r="M185" s="22"/>
      <c r="O185" s="22"/>
      <c r="P185" s="22"/>
      <c r="Q185" s="22"/>
      <c r="S185" s="22"/>
      <c r="T185" s="22"/>
      <c r="U185" s="22"/>
      <c r="W185" s="22"/>
      <c r="X185" s="22"/>
      <c r="Y185" s="22"/>
      <c r="AA185" s="22"/>
      <c r="AB185" s="22"/>
      <c r="AC185" s="22"/>
      <c r="AD185" s="22"/>
      <c r="AE185" s="22"/>
      <c r="AF185" s="22"/>
      <c r="AH185" s="24"/>
      <c r="AI185" s="24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6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</row>
    <row r="186" spans="1:153" s="23" customFormat="1" ht="14.25" customHeight="1" x14ac:dyDescent="0.2">
      <c r="A186" s="20"/>
      <c r="B186" s="21"/>
      <c r="C186" s="22"/>
      <c r="D186" s="22"/>
      <c r="E186" s="22"/>
      <c r="G186" s="22"/>
      <c r="H186" s="22"/>
      <c r="I186" s="22"/>
      <c r="K186" s="22"/>
      <c r="L186" s="22"/>
      <c r="M186" s="22"/>
      <c r="O186" s="22"/>
      <c r="P186" s="22"/>
      <c r="Q186" s="22"/>
      <c r="S186" s="22"/>
      <c r="T186" s="22"/>
      <c r="U186" s="22"/>
      <c r="W186" s="22"/>
      <c r="X186" s="22"/>
      <c r="Y186" s="22"/>
      <c r="AA186" s="22"/>
      <c r="AB186" s="22"/>
      <c r="AC186" s="22"/>
      <c r="AD186" s="22"/>
      <c r="AE186" s="22"/>
      <c r="AF186" s="22"/>
      <c r="AH186" s="24"/>
      <c r="AI186" s="24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6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</row>
    <row r="187" spans="1:153" s="23" customFormat="1" ht="14.25" customHeight="1" x14ac:dyDescent="0.2">
      <c r="A187" s="20"/>
      <c r="B187" s="21"/>
      <c r="C187" s="22"/>
      <c r="D187" s="22"/>
      <c r="E187" s="22"/>
      <c r="G187" s="22"/>
      <c r="H187" s="22"/>
      <c r="I187" s="22"/>
      <c r="K187" s="22"/>
      <c r="L187" s="22"/>
      <c r="M187" s="22"/>
      <c r="O187" s="22"/>
      <c r="P187" s="22"/>
      <c r="Q187" s="22"/>
      <c r="S187" s="22"/>
      <c r="T187" s="22"/>
      <c r="U187" s="22"/>
      <c r="W187" s="22"/>
      <c r="X187" s="22"/>
      <c r="Y187" s="22"/>
      <c r="AA187" s="22"/>
      <c r="AB187" s="22"/>
      <c r="AC187" s="22"/>
      <c r="AD187" s="22"/>
      <c r="AE187" s="22"/>
      <c r="AF187" s="22"/>
      <c r="AH187" s="24"/>
      <c r="AI187" s="24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6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</row>
    <row r="188" spans="1:153" s="23" customFormat="1" ht="14.25" customHeight="1" x14ac:dyDescent="0.2">
      <c r="A188" s="20"/>
      <c r="B188" s="21"/>
      <c r="C188" s="22"/>
      <c r="D188" s="22"/>
      <c r="E188" s="22"/>
      <c r="G188" s="22"/>
      <c r="H188" s="22"/>
      <c r="I188" s="22"/>
      <c r="K188" s="22"/>
      <c r="L188" s="22"/>
      <c r="M188" s="22"/>
      <c r="O188" s="22"/>
      <c r="P188" s="22"/>
      <c r="Q188" s="22"/>
      <c r="S188" s="22"/>
      <c r="T188" s="22"/>
      <c r="U188" s="22"/>
      <c r="W188" s="22"/>
      <c r="X188" s="22"/>
      <c r="Y188" s="22"/>
      <c r="AA188" s="22"/>
      <c r="AB188" s="22"/>
      <c r="AC188" s="22"/>
      <c r="AD188" s="22"/>
      <c r="AE188" s="22"/>
      <c r="AF188" s="22"/>
      <c r="AH188" s="24"/>
      <c r="AI188" s="24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6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</row>
    <row r="189" spans="1:153" s="23" customFormat="1" ht="14.25" customHeight="1" x14ac:dyDescent="0.2">
      <c r="A189" s="20"/>
      <c r="B189" s="21"/>
      <c r="C189" s="22"/>
      <c r="D189" s="22"/>
      <c r="E189" s="22"/>
      <c r="G189" s="22"/>
      <c r="H189" s="22"/>
      <c r="I189" s="22"/>
      <c r="K189" s="22"/>
      <c r="L189" s="22"/>
      <c r="M189" s="22"/>
      <c r="O189" s="22"/>
      <c r="P189" s="22"/>
      <c r="Q189" s="22"/>
      <c r="S189" s="22"/>
      <c r="T189" s="22"/>
      <c r="U189" s="22"/>
      <c r="W189" s="22"/>
      <c r="X189" s="22"/>
      <c r="Y189" s="22"/>
      <c r="AA189" s="22"/>
      <c r="AB189" s="22"/>
      <c r="AC189" s="22"/>
      <c r="AD189" s="22"/>
      <c r="AE189" s="22"/>
      <c r="AF189" s="22"/>
      <c r="AH189" s="24"/>
      <c r="AI189" s="24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6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</row>
    <row r="190" spans="1:153" s="23" customFormat="1" ht="14.25" customHeight="1" x14ac:dyDescent="0.2">
      <c r="A190" s="20"/>
      <c r="B190" s="21"/>
      <c r="C190" s="22"/>
      <c r="D190" s="22"/>
      <c r="E190" s="22"/>
      <c r="G190" s="22"/>
      <c r="H190" s="22"/>
      <c r="I190" s="22"/>
      <c r="K190" s="22"/>
      <c r="L190" s="22"/>
      <c r="M190" s="22"/>
      <c r="O190" s="22"/>
      <c r="P190" s="22"/>
      <c r="Q190" s="22"/>
      <c r="S190" s="22"/>
      <c r="T190" s="22"/>
      <c r="U190" s="22"/>
      <c r="W190" s="22"/>
      <c r="X190" s="22"/>
      <c r="Y190" s="22"/>
      <c r="AA190" s="22"/>
      <c r="AB190" s="22"/>
      <c r="AC190" s="22"/>
      <c r="AD190" s="22"/>
      <c r="AE190" s="22"/>
      <c r="AF190" s="22"/>
      <c r="AH190" s="24"/>
      <c r="AI190" s="24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6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</row>
    <row r="191" spans="1:153" s="23" customFormat="1" ht="14.25" customHeight="1" x14ac:dyDescent="0.2">
      <c r="A191" s="20"/>
      <c r="B191" s="21"/>
      <c r="C191" s="22"/>
      <c r="D191" s="22"/>
      <c r="E191" s="22"/>
      <c r="G191" s="22"/>
      <c r="H191" s="22"/>
      <c r="I191" s="22"/>
      <c r="K191" s="22"/>
      <c r="L191" s="22"/>
      <c r="M191" s="22"/>
      <c r="O191" s="22"/>
      <c r="P191" s="22"/>
      <c r="Q191" s="22"/>
      <c r="S191" s="22"/>
      <c r="T191" s="22"/>
      <c r="U191" s="22"/>
      <c r="W191" s="22"/>
      <c r="X191" s="22"/>
      <c r="Y191" s="22"/>
      <c r="AA191" s="22"/>
      <c r="AB191" s="22"/>
      <c r="AC191" s="22"/>
      <c r="AD191" s="22"/>
      <c r="AE191" s="22"/>
      <c r="AF191" s="22"/>
      <c r="AH191" s="24"/>
      <c r="AI191" s="24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6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</row>
    <row r="192" spans="1:153" s="23" customFormat="1" ht="14.25" customHeight="1" x14ac:dyDescent="0.2">
      <c r="A192" s="20"/>
      <c r="B192" s="21"/>
      <c r="C192" s="22"/>
      <c r="D192" s="22"/>
      <c r="E192" s="22"/>
      <c r="G192" s="22"/>
      <c r="H192" s="22"/>
      <c r="I192" s="22"/>
      <c r="K192" s="22"/>
      <c r="L192" s="22"/>
      <c r="M192" s="22"/>
      <c r="O192" s="22"/>
      <c r="P192" s="22"/>
      <c r="Q192" s="22"/>
      <c r="S192" s="22"/>
      <c r="T192" s="22"/>
      <c r="U192" s="22"/>
      <c r="W192" s="22"/>
      <c r="X192" s="22"/>
      <c r="Y192" s="22"/>
      <c r="AA192" s="22"/>
      <c r="AB192" s="22"/>
      <c r="AC192" s="22"/>
      <c r="AD192" s="22"/>
      <c r="AE192" s="22"/>
      <c r="AF192" s="22"/>
      <c r="AH192" s="24"/>
      <c r="AI192" s="24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6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</row>
    <row r="193" spans="1:173" s="23" customFormat="1" ht="14.25" customHeight="1" x14ac:dyDescent="0.2">
      <c r="A193" s="20"/>
      <c r="B193" s="21"/>
      <c r="C193" s="22"/>
      <c r="D193" s="22"/>
      <c r="E193" s="22"/>
      <c r="G193" s="22"/>
      <c r="H193" s="22"/>
      <c r="I193" s="22"/>
      <c r="K193" s="22"/>
      <c r="L193" s="22"/>
      <c r="M193" s="22"/>
      <c r="O193" s="22"/>
      <c r="P193" s="22"/>
      <c r="Q193" s="22"/>
      <c r="S193" s="22"/>
      <c r="T193" s="22"/>
      <c r="U193" s="22"/>
      <c r="W193" s="22"/>
      <c r="X193" s="22"/>
      <c r="Y193" s="22"/>
      <c r="AA193" s="22"/>
      <c r="AB193" s="22"/>
      <c r="AC193" s="22"/>
      <c r="AD193" s="22"/>
      <c r="AE193" s="22"/>
      <c r="AF193" s="22"/>
      <c r="AH193" s="24"/>
      <c r="AI193" s="24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6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</row>
    <row r="194" spans="1:173" s="23" customFormat="1" ht="14.25" customHeight="1" x14ac:dyDescent="0.2">
      <c r="A194" s="20"/>
      <c r="B194" s="21"/>
      <c r="C194" s="22"/>
      <c r="D194" s="22"/>
      <c r="E194" s="22"/>
      <c r="G194" s="22"/>
      <c r="H194" s="22"/>
      <c r="I194" s="22"/>
      <c r="K194" s="22"/>
      <c r="L194" s="22"/>
      <c r="M194" s="22"/>
      <c r="O194" s="22"/>
      <c r="P194" s="22"/>
      <c r="Q194" s="22"/>
      <c r="S194" s="22"/>
      <c r="T194" s="22"/>
      <c r="U194" s="22"/>
      <c r="W194" s="22"/>
      <c r="X194" s="22"/>
      <c r="Y194" s="22"/>
      <c r="AA194" s="22"/>
      <c r="AB194" s="22"/>
      <c r="AC194" s="22"/>
      <c r="AD194" s="22"/>
      <c r="AE194" s="22"/>
      <c r="AF194" s="22"/>
      <c r="AH194" s="24"/>
      <c r="AI194" s="24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6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</row>
    <row r="195" spans="1:173" s="23" customFormat="1" ht="14.25" customHeight="1" x14ac:dyDescent="0.2">
      <c r="A195" s="20"/>
      <c r="B195" s="21"/>
      <c r="C195" s="22"/>
      <c r="D195" s="22"/>
      <c r="E195" s="22"/>
      <c r="G195" s="22"/>
      <c r="H195" s="22"/>
      <c r="I195" s="22"/>
      <c r="K195" s="22"/>
      <c r="L195" s="22"/>
      <c r="M195" s="22"/>
      <c r="O195" s="22"/>
      <c r="P195" s="22"/>
      <c r="Q195" s="22"/>
      <c r="S195" s="22"/>
      <c r="T195" s="22"/>
      <c r="U195" s="22"/>
      <c r="W195" s="22"/>
      <c r="X195" s="22"/>
      <c r="Y195" s="22"/>
      <c r="AA195" s="22"/>
      <c r="AB195" s="22"/>
      <c r="AC195" s="22"/>
      <c r="AD195" s="22"/>
      <c r="AE195" s="22"/>
      <c r="AF195" s="22"/>
      <c r="AH195" s="24"/>
      <c r="AI195" s="24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6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</row>
    <row r="196" spans="1:173" s="23" customFormat="1" ht="14.25" customHeight="1" x14ac:dyDescent="0.2">
      <c r="A196" s="20"/>
      <c r="B196" s="21"/>
      <c r="C196" s="22"/>
      <c r="D196" s="22"/>
      <c r="E196" s="22"/>
      <c r="G196" s="22"/>
      <c r="H196" s="22"/>
      <c r="I196" s="22"/>
      <c r="K196" s="22"/>
      <c r="L196" s="22"/>
      <c r="M196" s="22"/>
      <c r="O196" s="22"/>
      <c r="P196" s="22"/>
      <c r="Q196" s="22"/>
      <c r="S196" s="22"/>
      <c r="T196" s="22"/>
      <c r="U196" s="22"/>
      <c r="W196" s="22"/>
      <c r="X196" s="22"/>
      <c r="Y196" s="22"/>
      <c r="AA196" s="22"/>
      <c r="AB196" s="22"/>
      <c r="AC196" s="22"/>
      <c r="AD196" s="22"/>
      <c r="AE196" s="22"/>
      <c r="AF196" s="22"/>
      <c r="AH196" s="24"/>
      <c r="AI196" s="24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6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</row>
    <row r="197" spans="1:173" s="23" customFormat="1" ht="14.25" customHeight="1" x14ac:dyDescent="0.2">
      <c r="A197" s="20"/>
      <c r="B197" s="21"/>
      <c r="C197" s="22"/>
      <c r="D197" s="22"/>
      <c r="E197" s="22"/>
      <c r="G197" s="22"/>
      <c r="H197" s="22"/>
      <c r="I197" s="22"/>
      <c r="K197" s="22"/>
      <c r="L197" s="22"/>
      <c r="M197" s="22"/>
      <c r="O197" s="22"/>
      <c r="P197" s="22"/>
      <c r="Q197" s="22"/>
      <c r="S197" s="22"/>
      <c r="T197" s="22"/>
      <c r="U197" s="22"/>
      <c r="W197" s="22"/>
      <c r="X197" s="22"/>
      <c r="Y197" s="22"/>
      <c r="AA197" s="22"/>
      <c r="AB197" s="22"/>
      <c r="AC197" s="22"/>
      <c r="AD197" s="22"/>
      <c r="AE197" s="22"/>
      <c r="AF197" s="22"/>
      <c r="AH197" s="24"/>
      <c r="AI197" s="24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6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</row>
    <row r="198" spans="1:173" s="23" customFormat="1" ht="14.25" customHeight="1" x14ac:dyDescent="0.2">
      <c r="A198" s="20"/>
      <c r="B198" s="21"/>
      <c r="C198" s="22"/>
      <c r="D198" s="22"/>
      <c r="E198" s="22"/>
      <c r="G198" s="22"/>
      <c r="H198" s="22"/>
      <c r="I198" s="22"/>
      <c r="K198" s="22"/>
      <c r="L198" s="22"/>
      <c r="M198" s="22"/>
      <c r="O198" s="22"/>
      <c r="P198" s="22"/>
      <c r="Q198" s="22"/>
      <c r="S198" s="22"/>
      <c r="T198" s="22"/>
      <c r="U198" s="22"/>
      <c r="W198" s="22"/>
      <c r="X198" s="22"/>
      <c r="Y198" s="22"/>
      <c r="AA198" s="22"/>
      <c r="AB198" s="22"/>
      <c r="AC198" s="22"/>
      <c r="AD198" s="22"/>
      <c r="AE198" s="22"/>
      <c r="AF198" s="22"/>
      <c r="AH198" s="24"/>
      <c r="AI198" s="24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6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</row>
  </sheetData>
  <mergeCells count="56">
    <mergeCell ref="A1:AG2"/>
    <mergeCell ref="AJ1:AK1"/>
    <mergeCell ref="AJ2:AK2"/>
    <mergeCell ref="A3:A6"/>
    <mergeCell ref="B3:B6"/>
    <mergeCell ref="D3:R3"/>
    <mergeCell ref="S3:Z3"/>
    <mergeCell ref="AA3:AG3"/>
    <mergeCell ref="AH3:AH6"/>
    <mergeCell ref="AI3:AI10"/>
    <mergeCell ref="C4:R4"/>
    <mergeCell ref="S4:V4"/>
    <mergeCell ref="W4:Z4"/>
    <mergeCell ref="AA4:AG4"/>
    <mergeCell ref="C5:R5"/>
    <mergeCell ref="S5:V5"/>
    <mergeCell ref="W5:Z5"/>
    <mergeCell ref="AA5:AG5"/>
    <mergeCell ref="A12:A24"/>
    <mergeCell ref="C25:F25"/>
    <mergeCell ref="G25:J25"/>
    <mergeCell ref="K25:N25"/>
    <mergeCell ref="O25:R25"/>
    <mergeCell ref="W25:Z25"/>
    <mergeCell ref="AA25:AG25"/>
    <mergeCell ref="C26:F26"/>
    <mergeCell ref="G26:J26"/>
    <mergeCell ref="K26:N26"/>
    <mergeCell ref="O26:R26"/>
    <mergeCell ref="S26:V26"/>
    <mergeCell ref="W26:Z26"/>
    <mergeCell ref="AA26:AG26"/>
    <mergeCell ref="S25:V25"/>
    <mergeCell ref="S27:V27"/>
    <mergeCell ref="AA27:AG27"/>
    <mergeCell ref="AV29:AW29"/>
    <mergeCell ref="AJ30:AK30"/>
    <mergeCell ref="AL30:AM30"/>
    <mergeCell ref="AN30:AO30"/>
    <mergeCell ref="AP30:AQ30"/>
    <mergeCell ref="AR30:AS30"/>
    <mergeCell ref="AT30:AU30"/>
    <mergeCell ref="AV30:AW30"/>
    <mergeCell ref="AP29:AQ29"/>
    <mergeCell ref="AJ29:AK29"/>
    <mergeCell ref="AL29:AM29"/>
    <mergeCell ref="AN29:AO29"/>
    <mergeCell ref="AR29:AS29"/>
    <mergeCell ref="AT29:AU29"/>
    <mergeCell ref="AV31:AW31"/>
    <mergeCell ref="AJ31:AK31"/>
    <mergeCell ref="AL31:AM31"/>
    <mergeCell ref="AN31:AO31"/>
    <mergeCell ref="AP31:AQ31"/>
    <mergeCell ref="AR31:AS31"/>
    <mergeCell ref="AT31:AU3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EA5E-4C2C-4244-BFE4-8C0B100E689F}">
  <sheetPr>
    <pageSetUpPr fitToPage="1"/>
  </sheetPr>
  <dimension ref="A1:AKO198"/>
  <sheetViews>
    <sheetView tabSelected="1" view="pageBreakPreview" zoomScale="160" zoomScaleNormal="50" zoomScaleSheetLayoutView="160" workbookViewId="0">
      <selection activeCell="V11" sqref="V11"/>
    </sheetView>
  </sheetViews>
  <sheetFormatPr baseColWidth="10" defaultColWidth="8.85546875" defaultRowHeight="15" x14ac:dyDescent="0.25"/>
  <cols>
    <col min="1" max="1" width="2.28515625" style="20" customWidth="1"/>
    <col min="2" max="2" width="12.140625" style="21" customWidth="1"/>
    <col min="3" max="5" width="4.7109375" style="22" customWidth="1"/>
    <col min="6" max="6" width="4.7109375" style="23" customWidth="1"/>
    <col min="7" max="9" width="4.7109375" style="22" customWidth="1"/>
    <col min="10" max="10" width="1.7109375" style="22" customWidth="1"/>
    <col min="11" max="11" width="4.7109375" style="23" customWidth="1"/>
    <col min="12" max="14" width="4.7109375" style="22" customWidth="1"/>
    <col min="15" max="15" width="4.7109375" style="23" customWidth="1"/>
    <col min="16" max="17" width="4.7109375" style="22" customWidth="1"/>
    <col min="18" max="18" width="1.7109375" style="22" customWidth="1"/>
    <col min="19" max="19" width="4.7109375" style="22" customWidth="1"/>
    <col min="20" max="20" width="4.7109375" style="23" customWidth="1"/>
    <col min="21" max="23" width="4.7109375" style="22" customWidth="1"/>
    <col min="24" max="24" width="4.7109375" style="23" customWidth="1"/>
    <col min="25" max="25" width="4.7109375" style="22" customWidth="1"/>
    <col min="26" max="26" width="1.140625" style="22" customWidth="1"/>
    <col min="27" max="28" width="4.7109375" style="22" customWidth="1"/>
    <col min="29" max="29" width="4.7109375" style="23" customWidth="1"/>
    <col min="30" max="33" width="4.7109375" style="22" customWidth="1"/>
    <col min="34" max="34" width="7.140625" style="24" hidden="1" customWidth="1"/>
    <col min="35" max="35" width="12.28515625" style="24" hidden="1" customWidth="1"/>
    <col min="36" max="49" width="9.140625" style="25" hidden="1" customWidth="1"/>
    <col min="50" max="50" width="13.7109375" style="26" hidden="1" customWidth="1"/>
    <col min="51" max="166" width="11.28515625" style="24" customWidth="1"/>
    <col min="167" max="167" width="11.140625" style="24" customWidth="1"/>
    <col min="168" max="977" width="11.28515625" style="24" customWidth="1"/>
  </cols>
  <sheetData>
    <row r="1" spans="1:977" ht="14.25" customHeight="1" x14ac:dyDescent="0.25">
      <c r="A1" s="534" t="s">
        <v>366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  <c r="AA1" s="534"/>
      <c r="AB1" s="534"/>
      <c r="AC1" s="534"/>
      <c r="AD1" s="534"/>
      <c r="AE1" s="534"/>
      <c r="AF1" s="534"/>
      <c r="AG1" s="534"/>
      <c r="AH1" s="27"/>
      <c r="AI1" s="28" t="s">
        <v>244</v>
      </c>
      <c r="AJ1" s="422" t="s">
        <v>245</v>
      </c>
      <c r="AK1" s="422"/>
      <c r="AL1" s="29">
        <v>28</v>
      </c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1"/>
    </row>
    <row r="2" spans="1:977" ht="21.95" customHeight="1" thickBot="1" x14ac:dyDescent="0.3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5"/>
      <c r="AA2" s="535"/>
      <c r="AB2" s="535"/>
      <c r="AC2" s="535"/>
      <c r="AD2" s="535"/>
      <c r="AE2" s="535"/>
      <c r="AF2" s="535"/>
      <c r="AG2" s="535"/>
      <c r="AH2" s="27"/>
      <c r="AI2" s="32" t="e">
        <f>#REF!</f>
        <v>#REF!</v>
      </c>
      <c r="AJ2" s="423" t="s">
        <v>246</v>
      </c>
      <c r="AK2" s="423"/>
      <c r="AL2" s="33">
        <v>42</v>
      </c>
      <c r="AM2" s="34">
        <f>AL2/100</f>
        <v>0.42</v>
      </c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1"/>
    </row>
    <row r="3" spans="1:977" ht="27" customHeight="1" thickBot="1" x14ac:dyDescent="0.3">
      <c r="A3" s="536"/>
      <c r="B3" s="537"/>
      <c r="C3" s="408"/>
      <c r="D3" s="538" t="s">
        <v>432</v>
      </c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9"/>
      <c r="U3" s="505"/>
      <c r="V3" s="506"/>
      <c r="W3" s="506"/>
      <c r="X3" s="506"/>
      <c r="Y3" s="506"/>
      <c r="Z3" s="506"/>
      <c r="AA3" s="506"/>
      <c r="AB3" s="506"/>
      <c r="AC3" s="507"/>
      <c r="AD3" s="505"/>
      <c r="AE3" s="506"/>
      <c r="AF3" s="506"/>
      <c r="AG3" s="506"/>
      <c r="AH3" s="431"/>
      <c r="AI3" s="432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35"/>
    </row>
    <row r="4" spans="1:977" ht="27" customHeight="1" thickBot="1" x14ac:dyDescent="0.3">
      <c r="A4" s="536"/>
      <c r="B4" s="537"/>
      <c r="C4" s="526" t="s">
        <v>444</v>
      </c>
      <c r="D4" s="527"/>
      <c r="E4" s="527"/>
      <c r="F4" s="527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7"/>
      <c r="S4" s="527"/>
      <c r="T4" s="528"/>
      <c r="U4" s="520"/>
      <c r="V4" s="521"/>
      <c r="W4" s="521"/>
      <c r="X4" s="522"/>
      <c r="Y4" s="523"/>
      <c r="Z4" s="524"/>
      <c r="AA4" s="524"/>
      <c r="AB4" s="524"/>
      <c r="AC4" s="525"/>
      <c r="AD4" s="523"/>
      <c r="AE4" s="524"/>
      <c r="AF4" s="524"/>
      <c r="AG4" s="524"/>
      <c r="AH4" s="431"/>
      <c r="AI4" s="432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35"/>
    </row>
    <row r="5" spans="1:977" ht="9.9499999999999993" customHeight="1" thickBot="1" x14ac:dyDescent="0.3">
      <c r="A5" s="536"/>
      <c r="B5" s="537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6"/>
      <c r="V5" s="516"/>
      <c r="W5" s="516"/>
      <c r="X5" s="516"/>
      <c r="Y5" s="516"/>
      <c r="Z5" s="516"/>
      <c r="AA5" s="516"/>
      <c r="AB5" s="516"/>
      <c r="AC5" s="516"/>
      <c r="AD5" s="516"/>
      <c r="AE5" s="516"/>
      <c r="AF5" s="516"/>
      <c r="AG5" s="516"/>
      <c r="AH5" s="508"/>
      <c r="AI5" s="432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35"/>
    </row>
    <row r="6" spans="1:977" s="161" customFormat="1" ht="18.95" customHeight="1" thickTop="1" thickBot="1" x14ac:dyDescent="0.25">
      <c r="A6" s="407"/>
      <c r="B6" s="406" t="s">
        <v>445</v>
      </c>
      <c r="C6" s="390" t="s">
        <v>274</v>
      </c>
      <c r="D6" s="390" t="s">
        <v>275</v>
      </c>
      <c r="E6" s="390" t="s">
        <v>276</v>
      </c>
      <c r="F6" s="390" t="s">
        <v>277</v>
      </c>
      <c r="G6" s="390" t="s">
        <v>278</v>
      </c>
      <c r="H6" s="390" t="s">
        <v>279</v>
      </c>
      <c r="I6" s="390" t="s">
        <v>280</v>
      </c>
      <c r="J6" s="517"/>
      <c r="K6" s="390" t="s">
        <v>274</v>
      </c>
      <c r="L6" s="390" t="s">
        <v>275</v>
      </c>
      <c r="M6" s="390" t="s">
        <v>276</v>
      </c>
      <c r="N6" s="390" t="s">
        <v>277</v>
      </c>
      <c r="O6" s="390" t="s">
        <v>278</v>
      </c>
      <c r="P6" s="390" t="s">
        <v>279</v>
      </c>
      <c r="Q6" s="390" t="s">
        <v>280</v>
      </c>
      <c r="R6" s="517"/>
      <c r="S6" s="390" t="s">
        <v>274</v>
      </c>
      <c r="T6" s="390" t="s">
        <v>275</v>
      </c>
      <c r="U6" s="352" t="s">
        <v>276</v>
      </c>
      <c r="V6" s="352" t="s">
        <v>277</v>
      </c>
      <c r="W6" s="352" t="s">
        <v>278</v>
      </c>
      <c r="X6" s="352" t="s">
        <v>279</v>
      </c>
      <c r="Y6" s="352" t="s">
        <v>280</v>
      </c>
      <c r="Z6" s="517"/>
      <c r="AA6" s="352" t="s">
        <v>274</v>
      </c>
      <c r="AB6" s="352" t="s">
        <v>275</v>
      </c>
      <c r="AC6" s="352" t="s">
        <v>276</v>
      </c>
      <c r="AD6" s="352" t="s">
        <v>277</v>
      </c>
      <c r="AE6" s="352" t="s">
        <v>278</v>
      </c>
      <c r="AF6" s="352" t="s">
        <v>279</v>
      </c>
      <c r="AG6" s="352" t="s">
        <v>280</v>
      </c>
      <c r="AH6" s="348"/>
      <c r="AI6" s="432"/>
      <c r="AJ6" s="349">
        <f>IF(ISERROR(VALUE((MOD(#REF!-#REF!,1))))=TRUE,0,MOD(#REF!-#REF!,1))</f>
        <v>0</v>
      </c>
      <c r="AK6" s="349">
        <f>IF(ISERROR(VALUE((MOD(#REF!-#REF!,1))))=TRUE,0,MOD(#REF!-#REF!,1))</f>
        <v>0</v>
      </c>
      <c r="AL6" s="349">
        <f>IF(ISERROR(VALUE((MOD(#REF!-#REF!,1))))=TRUE,0,MOD(#REF!-#REF!,1))</f>
        <v>0</v>
      </c>
      <c r="AM6" s="349">
        <f>IF(ISERROR(VALUE((MOD(#REF!-#REF!,1))))=TRUE,0,MOD(#REF!-#REF!,1))</f>
        <v>0</v>
      </c>
      <c r="AN6" s="349">
        <f>IF(ISERROR(VALUE((MOD(#REF!-#REF!,1))))=TRUE,0,MOD(#REF!-#REF!,1))</f>
        <v>0</v>
      </c>
      <c r="AO6" s="349">
        <f>IF(ISERROR(VALUE((MOD(#REF!-#REF!,1))))=TRUE,0,MOD(#REF!-#REF!,1))</f>
        <v>0</v>
      </c>
      <c r="AP6" s="349">
        <f>IF(ISERROR(VALUE((MOD(#REF!-#REF!,1))))=TRUE,0,MOD(#REF!-#REF!,1))</f>
        <v>0</v>
      </c>
      <c r="AQ6" s="349">
        <f>IF(ISERROR(VALUE((MOD(#REF!-#REF!,1))))=TRUE,0,MOD(#REF!-#REF!,1))</f>
        <v>0</v>
      </c>
      <c r="AR6" s="349">
        <f>IF(ISERROR(VALUE((MOD(#REF!-#REF!,1))))=TRUE,0,MOD(#REF!-#REF!,1))</f>
        <v>0</v>
      </c>
      <c r="AS6" s="349">
        <f>IF(ISERROR(VALUE((MOD(#REF!-#REF!,1))))=TRUE,0,MOD(#REF!-#REF!,1))</f>
        <v>0</v>
      </c>
      <c r="AT6" s="349">
        <f>IF(ISERROR(VALUE((MOD(#REF!-#REF!,1))))=TRUE,0,MOD(#REF!-#REF!,1))</f>
        <v>0</v>
      </c>
      <c r="AU6" s="349">
        <f>IF(ISERROR(VALUE((MOD(#REF!-#REF!,1))))=TRUE,0,MOD(#REF!-#REF!,1))</f>
        <v>0</v>
      </c>
      <c r="AV6" s="349">
        <f>IF(ISERROR(VALUE((MOD(#REF!-#REF!,1))))=TRUE,0,MOD(#REF!-#REF!,1))</f>
        <v>0</v>
      </c>
      <c r="AW6" s="349">
        <f>IF(ISERROR(VALUE((MOD(#REF!-#REF!,1))))=TRUE,0,MOD(#REF!-#REF!,1))</f>
        <v>0</v>
      </c>
      <c r="AX6" s="350"/>
      <c r="AY6" s="351"/>
      <c r="AZ6" s="351"/>
      <c r="BA6" s="351"/>
      <c r="BB6" s="351"/>
      <c r="BC6" s="351"/>
      <c r="BD6" s="351"/>
      <c r="BE6" s="351"/>
      <c r="BF6" s="351"/>
      <c r="BG6" s="351"/>
      <c r="BH6" s="351"/>
      <c r="BI6" s="351"/>
      <c r="BJ6" s="351"/>
      <c r="BK6" s="351"/>
      <c r="BL6" s="351"/>
      <c r="BM6" s="351"/>
      <c r="BN6" s="351"/>
      <c r="BO6" s="351"/>
      <c r="BP6" s="351"/>
      <c r="BQ6" s="351"/>
      <c r="BR6" s="351"/>
      <c r="BS6" s="351"/>
      <c r="BT6" s="351"/>
      <c r="BU6" s="351"/>
      <c r="BV6" s="351"/>
      <c r="BW6" s="351"/>
      <c r="BX6" s="351"/>
      <c r="BY6" s="351"/>
      <c r="BZ6" s="351"/>
      <c r="CA6" s="351"/>
      <c r="CB6" s="351"/>
      <c r="CC6" s="351"/>
      <c r="CD6" s="351"/>
      <c r="CE6" s="351"/>
      <c r="CF6" s="351"/>
      <c r="CG6" s="351"/>
      <c r="CH6" s="351"/>
      <c r="CI6" s="351"/>
      <c r="CJ6" s="351"/>
      <c r="CK6" s="351"/>
      <c r="CL6" s="351"/>
      <c r="CM6" s="351"/>
      <c r="CN6" s="351"/>
      <c r="CO6" s="351"/>
      <c r="CP6" s="351"/>
      <c r="CQ6" s="351"/>
      <c r="CR6" s="351"/>
      <c r="CS6" s="351"/>
      <c r="CT6" s="351"/>
      <c r="CU6" s="351"/>
      <c r="CV6" s="351"/>
      <c r="CW6" s="351"/>
      <c r="CX6" s="351"/>
      <c r="CY6" s="351"/>
      <c r="CZ6" s="351"/>
      <c r="DA6" s="351"/>
      <c r="DB6" s="351"/>
      <c r="DC6" s="351"/>
      <c r="DD6" s="351"/>
      <c r="DE6" s="351"/>
      <c r="DF6" s="351"/>
      <c r="DG6" s="351"/>
      <c r="DH6" s="351"/>
      <c r="DI6" s="351"/>
      <c r="DJ6" s="351"/>
      <c r="DK6" s="351"/>
      <c r="DL6" s="351"/>
      <c r="DM6" s="351"/>
      <c r="DN6" s="351"/>
      <c r="DO6" s="351"/>
      <c r="DP6" s="351"/>
      <c r="DQ6" s="351"/>
      <c r="DR6" s="351"/>
      <c r="DS6" s="351"/>
      <c r="DT6" s="351"/>
      <c r="DU6" s="351"/>
      <c r="DV6" s="351"/>
      <c r="DW6" s="351"/>
      <c r="DX6" s="351"/>
      <c r="DY6" s="351"/>
      <c r="DZ6" s="351"/>
      <c r="EA6" s="351"/>
      <c r="EB6" s="351"/>
      <c r="EC6" s="351"/>
      <c r="ED6" s="351"/>
      <c r="EE6" s="351"/>
      <c r="EF6" s="351"/>
      <c r="EG6" s="351"/>
      <c r="EH6" s="351"/>
      <c r="EI6" s="351"/>
      <c r="EJ6" s="351"/>
      <c r="EK6" s="351"/>
      <c r="EL6" s="351"/>
      <c r="EM6" s="351"/>
      <c r="EN6" s="351"/>
      <c r="EO6" s="351"/>
      <c r="EP6" s="351"/>
      <c r="EQ6" s="351"/>
      <c r="ER6" s="351"/>
      <c r="ES6" s="351"/>
      <c r="ET6" s="351"/>
      <c r="EU6" s="351"/>
      <c r="EV6" s="351"/>
      <c r="EW6" s="351"/>
      <c r="EX6" s="351"/>
      <c r="EY6" s="351"/>
      <c r="EZ6" s="351"/>
      <c r="FA6" s="351"/>
      <c r="FB6" s="351"/>
      <c r="FC6" s="351"/>
      <c r="FD6" s="351"/>
      <c r="FE6" s="351"/>
      <c r="FF6" s="351"/>
      <c r="FG6" s="351"/>
      <c r="FH6" s="351"/>
      <c r="FI6" s="351"/>
      <c r="FJ6" s="351"/>
      <c r="FK6" s="351"/>
      <c r="FL6" s="351"/>
      <c r="FM6" s="351"/>
      <c r="FN6" s="351"/>
      <c r="FO6" s="351"/>
      <c r="FP6" s="351"/>
      <c r="FQ6" s="351"/>
      <c r="FR6" s="351"/>
      <c r="FS6" s="351"/>
      <c r="FT6" s="351"/>
      <c r="FU6" s="351"/>
      <c r="FV6" s="351"/>
      <c r="FW6" s="351"/>
      <c r="FX6" s="351"/>
      <c r="FY6" s="351"/>
      <c r="FZ6" s="351"/>
      <c r="GA6" s="351"/>
      <c r="GB6" s="351"/>
      <c r="GC6" s="351"/>
      <c r="GD6" s="351"/>
      <c r="GE6" s="351"/>
      <c r="GF6" s="351"/>
      <c r="GG6" s="351"/>
      <c r="GH6" s="351"/>
      <c r="GI6" s="351"/>
      <c r="GJ6" s="351"/>
      <c r="GK6" s="351"/>
      <c r="GL6" s="351"/>
      <c r="GM6" s="351"/>
      <c r="GN6" s="351"/>
      <c r="GO6" s="351"/>
      <c r="GP6" s="351"/>
      <c r="GQ6" s="351"/>
      <c r="GR6" s="351"/>
      <c r="GS6" s="351"/>
      <c r="GT6" s="351"/>
      <c r="GU6" s="351"/>
      <c r="GV6" s="351"/>
      <c r="GW6" s="351"/>
      <c r="GX6" s="351"/>
      <c r="GY6" s="351"/>
      <c r="GZ6" s="351"/>
      <c r="HA6" s="351"/>
      <c r="HB6" s="351"/>
      <c r="HC6" s="351"/>
      <c r="HD6" s="351"/>
      <c r="HE6" s="351"/>
      <c r="HF6" s="351"/>
      <c r="HG6" s="351"/>
      <c r="HH6" s="351"/>
      <c r="HI6" s="351"/>
      <c r="HJ6" s="351"/>
      <c r="HK6" s="351"/>
      <c r="HL6" s="351"/>
      <c r="HM6" s="351"/>
      <c r="HN6" s="351"/>
      <c r="HO6" s="351"/>
      <c r="HP6" s="351"/>
      <c r="HQ6" s="351"/>
      <c r="HR6" s="351"/>
      <c r="HS6" s="351"/>
      <c r="HT6" s="351"/>
      <c r="HU6" s="351"/>
      <c r="HV6" s="351"/>
      <c r="HW6" s="351"/>
      <c r="HX6" s="351"/>
      <c r="HY6" s="351"/>
      <c r="HZ6" s="351"/>
      <c r="IA6" s="351"/>
      <c r="IB6" s="351"/>
      <c r="IC6" s="351"/>
      <c r="ID6" s="351"/>
      <c r="IE6" s="351"/>
      <c r="IF6" s="351"/>
      <c r="IG6" s="351"/>
      <c r="IH6" s="351"/>
      <c r="II6" s="351"/>
      <c r="IJ6" s="351"/>
      <c r="IK6" s="351"/>
      <c r="IL6" s="351"/>
      <c r="IM6" s="351"/>
      <c r="IN6" s="351"/>
      <c r="IO6" s="351"/>
      <c r="IP6" s="351"/>
      <c r="IQ6" s="351"/>
      <c r="IR6" s="351"/>
      <c r="IS6" s="351"/>
      <c r="IT6" s="351"/>
      <c r="IU6" s="351"/>
      <c r="IV6" s="351"/>
      <c r="IW6" s="351"/>
      <c r="IX6" s="351"/>
      <c r="IY6" s="351"/>
      <c r="IZ6" s="351"/>
      <c r="JA6" s="351"/>
      <c r="JB6" s="351"/>
      <c r="JC6" s="351"/>
      <c r="JD6" s="351"/>
      <c r="JE6" s="351"/>
      <c r="JF6" s="351"/>
      <c r="JG6" s="351"/>
      <c r="JH6" s="351"/>
      <c r="JI6" s="351"/>
      <c r="JJ6" s="351"/>
      <c r="JK6" s="351"/>
      <c r="JL6" s="351"/>
      <c r="JM6" s="351"/>
      <c r="JN6" s="351"/>
      <c r="JO6" s="351"/>
      <c r="JP6" s="351"/>
      <c r="JQ6" s="351"/>
      <c r="JR6" s="351"/>
      <c r="JS6" s="351"/>
      <c r="JT6" s="351"/>
      <c r="JU6" s="351"/>
      <c r="JV6" s="351"/>
      <c r="JW6" s="351"/>
      <c r="JX6" s="351"/>
      <c r="JY6" s="351"/>
      <c r="JZ6" s="351"/>
      <c r="KA6" s="351"/>
      <c r="KB6" s="351"/>
      <c r="KC6" s="351"/>
      <c r="KD6" s="351"/>
      <c r="KE6" s="351"/>
      <c r="KF6" s="351"/>
      <c r="KG6" s="351"/>
      <c r="KH6" s="351"/>
      <c r="KI6" s="351"/>
      <c r="KJ6" s="351"/>
      <c r="KK6" s="351"/>
      <c r="KL6" s="351"/>
      <c r="KM6" s="351"/>
      <c r="KN6" s="351"/>
      <c r="KO6" s="351"/>
      <c r="KP6" s="351"/>
      <c r="KQ6" s="351"/>
      <c r="KR6" s="351"/>
      <c r="KS6" s="351"/>
      <c r="KT6" s="351"/>
      <c r="KU6" s="351"/>
      <c r="KV6" s="351"/>
      <c r="KW6" s="351"/>
      <c r="KX6" s="351"/>
      <c r="KY6" s="351"/>
      <c r="KZ6" s="351"/>
      <c r="LA6" s="351"/>
      <c r="LB6" s="351"/>
      <c r="LC6" s="351"/>
      <c r="LD6" s="351"/>
      <c r="LE6" s="351"/>
      <c r="LF6" s="351"/>
      <c r="LG6" s="351"/>
      <c r="LH6" s="351"/>
      <c r="LI6" s="351"/>
      <c r="LJ6" s="351"/>
      <c r="LK6" s="351"/>
      <c r="LL6" s="351"/>
      <c r="LM6" s="351"/>
      <c r="LN6" s="351"/>
      <c r="LO6" s="351"/>
      <c r="LP6" s="351"/>
      <c r="LQ6" s="351"/>
      <c r="LR6" s="351"/>
      <c r="LS6" s="351"/>
      <c r="LT6" s="351"/>
      <c r="LU6" s="351"/>
      <c r="LV6" s="351"/>
      <c r="LW6" s="351"/>
      <c r="LX6" s="351"/>
      <c r="LY6" s="351"/>
      <c r="LZ6" s="351"/>
      <c r="MA6" s="351"/>
      <c r="MB6" s="351"/>
      <c r="MC6" s="351"/>
      <c r="MD6" s="351"/>
      <c r="ME6" s="351"/>
      <c r="MF6" s="351"/>
      <c r="MG6" s="351"/>
      <c r="MH6" s="351"/>
      <c r="MI6" s="351"/>
      <c r="MJ6" s="351"/>
      <c r="MK6" s="351"/>
      <c r="ML6" s="351"/>
      <c r="MM6" s="351"/>
      <c r="MN6" s="351"/>
      <c r="MO6" s="351"/>
      <c r="MP6" s="351"/>
      <c r="MQ6" s="351"/>
      <c r="MR6" s="351"/>
      <c r="MS6" s="351"/>
      <c r="MT6" s="351"/>
      <c r="MU6" s="351"/>
      <c r="MV6" s="351"/>
      <c r="MW6" s="351"/>
      <c r="MX6" s="351"/>
      <c r="MY6" s="351"/>
      <c r="MZ6" s="351"/>
      <c r="NA6" s="351"/>
      <c r="NB6" s="351"/>
      <c r="NC6" s="351"/>
      <c r="ND6" s="351"/>
      <c r="NE6" s="351"/>
      <c r="NF6" s="351"/>
      <c r="NG6" s="351"/>
      <c r="NH6" s="351"/>
      <c r="NI6" s="351"/>
      <c r="NJ6" s="351"/>
      <c r="NK6" s="351"/>
      <c r="NL6" s="351"/>
      <c r="NM6" s="351"/>
      <c r="NN6" s="351"/>
      <c r="NO6" s="351"/>
      <c r="NP6" s="351"/>
      <c r="NQ6" s="351"/>
      <c r="NR6" s="351"/>
      <c r="NS6" s="351"/>
      <c r="NT6" s="351"/>
      <c r="NU6" s="351"/>
      <c r="NV6" s="351"/>
      <c r="NW6" s="351"/>
      <c r="NX6" s="351"/>
      <c r="NY6" s="351"/>
      <c r="NZ6" s="351"/>
      <c r="OA6" s="351"/>
      <c r="OB6" s="351"/>
      <c r="OC6" s="351"/>
      <c r="OD6" s="351"/>
      <c r="OE6" s="351"/>
      <c r="OF6" s="351"/>
      <c r="OG6" s="351"/>
      <c r="OH6" s="351"/>
      <c r="OI6" s="351"/>
      <c r="OJ6" s="351"/>
      <c r="OK6" s="351"/>
      <c r="OL6" s="351"/>
      <c r="OM6" s="351"/>
      <c r="ON6" s="351"/>
      <c r="OO6" s="351"/>
      <c r="OP6" s="351"/>
      <c r="OQ6" s="351"/>
      <c r="OR6" s="351"/>
      <c r="OS6" s="351"/>
      <c r="OT6" s="351"/>
      <c r="OU6" s="351"/>
      <c r="OV6" s="351"/>
      <c r="OW6" s="351"/>
      <c r="OX6" s="351"/>
      <c r="OY6" s="351"/>
      <c r="OZ6" s="351"/>
      <c r="PA6" s="351"/>
      <c r="PB6" s="351"/>
      <c r="PC6" s="351"/>
      <c r="PD6" s="351"/>
      <c r="PE6" s="351"/>
      <c r="PF6" s="351"/>
      <c r="PG6" s="351"/>
      <c r="PH6" s="351"/>
      <c r="PI6" s="351"/>
      <c r="PJ6" s="351"/>
      <c r="PK6" s="351"/>
      <c r="PL6" s="351"/>
      <c r="PM6" s="351"/>
      <c r="PN6" s="351"/>
      <c r="PO6" s="351"/>
      <c r="PP6" s="351"/>
      <c r="PQ6" s="351"/>
      <c r="PR6" s="351"/>
      <c r="PS6" s="351"/>
      <c r="PT6" s="351"/>
      <c r="PU6" s="351"/>
      <c r="PV6" s="351"/>
      <c r="PW6" s="351"/>
      <c r="PX6" s="351"/>
      <c r="PY6" s="351"/>
      <c r="PZ6" s="351"/>
      <c r="QA6" s="351"/>
      <c r="QB6" s="351"/>
      <c r="QC6" s="351"/>
      <c r="QD6" s="351"/>
      <c r="QE6" s="351"/>
      <c r="QF6" s="351"/>
      <c r="QG6" s="351"/>
      <c r="QH6" s="351"/>
      <c r="QI6" s="351"/>
      <c r="QJ6" s="351"/>
      <c r="QK6" s="351"/>
      <c r="QL6" s="351"/>
      <c r="QM6" s="351"/>
      <c r="QN6" s="351"/>
      <c r="QO6" s="351"/>
      <c r="QP6" s="351"/>
      <c r="QQ6" s="351"/>
      <c r="QR6" s="351"/>
      <c r="QS6" s="351"/>
      <c r="QT6" s="351"/>
      <c r="QU6" s="351"/>
      <c r="QV6" s="351"/>
      <c r="QW6" s="351"/>
      <c r="QX6" s="351"/>
      <c r="QY6" s="351"/>
      <c r="QZ6" s="351"/>
      <c r="RA6" s="351"/>
      <c r="RB6" s="351"/>
      <c r="RC6" s="351"/>
      <c r="RD6" s="351"/>
      <c r="RE6" s="351"/>
      <c r="RF6" s="351"/>
      <c r="RG6" s="351"/>
      <c r="RH6" s="351"/>
      <c r="RI6" s="351"/>
      <c r="RJ6" s="351"/>
      <c r="RK6" s="351"/>
      <c r="RL6" s="351"/>
      <c r="RM6" s="351"/>
      <c r="RN6" s="351"/>
      <c r="RO6" s="351"/>
      <c r="RP6" s="351"/>
      <c r="RQ6" s="351"/>
      <c r="RR6" s="351"/>
      <c r="RS6" s="351"/>
      <c r="RT6" s="351"/>
      <c r="RU6" s="351"/>
      <c r="RV6" s="351"/>
      <c r="RW6" s="351"/>
      <c r="RX6" s="351"/>
      <c r="RY6" s="351"/>
      <c r="RZ6" s="351"/>
      <c r="SA6" s="351"/>
      <c r="SB6" s="351"/>
      <c r="SC6" s="351"/>
      <c r="SD6" s="351"/>
      <c r="SE6" s="351"/>
      <c r="SF6" s="351"/>
      <c r="SG6" s="351"/>
      <c r="SH6" s="351"/>
      <c r="SI6" s="351"/>
      <c r="SJ6" s="351"/>
      <c r="SK6" s="351"/>
      <c r="SL6" s="351"/>
      <c r="SM6" s="351"/>
      <c r="SN6" s="351"/>
      <c r="SO6" s="351"/>
      <c r="SP6" s="351"/>
      <c r="SQ6" s="351"/>
      <c r="SR6" s="351"/>
      <c r="SS6" s="351"/>
      <c r="ST6" s="351"/>
      <c r="SU6" s="351"/>
      <c r="SV6" s="351"/>
      <c r="SW6" s="351"/>
      <c r="SX6" s="351"/>
      <c r="SY6" s="351"/>
      <c r="SZ6" s="351"/>
      <c r="TA6" s="351"/>
      <c r="TB6" s="351"/>
      <c r="TC6" s="351"/>
      <c r="TD6" s="351"/>
      <c r="TE6" s="351"/>
      <c r="TF6" s="351"/>
      <c r="TG6" s="351"/>
      <c r="TH6" s="351"/>
      <c r="TI6" s="351"/>
      <c r="TJ6" s="351"/>
      <c r="TK6" s="351"/>
      <c r="TL6" s="351"/>
      <c r="TM6" s="351"/>
      <c r="TN6" s="351"/>
      <c r="TO6" s="351"/>
      <c r="TP6" s="351"/>
      <c r="TQ6" s="351"/>
      <c r="TR6" s="351"/>
      <c r="TS6" s="351"/>
      <c r="TT6" s="351"/>
      <c r="TU6" s="351"/>
      <c r="TV6" s="351"/>
      <c r="TW6" s="351"/>
      <c r="TX6" s="351"/>
      <c r="TY6" s="351"/>
      <c r="TZ6" s="351"/>
      <c r="UA6" s="351"/>
      <c r="UB6" s="351"/>
      <c r="UC6" s="351"/>
      <c r="UD6" s="351"/>
      <c r="UE6" s="351"/>
      <c r="UF6" s="351"/>
      <c r="UG6" s="351"/>
      <c r="UH6" s="351"/>
      <c r="UI6" s="351"/>
      <c r="UJ6" s="351"/>
      <c r="UK6" s="351"/>
      <c r="UL6" s="351"/>
      <c r="UM6" s="351"/>
      <c r="UN6" s="351"/>
      <c r="UO6" s="351"/>
      <c r="UP6" s="351"/>
      <c r="UQ6" s="351"/>
      <c r="UR6" s="351"/>
      <c r="US6" s="351"/>
      <c r="UT6" s="351"/>
      <c r="UU6" s="351"/>
      <c r="UV6" s="351"/>
      <c r="UW6" s="351"/>
      <c r="UX6" s="351"/>
      <c r="UY6" s="351"/>
      <c r="UZ6" s="351"/>
      <c r="VA6" s="351"/>
      <c r="VB6" s="351"/>
      <c r="VC6" s="351"/>
      <c r="VD6" s="351"/>
      <c r="VE6" s="351"/>
      <c r="VF6" s="351"/>
      <c r="VG6" s="351"/>
      <c r="VH6" s="351"/>
      <c r="VI6" s="351"/>
      <c r="VJ6" s="351"/>
      <c r="VK6" s="351"/>
      <c r="VL6" s="351"/>
      <c r="VM6" s="351"/>
      <c r="VN6" s="351"/>
      <c r="VO6" s="351"/>
      <c r="VP6" s="351"/>
      <c r="VQ6" s="351"/>
      <c r="VR6" s="351"/>
      <c r="VS6" s="351"/>
      <c r="VT6" s="351"/>
      <c r="VU6" s="351"/>
      <c r="VV6" s="351"/>
      <c r="VW6" s="351"/>
      <c r="VX6" s="351"/>
      <c r="VY6" s="351"/>
      <c r="VZ6" s="351"/>
      <c r="WA6" s="351"/>
      <c r="WB6" s="351"/>
      <c r="WC6" s="351"/>
      <c r="WD6" s="351"/>
      <c r="WE6" s="351"/>
      <c r="WF6" s="351"/>
      <c r="WG6" s="351"/>
      <c r="WH6" s="351"/>
      <c r="WI6" s="351"/>
      <c r="WJ6" s="351"/>
      <c r="WK6" s="351"/>
      <c r="WL6" s="351"/>
      <c r="WM6" s="351"/>
      <c r="WN6" s="351"/>
      <c r="WO6" s="351"/>
      <c r="WP6" s="351"/>
      <c r="WQ6" s="351"/>
      <c r="WR6" s="351"/>
      <c r="WS6" s="351"/>
      <c r="WT6" s="351"/>
      <c r="WU6" s="351"/>
      <c r="WV6" s="351"/>
      <c r="WW6" s="351"/>
      <c r="WX6" s="351"/>
      <c r="WY6" s="351"/>
      <c r="WZ6" s="351"/>
      <c r="XA6" s="351"/>
      <c r="XB6" s="351"/>
      <c r="XC6" s="351"/>
      <c r="XD6" s="351"/>
      <c r="XE6" s="351"/>
      <c r="XF6" s="351"/>
      <c r="XG6" s="351"/>
      <c r="XH6" s="351"/>
      <c r="XI6" s="351"/>
      <c r="XJ6" s="351"/>
      <c r="XK6" s="351"/>
      <c r="XL6" s="351"/>
      <c r="XM6" s="351"/>
      <c r="XN6" s="351"/>
      <c r="XO6" s="351"/>
      <c r="XP6" s="351"/>
      <c r="XQ6" s="351"/>
      <c r="XR6" s="351"/>
      <c r="XS6" s="351"/>
      <c r="XT6" s="351"/>
      <c r="XU6" s="351"/>
      <c r="XV6" s="351"/>
      <c r="XW6" s="351"/>
      <c r="XX6" s="351"/>
      <c r="XY6" s="351"/>
      <c r="XZ6" s="351"/>
      <c r="YA6" s="351"/>
      <c r="YB6" s="351"/>
      <c r="YC6" s="351"/>
      <c r="YD6" s="351"/>
      <c r="YE6" s="351"/>
      <c r="YF6" s="351"/>
      <c r="YG6" s="351"/>
      <c r="YH6" s="351"/>
      <c r="YI6" s="351"/>
      <c r="YJ6" s="351"/>
      <c r="YK6" s="351"/>
      <c r="YL6" s="351"/>
      <c r="YM6" s="351"/>
      <c r="YN6" s="351"/>
      <c r="YO6" s="351"/>
      <c r="YP6" s="351"/>
      <c r="YQ6" s="351"/>
      <c r="YR6" s="351"/>
      <c r="YS6" s="351"/>
      <c r="YT6" s="351"/>
      <c r="YU6" s="351"/>
      <c r="YV6" s="351"/>
      <c r="YW6" s="351"/>
      <c r="YX6" s="351"/>
      <c r="YY6" s="351"/>
      <c r="YZ6" s="351"/>
      <c r="ZA6" s="351"/>
      <c r="ZB6" s="351"/>
      <c r="ZC6" s="351"/>
      <c r="ZD6" s="351"/>
      <c r="ZE6" s="351"/>
      <c r="ZF6" s="351"/>
      <c r="ZG6" s="351"/>
      <c r="ZH6" s="351"/>
      <c r="ZI6" s="351"/>
      <c r="ZJ6" s="351"/>
      <c r="ZK6" s="351"/>
      <c r="ZL6" s="351"/>
      <c r="ZM6" s="351"/>
      <c r="ZN6" s="351"/>
      <c r="ZO6" s="351"/>
      <c r="ZP6" s="351"/>
      <c r="ZQ6" s="351"/>
      <c r="ZR6" s="351"/>
      <c r="ZS6" s="351"/>
      <c r="ZT6" s="351"/>
      <c r="ZU6" s="351"/>
      <c r="ZV6" s="351"/>
      <c r="ZW6" s="351"/>
      <c r="ZX6" s="351"/>
      <c r="ZY6" s="351"/>
      <c r="ZZ6" s="351"/>
      <c r="AAA6" s="351"/>
      <c r="AAB6" s="351"/>
      <c r="AAC6" s="351"/>
      <c r="AAD6" s="351"/>
      <c r="AAE6" s="351"/>
      <c r="AAF6" s="351"/>
      <c r="AAG6" s="351"/>
      <c r="AAH6" s="351"/>
      <c r="AAI6" s="351"/>
      <c r="AAJ6" s="351"/>
      <c r="AAK6" s="351"/>
      <c r="AAL6" s="351"/>
      <c r="AAM6" s="351"/>
      <c r="AAN6" s="351"/>
      <c r="AAO6" s="351"/>
      <c r="AAP6" s="351"/>
      <c r="AAQ6" s="351"/>
      <c r="AAR6" s="351"/>
      <c r="AAS6" s="351"/>
      <c r="AAT6" s="351"/>
      <c r="AAU6" s="351"/>
      <c r="AAV6" s="351"/>
      <c r="AAW6" s="351"/>
      <c r="AAX6" s="351"/>
      <c r="AAY6" s="351"/>
      <c r="AAZ6" s="351"/>
      <c r="ABA6" s="351"/>
      <c r="ABB6" s="351"/>
      <c r="ABC6" s="351"/>
      <c r="ABD6" s="351"/>
      <c r="ABE6" s="351"/>
      <c r="ABF6" s="351"/>
      <c r="ABG6" s="351"/>
      <c r="ABH6" s="351"/>
      <c r="ABI6" s="351"/>
      <c r="ABJ6" s="351"/>
      <c r="ABK6" s="351"/>
      <c r="ABL6" s="351"/>
      <c r="ABM6" s="351"/>
      <c r="ABN6" s="351"/>
      <c r="ABO6" s="351"/>
      <c r="ABP6" s="351"/>
      <c r="ABQ6" s="351"/>
      <c r="ABR6" s="351"/>
      <c r="ABS6" s="351"/>
      <c r="ABT6" s="351"/>
      <c r="ABU6" s="351"/>
      <c r="ABV6" s="351"/>
      <c r="ABW6" s="351"/>
      <c r="ABX6" s="351"/>
      <c r="ABY6" s="351"/>
      <c r="ABZ6" s="351"/>
      <c r="ACA6" s="351"/>
      <c r="ACB6" s="351"/>
      <c r="ACC6" s="351"/>
      <c r="ACD6" s="351"/>
      <c r="ACE6" s="351"/>
      <c r="ACF6" s="351"/>
      <c r="ACG6" s="351"/>
      <c r="ACH6" s="351"/>
      <c r="ACI6" s="351"/>
      <c r="ACJ6" s="351"/>
      <c r="ACK6" s="351"/>
      <c r="ACL6" s="351"/>
      <c r="ACM6" s="351"/>
      <c r="ACN6" s="351"/>
      <c r="ACO6" s="351"/>
      <c r="ACP6" s="351"/>
      <c r="ACQ6" s="351"/>
      <c r="ACR6" s="351"/>
      <c r="ACS6" s="351"/>
      <c r="ACT6" s="351"/>
      <c r="ACU6" s="351"/>
      <c r="ACV6" s="351"/>
      <c r="ACW6" s="351"/>
      <c r="ACX6" s="351"/>
      <c r="ACY6" s="351"/>
      <c r="ACZ6" s="351"/>
      <c r="ADA6" s="351"/>
      <c r="ADB6" s="351"/>
      <c r="ADC6" s="351"/>
      <c r="ADD6" s="351"/>
      <c r="ADE6" s="351"/>
      <c r="ADF6" s="351"/>
      <c r="ADG6" s="351"/>
      <c r="ADH6" s="351"/>
      <c r="ADI6" s="351"/>
      <c r="ADJ6" s="351"/>
      <c r="ADK6" s="351"/>
      <c r="ADL6" s="351"/>
      <c r="ADM6" s="351"/>
      <c r="ADN6" s="351"/>
      <c r="ADO6" s="351"/>
      <c r="ADP6" s="351"/>
      <c r="ADQ6" s="351"/>
      <c r="ADR6" s="351"/>
      <c r="ADS6" s="351"/>
      <c r="ADT6" s="351"/>
      <c r="ADU6" s="351"/>
      <c r="ADV6" s="351"/>
      <c r="ADW6" s="351"/>
      <c r="ADX6" s="351"/>
      <c r="ADY6" s="351"/>
      <c r="ADZ6" s="351"/>
      <c r="AEA6" s="351"/>
      <c r="AEB6" s="351"/>
      <c r="AEC6" s="351"/>
      <c r="AED6" s="351"/>
      <c r="AEE6" s="351"/>
      <c r="AEF6" s="351"/>
      <c r="AEG6" s="351"/>
      <c r="AEH6" s="351"/>
      <c r="AEI6" s="351"/>
      <c r="AEJ6" s="351"/>
      <c r="AEK6" s="351"/>
      <c r="AEL6" s="351"/>
      <c r="AEM6" s="351"/>
      <c r="AEN6" s="351"/>
      <c r="AEO6" s="351"/>
      <c r="AEP6" s="351"/>
      <c r="AEQ6" s="351"/>
      <c r="AER6" s="351"/>
      <c r="AES6" s="351"/>
      <c r="AET6" s="351"/>
      <c r="AEU6" s="351"/>
      <c r="AEV6" s="351"/>
      <c r="AEW6" s="351"/>
      <c r="AEX6" s="351"/>
      <c r="AEY6" s="351"/>
      <c r="AEZ6" s="351"/>
      <c r="AFA6" s="351"/>
      <c r="AFB6" s="351"/>
      <c r="AFC6" s="351"/>
      <c r="AFD6" s="351"/>
      <c r="AFE6" s="351"/>
      <c r="AFF6" s="351"/>
      <c r="AFG6" s="351"/>
      <c r="AFH6" s="351"/>
      <c r="AFI6" s="351"/>
      <c r="AFJ6" s="351"/>
      <c r="AFK6" s="351"/>
      <c r="AFL6" s="351"/>
      <c r="AFM6" s="351"/>
      <c r="AFN6" s="351"/>
      <c r="AFO6" s="351"/>
      <c r="AFP6" s="351"/>
      <c r="AFQ6" s="351"/>
      <c r="AFR6" s="351"/>
      <c r="AFS6" s="351"/>
      <c r="AFT6" s="351"/>
      <c r="AFU6" s="351"/>
      <c r="AFV6" s="351"/>
      <c r="AFW6" s="351"/>
      <c r="AFX6" s="351"/>
      <c r="AFY6" s="351"/>
      <c r="AFZ6" s="351"/>
      <c r="AGA6" s="351"/>
      <c r="AGB6" s="351"/>
      <c r="AGC6" s="351"/>
      <c r="AGD6" s="351"/>
      <c r="AGE6" s="351"/>
      <c r="AGF6" s="351"/>
      <c r="AGG6" s="351"/>
      <c r="AGH6" s="351"/>
      <c r="AGI6" s="351"/>
      <c r="AGJ6" s="351"/>
      <c r="AGK6" s="351"/>
      <c r="AGL6" s="351"/>
      <c r="AGM6" s="351"/>
      <c r="AGN6" s="351"/>
      <c r="AGO6" s="351"/>
      <c r="AGP6" s="351"/>
      <c r="AGQ6" s="351"/>
      <c r="AGR6" s="351"/>
      <c r="AGS6" s="351"/>
      <c r="AGT6" s="351"/>
      <c r="AGU6" s="351"/>
      <c r="AGV6" s="351"/>
      <c r="AGW6" s="351"/>
      <c r="AGX6" s="351"/>
      <c r="AGY6" s="351"/>
      <c r="AGZ6" s="351"/>
      <c r="AHA6" s="351"/>
      <c r="AHB6" s="351"/>
      <c r="AHC6" s="351"/>
      <c r="AHD6" s="351"/>
      <c r="AHE6" s="351"/>
      <c r="AHF6" s="351"/>
      <c r="AHG6" s="351"/>
      <c r="AHH6" s="351"/>
      <c r="AHI6" s="351"/>
      <c r="AHJ6" s="351"/>
      <c r="AHK6" s="351"/>
      <c r="AHL6" s="351"/>
      <c r="AHM6" s="351"/>
      <c r="AHN6" s="351"/>
      <c r="AHO6" s="351"/>
      <c r="AHP6" s="351"/>
      <c r="AHQ6" s="351"/>
      <c r="AHR6" s="351"/>
      <c r="AHS6" s="351"/>
      <c r="AHT6" s="351"/>
      <c r="AHU6" s="351"/>
      <c r="AHV6" s="351"/>
      <c r="AHW6" s="351"/>
      <c r="AHX6" s="351"/>
      <c r="AHY6" s="351"/>
      <c r="AHZ6" s="351"/>
      <c r="AIA6" s="351"/>
      <c r="AIB6" s="351"/>
      <c r="AIC6" s="351"/>
      <c r="AID6" s="351"/>
      <c r="AIE6" s="351"/>
      <c r="AIF6" s="351"/>
      <c r="AIG6" s="351"/>
      <c r="AIH6" s="351"/>
      <c r="AII6" s="351"/>
      <c r="AIJ6" s="351"/>
      <c r="AIK6" s="351"/>
      <c r="AIL6" s="351"/>
      <c r="AIM6" s="351"/>
      <c r="AIN6" s="351"/>
      <c r="AIO6" s="351"/>
      <c r="AIP6" s="351"/>
      <c r="AIQ6" s="351"/>
      <c r="AIR6" s="351"/>
      <c r="AIS6" s="351"/>
      <c r="AIT6" s="351"/>
      <c r="AIU6" s="351"/>
      <c r="AIV6" s="351"/>
      <c r="AIW6" s="351"/>
      <c r="AIX6" s="351"/>
      <c r="AIY6" s="351"/>
      <c r="AIZ6" s="351"/>
      <c r="AJA6" s="351"/>
      <c r="AJB6" s="351"/>
      <c r="AJC6" s="351"/>
      <c r="AJD6" s="351"/>
      <c r="AJE6" s="351"/>
      <c r="AJF6" s="351"/>
      <c r="AJG6" s="351"/>
      <c r="AJH6" s="351"/>
      <c r="AJI6" s="351"/>
      <c r="AJJ6" s="351"/>
      <c r="AJK6" s="351"/>
      <c r="AJL6" s="351"/>
      <c r="AJM6" s="351"/>
      <c r="AJN6" s="351"/>
      <c r="AJO6" s="351"/>
      <c r="AJP6" s="351"/>
      <c r="AJQ6" s="351"/>
      <c r="AJR6" s="351"/>
      <c r="AJS6" s="351"/>
      <c r="AJT6" s="351"/>
      <c r="AJU6" s="351"/>
      <c r="AJV6" s="351"/>
      <c r="AJW6" s="351"/>
      <c r="AJX6" s="351"/>
      <c r="AJY6" s="351"/>
      <c r="AJZ6" s="351"/>
      <c r="AKA6" s="351"/>
      <c r="AKB6" s="351"/>
      <c r="AKC6" s="351"/>
      <c r="AKD6" s="351"/>
      <c r="AKE6" s="351"/>
      <c r="AKF6" s="351"/>
      <c r="AKG6" s="351"/>
      <c r="AKH6" s="351"/>
      <c r="AKI6" s="351"/>
      <c r="AKJ6" s="351"/>
      <c r="AKK6" s="351"/>
      <c r="AKL6" s="351"/>
      <c r="AKM6" s="351"/>
      <c r="AKN6" s="351"/>
      <c r="AKO6" s="351"/>
    </row>
    <row r="7" spans="1:977" s="417" customFormat="1" ht="18.95" customHeight="1" thickTop="1" thickBot="1" x14ac:dyDescent="0.35">
      <c r="A7" s="409"/>
      <c r="B7" s="410">
        <v>2026</v>
      </c>
      <c r="C7" s="411">
        <v>5</v>
      </c>
      <c r="D7" s="411">
        <v>6</v>
      </c>
      <c r="E7" s="411">
        <v>7</v>
      </c>
      <c r="F7" s="411">
        <v>8</v>
      </c>
      <c r="G7" s="411">
        <v>9</v>
      </c>
      <c r="H7" s="411">
        <v>10</v>
      </c>
      <c r="I7" s="411">
        <v>11</v>
      </c>
      <c r="J7" s="517"/>
      <c r="K7" s="411">
        <v>12</v>
      </c>
      <c r="L7" s="411">
        <v>13</v>
      </c>
      <c r="M7" s="411">
        <v>14</v>
      </c>
      <c r="N7" s="411">
        <v>15</v>
      </c>
      <c r="O7" s="411">
        <v>16</v>
      </c>
      <c r="P7" s="411">
        <v>17</v>
      </c>
      <c r="Q7" s="411">
        <v>18</v>
      </c>
      <c r="R7" s="517"/>
      <c r="S7" s="411">
        <v>19</v>
      </c>
      <c r="T7" s="411">
        <v>20</v>
      </c>
      <c r="U7" s="411">
        <v>21</v>
      </c>
      <c r="V7" s="411">
        <v>22</v>
      </c>
      <c r="W7" s="411">
        <v>23</v>
      </c>
      <c r="X7" s="411">
        <v>24</v>
      </c>
      <c r="Y7" s="411">
        <v>25</v>
      </c>
      <c r="Z7" s="517"/>
      <c r="AA7" s="411">
        <v>26</v>
      </c>
      <c r="AB7" s="411">
        <v>27</v>
      </c>
      <c r="AC7" s="411">
        <v>28</v>
      </c>
      <c r="AD7" s="411">
        <v>29</v>
      </c>
      <c r="AE7" s="411">
        <v>30</v>
      </c>
      <c r="AF7" s="411">
        <v>31</v>
      </c>
      <c r="AG7" s="411">
        <v>1</v>
      </c>
      <c r="AH7" s="412"/>
      <c r="AI7" s="432"/>
      <c r="AJ7" s="413" t="s">
        <v>259</v>
      </c>
      <c r="AK7" s="414" t="s">
        <v>260</v>
      </c>
      <c r="AL7" s="413" t="s">
        <v>259</v>
      </c>
      <c r="AM7" s="414" t="s">
        <v>260</v>
      </c>
      <c r="AN7" s="413" t="s">
        <v>259</v>
      </c>
      <c r="AO7" s="414" t="s">
        <v>260</v>
      </c>
      <c r="AP7" s="413" t="s">
        <v>259</v>
      </c>
      <c r="AQ7" s="414" t="s">
        <v>260</v>
      </c>
      <c r="AR7" s="413" t="s">
        <v>259</v>
      </c>
      <c r="AS7" s="414" t="s">
        <v>260</v>
      </c>
      <c r="AT7" s="413" t="s">
        <v>259</v>
      </c>
      <c r="AU7" s="414" t="s">
        <v>260</v>
      </c>
      <c r="AV7" s="413" t="s">
        <v>259</v>
      </c>
      <c r="AW7" s="414" t="s">
        <v>260</v>
      </c>
      <c r="AX7" s="415"/>
      <c r="AY7" s="416"/>
      <c r="AZ7" s="416"/>
      <c r="BA7" s="416"/>
      <c r="BB7" s="416"/>
      <c r="BC7" s="416"/>
      <c r="BD7" s="416"/>
      <c r="BE7" s="416"/>
      <c r="BF7" s="416"/>
      <c r="BG7" s="416"/>
      <c r="BH7" s="416"/>
      <c r="BI7" s="416"/>
      <c r="BJ7" s="416"/>
      <c r="BK7" s="416"/>
      <c r="BL7" s="416"/>
      <c r="BM7" s="416"/>
      <c r="BN7" s="416"/>
      <c r="BO7" s="416"/>
      <c r="BP7" s="416"/>
      <c r="BQ7" s="416"/>
      <c r="BR7" s="416"/>
      <c r="BS7" s="416"/>
      <c r="BT7" s="416"/>
      <c r="BU7" s="416"/>
      <c r="BV7" s="416"/>
      <c r="BW7" s="416"/>
      <c r="BX7" s="416"/>
      <c r="BY7" s="416"/>
      <c r="BZ7" s="416"/>
      <c r="CA7" s="416"/>
      <c r="CB7" s="416"/>
      <c r="CC7" s="416"/>
      <c r="CD7" s="416"/>
      <c r="CE7" s="416"/>
      <c r="CF7" s="416"/>
      <c r="CG7" s="416"/>
      <c r="CH7" s="416"/>
      <c r="CI7" s="416"/>
      <c r="CJ7" s="416"/>
      <c r="CK7" s="416"/>
      <c r="CL7" s="416"/>
      <c r="CM7" s="416"/>
      <c r="CN7" s="416"/>
      <c r="CO7" s="416"/>
      <c r="CP7" s="416"/>
      <c r="CQ7" s="416"/>
      <c r="CR7" s="416"/>
      <c r="CS7" s="416"/>
      <c r="CT7" s="416"/>
      <c r="CU7" s="416"/>
      <c r="CV7" s="416"/>
      <c r="CW7" s="416"/>
      <c r="CX7" s="416"/>
      <c r="CY7" s="416"/>
      <c r="CZ7" s="416"/>
      <c r="DA7" s="416"/>
      <c r="DB7" s="416"/>
      <c r="DC7" s="416"/>
      <c r="DD7" s="416"/>
      <c r="DE7" s="416"/>
      <c r="DF7" s="416"/>
      <c r="DG7" s="416"/>
      <c r="DH7" s="416"/>
      <c r="DI7" s="416"/>
      <c r="DJ7" s="416"/>
      <c r="DK7" s="416"/>
      <c r="DL7" s="416"/>
      <c r="DM7" s="416"/>
      <c r="DN7" s="416"/>
      <c r="DO7" s="416"/>
      <c r="DP7" s="416"/>
      <c r="DQ7" s="416"/>
      <c r="DR7" s="416"/>
      <c r="DS7" s="416"/>
      <c r="DT7" s="416"/>
      <c r="DU7" s="416"/>
      <c r="DV7" s="416"/>
      <c r="DW7" s="416"/>
      <c r="DX7" s="416"/>
      <c r="DY7" s="416"/>
      <c r="DZ7" s="416"/>
      <c r="EA7" s="416"/>
      <c r="EB7" s="416"/>
      <c r="EC7" s="416"/>
      <c r="ED7" s="416"/>
      <c r="EE7" s="416"/>
      <c r="EF7" s="416"/>
      <c r="EG7" s="416"/>
      <c r="EH7" s="416"/>
      <c r="EI7" s="416"/>
      <c r="EJ7" s="416"/>
      <c r="EK7" s="416"/>
      <c r="EL7" s="416"/>
      <c r="EM7" s="416"/>
      <c r="EN7" s="416"/>
      <c r="EO7" s="416"/>
      <c r="EP7" s="416"/>
      <c r="EQ7" s="416"/>
      <c r="ER7" s="416"/>
      <c r="ES7" s="416"/>
      <c r="ET7" s="416"/>
      <c r="EU7" s="416"/>
      <c r="EV7" s="416"/>
      <c r="EW7" s="416"/>
      <c r="EX7" s="416"/>
      <c r="EY7" s="416"/>
      <c r="EZ7" s="416"/>
      <c r="FA7" s="416"/>
      <c r="FB7" s="416"/>
      <c r="FC7" s="416"/>
      <c r="FD7" s="416"/>
      <c r="FE7" s="416"/>
      <c r="FF7" s="416"/>
      <c r="FG7" s="416"/>
      <c r="FH7" s="416"/>
      <c r="FI7" s="416"/>
      <c r="FJ7" s="416"/>
      <c r="FK7" s="416"/>
      <c r="FL7" s="416"/>
      <c r="FM7" s="416"/>
      <c r="FN7" s="416"/>
      <c r="FO7" s="416"/>
      <c r="FP7" s="416"/>
      <c r="FQ7" s="416"/>
      <c r="FR7" s="416"/>
      <c r="FS7" s="416"/>
      <c r="FT7" s="416"/>
      <c r="FU7" s="416"/>
      <c r="FV7" s="416"/>
      <c r="FW7" s="416"/>
      <c r="FX7" s="416"/>
      <c r="FY7" s="416"/>
      <c r="FZ7" s="416"/>
      <c r="GA7" s="416"/>
      <c r="GB7" s="416"/>
      <c r="GC7" s="416"/>
      <c r="GD7" s="416"/>
      <c r="GE7" s="416"/>
      <c r="GF7" s="416"/>
      <c r="GG7" s="416"/>
      <c r="GH7" s="416"/>
      <c r="GI7" s="416"/>
      <c r="GJ7" s="416"/>
      <c r="GK7" s="416"/>
      <c r="GL7" s="416"/>
      <c r="GM7" s="416"/>
      <c r="GN7" s="416"/>
      <c r="GO7" s="416"/>
      <c r="GP7" s="416"/>
      <c r="GQ7" s="416"/>
      <c r="GR7" s="416"/>
      <c r="GS7" s="416"/>
      <c r="GT7" s="416"/>
      <c r="GU7" s="416"/>
      <c r="GV7" s="416"/>
      <c r="GW7" s="416"/>
      <c r="GX7" s="416"/>
      <c r="GY7" s="416"/>
      <c r="GZ7" s="416"/>
      <c r="HA7" s="416"/>
      <c r="HB7" s="416"/>
      <c r="HC7" s="416"/>
      <c r="HD7" s="416"/>
      <c r="HE7" s="416"/>
      <c r="HF7" s="416"/>
      <c r="HG7" s="416"/>
      <c r="HH7" s="416"/>
      <c r="HI7" s="416"/>
      <c r="HJ7" s="416"/>
      <c r="HK7" s="416"/>
      <c r="HL7" s="416"/>
      <c r="HM7" s="416"/>
      <c r="HN7" s="416"/>
      <c r="HO7" s="416"/>
      <c r="HP7" s="416"/>
      <c r="HQ7" s="416"/>
      <c r="HR7" s="416"/>
      <c r="HS7" s="416"/>
      <c r="HT7" s="416"/>
      <c r="HU7" s="416"/>
      <c r="HV7" s="416"/>
      <c r="HW7" s="416"/>
      <c r="HX7" s="416"/>
      <c r="HY7" s="416"/>
      <c r="HZ7" s="416"/>
      <c r="IA7" s="416"/>
      <c r="IB7" s="416"/>
      <c r="IC7" s="416"/>
      <c r="ID7" s="416"/>
      <c r="IE7" s="416"/>
      <c r="IF7" s="416"/>
      <c r="IG7" s="416"/>
      <c r="IH7" s="416"/>
      <c r="II7" s="416"/>
      <c r="IJ7" s="416"/>
      <c r="IK7" s="416"/>
      <c r="IL7" s="416"/>
      <c r="IM7" s="416"/>
      <c r="IN7" s="416"/>
      <c r="IO7" s="416"/>
      <c r="IP7" s="416"/>
      <c r="IQ7" s="416"/>
      <c r="IR7" s="416"/>
      <c r="IS7" s="416"/>
      <c r="IT7" s="416"/>
      <c r="IU7" s="416"/>
      <c r="IV7" s="416"/>
      <c r="IW7" s="416"/>
      <c r="IX7" s="416"/>
      <c r="IY7" s="416"/>
      <c r="IZ7" s="416"/>
      <c r="JA7" s="416"/>
      <c r="JB7" s="416"/>
      <c r="JC7" s="416"/>
      <c r="JD7" s="416"/>
      <c r="JE7" s="416"/>
      <c r="JF7" s="416"/>
      <c r="JG7" s="416"/>
      <c r="JH7" s="416"/>
      <c r="JI7" s="416"/>
      <c r="JJ7" s="416"/>
      <c r="JK7" s="416"/>
      <c r="JL7" s="416"/>
      <c r="JM7" s="416"/>
      <c r="JN7" s="416"/>
      <c r="JO7" s="416"/>
      <c r="JP7" s="416"/>
      <c r="JQ7" s="416"/>
      <c r="JR7" s="416"/>
      <c r="JS7" s="416"/>
      <c r="JT7" s="416"/>
      <c r="JU7" s="416"/>
      <c r="JV7" s="416"/>
      <c r="JW7" s="416"/>
      <c r="JX7" s="416"/>
      <c r="JY7" s="416"/>
      <c r="JZ7" s="416"/>
      <c r="KA7" s="416"/>
      <c r="KB7" s="416"/>
      <c r="KC7" s="416"/>
      <c r="KD7" s="416"/>
      <c r="KE7" s="416"/>
      <c r="KF7" s="416"/>
      <c r="KG7" s="416"/>
      <c r="KH7" s="416"/>
      <c r="KI7" s="416"/>
      <c r="KJ7" s="416"/>
      <c r="KK7" s="416"/>
      <c r="KL7" s="416"/>
      <c r="KM7" s="416"/>
      <c r="KN7" s="416"/>
      <c r="KO7" s="416"/>
      <c r="KP7" s="416"/>
      <c r="KQ7" s="416"/>
      <c r="KR7" s="416"/>
      <c r="KS7" s="416"/>
      <c r="KT7" s="416"/>
      <c r="KU7" s="416"/>
      <c r="KV7" s="416"/>
      <c r="KW7" s="416"/>
      <c r="KX7" s="416"/>
      <c r="KY7" s="416"/>
      <c r="KZ7" s="416"/>
      <c r="LA7" s="416"/>
      <c r="LB7" s="416"/>
      <c r="LC7" s="416"/>
      <c r="LD7" s="416"/>
      <c r="LE7" s="416"/>
      <c r="LF7" s="416"/>
      <c r="LG7" s="416"/>
      <c r="LH7" s="416"/>
      <c r="LI7" s="416"/>
      <c r="LJ7" s="416"/>
      <c r="LK7" s="416"/>
      <c r="LL7" s="416"/>
      <c r="LM7" s="416"/>
      <c r="LN7" s="416"/>
      <c r="LO7" s="416"/>
      <c r="LP7" s="416"/>
      <c r="LQ7" s="416"/>
      <c r="LR7" s="416"/>
      <c r="LS7" s="416"/>
      <c r="LT7" s="416"/>
      <c r="LU7" s="416"/>
      <c r="LV7" s="416"/>
      <c r="LW7" s="416"/>
      <c r="LX7" s="416"/>
      <c r="LY7" s="416"/>
      <c r="LZ7" s="416"/>
      <c r="MA7" s="416"/>
      <c r="MB7" s="416"/>
      <c r="MC7" s="416"/>
      <c r="MD7" s="416"/>
      <c r="ME7" s="416"/>
      <c r="MF7" s="416"/>
      <c r="MG7" s="416"/>
      <c r="MH7" s="416"/>
      <c r="MI7" s="416"/>
      <c r="MJ7" s="416"/>
      <c r="MK7" s="416"/>
      <c r="ML7" s="416"/>
      <c r="MM7" s="416"/>
      <c r="MN7" s="416"/>
      <c r="MO7" s="416"/>
      <c r="MP7" s="416"/>
      <c r="MQ7" s="416"/>
      <c r="MR7" s="416"/>
      <c r="MS7" s="416"/>
      <c r="MT7" s="416"/>
      <c r="MU7" s="416"/>
      <c r="MV7" s="416"/>
      <c r="MW7" s="416"/>
      <c r="MX7" s="416"/>
      <c r="MY7" s="416"/>
      <c r="MZ7" s="416"/>
      <c r="NA7" s="416"/>
      <c r="NB7" s="416"/>
      <c r="NC7" s="416"/>
      <c r="ND7" s="416"/>
      <c r="NE7" s="416"/>
      <c r="NF7" s="416"/>
      <c r="NG7" s="416"/>
      <c r="NH7" s="416"/>
      <c r="NI7" s="416"/>
      <c r="NJ7" s="416"/>
      <c r="NK7" s="416"/>
      <c r="NL7" s="416"/>
      <c r="NM7" s="416"/>
      <c r="NN7" s="416"/>
      <c r="NO7" s="416"/>
      <c r="NP7" s="416"/>
      <c r="NQ7" s="416"/>
      <c r="NR7" s="416"/>
      <c r="NS7" s="416"/>
      <c r="NT7" s="416"/>
      <c r="NU7" s="416"/>
      <c r="NV7" s="416"/>
      <c r="NW7" s="416"/>
      <c r="NX7" s="416"/>
      <c r="NY7" s="416"/>
      <c r="NZ7" s="416"/>
      <c r="OA7" s="416"/>
      <c r="OB7" s="416"/>
      <c r="OC7" s="416"/>
      <c r="OD7" s="416"/>
      <c r="OE7" s="416"/>
      <c r="OF7" s="416"/>
      <c r="OG7" s="416"/>
      <c r="OH7" s="416"/>
      <c r="OI7" s="416"/>
      <c r="OJ7" s="416"/>
      <c r="OK7" s="416"/>
      <c r="OL7" s="416"/>
      <c r="OM7" s="416"/>
      <c r="ON7" s="416"/>
      <c r="OO7" s="416"/>
      <c r="OP7" s="416"/>
      <c r="OQ7" s="416"/>
      <c r="OR7" s="416"/>
      <c r="OS7" s="416"/>
      <c r="OT7" s="416"/>
      <c r="OU7" s="416"/>
      <c r="OV7" s="416"/>
      <c r="OW7" s="416"/>
      <c r="OX7" s="416"/>
      <c r="OY7" s="416"/>
      <c r="OZ7" s="416"/>
      <c r="PA7" s="416"/>
      <c r="PB7" s="416"/>
      <c r="PC7" s="416"/>
      <c r="PD7" s="416"/>
      <c r="PE7" s="416"/>
      <c r="PF7" s="416"/>
      <c r="PG7" s="416"/>
      <c r="PH7" s="416"/>
      <c r="PI7" s="416"/>
      <c r="PJ7" s="416"/>
      <c r="PK7" s="416"/>
      <c r="PL7" s="416"/>
      <c r="PM7" s="416"/>
      <c r="PN7" s="416"/>
      <c r="PO7" s="416"/>
      <c r="PP7" s="416"/>
      <c r="PQ7" s="416"/>
      <c r="PR7" s="416"/>
      <c r="PS7" s="416"/>
      <c r="PT7" s="416"/>
      <c r="PU7" s="416"/>
      <c r="PV7" s="416"/>
      <c r="PW7" s="416"/>
      <c r="PX7" s="416"/>
      <c r="PY7" s="416"/>
      <c r="PZ7" s="416"/>
      <c r="QA7" s="416"/>
      <c r="QB7" s="416"/>
      <c r="QC7" s="416"/>
      <c r="QD7" s="416"/>
      <c r="QE7" s="416"/>
      <c r="QF7" s="416"/>
      <c r="QG7" s="416"/>
      <c r="QH7" s="416"/>
      <c r="QI7" s="416"/>
      <c r="QJ7" s="416"/>
      <c r="QK7" s="416"/>
      <c r="QL7" s="416"/>
      <c r="QM7" s="416"/>
      <c r="QN7" s="416"/>
      <c r="QO7" s="416"/>
      <c r="QP7" s="416"/>
      <c r="QQ7" s="416"/>
      <c r="QR7" s="416"/>
      <c r="QS7" s="416"/>
      <c r="QT7" s="416"/>
      <c r="QU7" s="416"/>
      <c r="QV7" s="416"/>
      <c r="QW7" s="416"/>
      <c r="QX7" s="416"/>
      <c r="QY7" s="416"/>
      <c r="QZ7" s="416"/>
      <c r="RA7" s="416"/>
      <c r="RB7" s="416"/>
      <c r="RC7" s="416"/>
      <c r="RD7" s="416"/>
      <c r="RE7" s="416"/>
      <c r="RF7" s="416"/>
      <c r="RG7" s="416"/>
      <c r="RH7" s="416"/>
      <c r="RI7" s="416"/>
      <c r="RJ7" s="416"/>
      <c r="RK7" s="416"/>
      <c r="RL7" s="416"/>
      <c r="RM7" s="416"/>
      <c r="RN7" s="416"/>
      <c r="RO7" s="416"/>
      <c r="RP7" s="416"/>
      <c r="RQ7" s="416"/>
      <c r="RR7" s="416"/>
      <c r="RS7" s="416"/>
      <c r="RT7" s="416"/>
      <c r="RU7" s="416"/>
      <c r="RV7" s="416"/>
      <c r="RW7" s="416"/>
      <c r="RX7" s="416"/>
      <c r="RY7" s="416"/>
      <c r="RZ7" s="416"/>
      <c r="SA7" s="416"/>
      <c r="SB7" s="416"/>
      <c r="SC7" s="416"/>
      <c r="SD7" s="416"/>
      <c r="SE7" s="416"/>
      <c r="SF7" s="416"/>
      <c r="SG7" s="416"/>
      <c r="SH7" s="416"/>
      <c r="SI7" s="416"/>
      <c r="SJ7" s="416"/>
      <c r="SK7" s="416"/>
      <c r="SL7" s="416"/>
      <c r="SM7" s="416"/>
      <c r="SN7" s="416"/>
      <c r="SO7" s="416"/>
      <c r="SP7" s="416"/>
      <c r="SQ7" s="416"/>
      <c r="SR7" s="416"/>
      <c r="SS7" s="416"/>
      <c r="ST7" s="416"/>
      <c r="SU7" s="416"/>
      <c r="SV7" s="416"/>
      <c r="SW7" s="416"/>
      <c r="SX7" s="416"/>
      <c r="SY7" s="416"/>
      <c r="SZ7" s="416"/>
      <c r="TA7" s="416"/>
      <c r="TB7" s="416"/>
      <c r="TC7" s="416"/>
      <c r="TD7" s="416"/>
      <c r="TE7" s="416"/>
      <c r="TF7" s="416"/>
      <c r="TG7" s="416"/>
      <c r="TH7" s="416"/>
      <c r="TI7" s="416"/>
      <c r="TJ7" s="416"/>
      <c r="TK7" s="416"/>
      <c r="TL7" s="416"/>
      <c r="TM7" s="416"/>
      <c r="TN7" s="416"/>
      <c r="TO7" s="416"/>
      <c r="TP7" s="416"/>
      <c r="TQ7" s="416"/>
      <c r="TR7" s="416"/>
      <c r="TS7" s="416"/>
      <c r="TT7" s="416"/>
      <c r="TU7" s="416"/>
      <c r="TV7" s="416"/>
      <c r="TW7" s="416"/>
      <c r="TX7" s="416"/>
      <c r="TY7" s="416"/>
      <c r="TZ7" s="416"/>
      <c r="UA7" s="416"/>
      <c r="UB7" s="416"/>
      <c r="UC7" s="416"/>
      <c r="UD7" s="416"/>
      <c r="UE7" s="416"/>
      <c r="UF7" s="416"/>
      <c r="UG7" s="416"/>
      <c r="UH7" s="416"/>
      <c r="UI7" s="416"/>
      <c r="UJ7" s="416"/>
      <c r="UK7" s="416"/>
      <c r="UL7" s="416"/>
      <c r="UM7" s="416"/>
      <c r="UN7" s="416"/>
      <c r="UO7" s="416"/>
      <c r="UP7" s="416"/>
      <c r="UQ7" s="416"/>
      <c r="UR7" s="416"/>
      <c r="US7" s="416"/>
      <c r="UT7" s="416"/>
      <c r="UU7" s="416"/>
      <c r="UV7" s="416"/>
      <c r="UW7" s="416"/>
      <c r="UX7" s="416"/>
      <c r="UY7" s="416"/>
      <c r="UZ7" s="416"/>
      <c r="VA7" s="416"/>
      <c r="VB7" s="416"/>
      <c r="VC7" s="416"/>
      <c r="VD7" s="416"/>
      <c r="VE7" s="416"/>
      <c r="VF7" s="416"/>
      <c r="VG7" s="416"/>
      <c r="VH7" s="416"/>
      <c r="VI7" s="416"/>
      <c r="VJ7" s="416"/>
      <c r="VK7" s="416"/>
      <c r="VL7" s="416"/>
      <c r="VM7" s="416"/>
      <c r="VN7" s="416"/>
      <c r="VO7" s="416"/>
      <c r="VP7" s="416"/>
      <c r="VQ7" s="416"/>
      <c r="VR7" s="416"/>
      <c r="VS7" s="416"/>
      <c r="VT7" s="416"/>
      <c r="VU7" s="416"/>
      <c r="VV7" s="416"/>
      <c r="VW7" s="416"/>
      <c r="VX7" s="416"/>
      <c r="VY7" s="416"/>
      <c r="VZ7" s="416"/>
      <c r="WA7" s="416"/>
      <c r="WB7" s="416"/>
      <c r="WC7" s="416"/>
      <c r="WD7" s="416"/>
      <c r="WE7" s="416"/>
      <c r="WF7" s="416"/>
      <c r="WG7" s="416"/>
      <c r="WH7" s="416"/>
      <c r="WI7" s="416"/>
      <c r="WJ7" s="416"/>
      <c r="WK7" s="416"/>
      <c r="WL7" s="416"/>
      <c r="WM7" s="416"/>
      <c r="WN7" s="416"/>
      <c r="WO7" s="416"/>
      <c r="WP7" s="416"/>
      <c r="WQ7" s="416"/>
      <c r="WR7" s="416"/>
      <c r="WS7" s="416"/>
      <c r="WT7" s="416"/>
      <c r="WU7" s="416"/>
      <c r="WV7" s="416"/>
      <c r="WW7" s="416"/>
      <c r="WX7" s="416"/>
      <c r="WY7" s="416"/>
      <c r="WZ7" s="416"/>
      <c r="XA7" s="416"/>
      <c r="XB7" s="416"/>
      <c r="XC7" s="416"/>
      <c r="XD7" s="416"/>
      <c r="XE7" s="416"/>
      <c r="XF7" s="416"/>
      <c r="XG7" s="416"/>
      <c r="XH7" s="416"/>
      <c r="XI7" s="416"/>
      <c r="XJ7" s="416"/>
      <c r="XK7" s="416"/>
      <c r="XL7" s="416"/>
      <c r="XM7" s="416"/>
      <c r="XN7" s="416"/>
      <c r="XO7" s="416"/>
      <c r="XP7" s="416"/>
      <c r="XQ7" s="416"/>
      <c r="XR7" s="416"/>
      <c r="XS7" s="416"/>
      <c r="XT7" s="416"/>
      <c r="XU7" s="416"/>
      <c r="XV7" s="416"/>
      <c r="XW7" s="416"/>
      <c r="XX7" s="416"/>
      <c r="XY7" s="416"/>
      <c r="XZ7" s="416"/>
      <c r="YA7" s="416"/>
      <c r="YB7" s="416"/>
      <c r="YC7" s="416"/>
      <c r="YD7" s="416"/>
      <c r="YE7" s="416"/>
      <c r="YF7" s="416"/>
      <c r="YG7" s="416"/>
      <c r="YH7" s="416"/>
      <c r="YI7" s="416"/>
      <c r="YJ7" s="416"/>
      <c r="YK7" s="416"/>
      <c r="YL7" s="416"/>
      <c r="YM7" s="416"/>
      <c r="YN7" s="416"/>
      <c r="YO7" s="416"/>
      <c r="YP7" s="416"/>
      <c r="YQ7" s="416"/>
      <c r="YR7" s="416"/>
      <c r="YS7" s="416"/>
      <c r="YT7" s="416"/>
      <c r="YU7" s="416"/>
      <c r="YV7" s="416"/>
      <c r="YW7" s="416"/>
      <c r="YX7" s="416"/>
      <c r="YY7" s="416"/>
      <c r="YZ7" s="416"/>
      <c r="ZA7" s="416"/>
      <c r="ZB7" s="416"/>
      <c r="ZC7" s="416"/>
      <c r="ZD7" s="416"/>
      <c r="ZE7" s="416"/>
      <c r="ZF7" s="416"/>
      <c r="ZG7" s="416"/>
      <c r="ZH7" s="416"/>
      <c r="ZI7" s="416"/>
      <c r="ZJ7" s="416"/>
      <c r="ZK7" s="416"/>
      <c r="ZL7" s="416"/>
      <c r="ZM7" s="416"/>
      <c r="ZN7" s="416"/>
      <c r="ZO7" s="416"/>
      <c r="ZP7" s="416"/>
      <c r="ZQ7" s="416"/>
      <c r="ZR7" s="416"/>
      <c r="ZS7" s="416"/>
      <c r="ZT7" s="416"/>
      <c r="ZU7" s="416"/>
      <c r="ZV7" s="416"/>
      <c r="ZW7" s="416"/>
      <c r="ZX7" s="416"/>
      <c r="ZY7" s="416"/>
      <c r="ZZ7" s="416"/>
      <c r="AAA7" s="416"/>
      <c r="AAB7" s="416"/>
      <c r="AAC7" s="416"/>
      <c r="AAD7" s="416"/>
      <c r="AAE7" s="416"/>
      <c r="AAF7" s="416"/>
      <c r="AAG7" s="416"/>
      <c r="AAH7" s="416"/>
      <c r="AAI7" s="416"/>
      <c r="AAJ7" s="416"/>
      <c r="AAK7" s="416"/>
      <c r="AAL7" s="416"/>
      <c r="AAM7" s="416"/>
      <c r="AAN7" s="416"/>
      <c r="AAO7" s="416"/>
      <c r="AAP7" s="416"/>
      <c r="AAQ7" s="416"/>
      <c r="AAR7" s="416"/>
      <c r="AAS7" s="416"/>
      <c r="AAT7" s="416"/>
      <c r="AAU7" s="416"/>
      <c r="AAV7" s="416"/>
      <c r="AAW7" s="416"/>
      <c r="AAX7" s="416"/>
      <c r="AAY7" s="416"/>
      <c r="AAZ7" s="416"/>
      <c r="ABA7" s="416"/>
      <c r="ABB7" s="416"/>
      <c r="ABC7" s="416"/>
      <c r="ABD7" s="416"/>
      <c r="ABE7" s="416"/>
      <c r="ABF7" s="416"/>
      <c r="ABG7" s="416"/>
      <c r="ABH7" s="416"/>
      <c r="ABI7" s="416"/>
      <c r="ABJ7" s="416"/>
      <c r="ABK7" s="416"/>
      <c r="ABL7" s="416"/>
      <c r="ABM7" s="416"/>
      <c r="ABN7" s="416"/>
      <c r="ABO7" s="416"/>
      <c r="ABP7" s="416"/>
      <c r="ABQ7" s="416"/>
      <c r="ABR7" s="416"/>
      <c r="ABS7" s="416"/>
      <c r="ABT7" s="416"/>
      <c r="ABU7" s="416"/>
      <c r="ABV7" s="416"/>
      <c r="ABW7" s="416"/>
      <c r="ABX7" s="416"/>
      <c r="ABY7" s="416"/>
      <c r="ABZ7" s="416"/>
      <c r="ACA7" s="416"/>
      <c r="ACB7" s="416"/>
      <c r="ACC7" s="416"/>
      <c r="ACD7" s="416"/>
      <c r="ACE7" s="416"/>
      <c r="ACF7" s="416"/>
      <c r="ACG7" s="416"/>
      <c r="ACH7" s="416"/>
      <c r="ACI7" s="416"/>
      <c r="ACJ7" s="416"/>
      <c r="ACK7" s="416"/>
      <c r="ACL7" s="416"/>
      <c r="ACM7" s="416"/>
      <c r="ACN7" s="416"/>
      <c r="ACO7" s="416"/>
      <c r="ACP7" s="416"/>
      <c r="ACQ7" s="416"/>
      <c r="ACR7" s="416"/>
      <c r="ACS7" s="416"/>
      <c r="ACT7" s="416"/>
      <c r="ACU7" s="416"/>
      <c r="ACV7" s="416"/>
      <c r="ACW7" s="416"/>
      <c r="ACX7" s="416"/>
      <c r="ACY7" s="416"/>
      <c r="ACZ7" s="416"/>
      <c r="ADA7" s="416"/>
      <c r="ADB7" s="416"/>
      <c r="ADC7" s="416"/>
      <c r="ADD7" s="416"/>
      <c r="ADE7" s="416"/>
      <c r="ADF7" s="416"/>
      <c r="ADG7" s="416"/>
      <c r="ADH7" s="416"/>
      <c r="ADI7" s="416"/>
      <c r="ADJ7" s="416"/>
      <c r="ADK7" s="416"/>
      <c r="ADL7" s="416"/>
      <c r="ADM7" s="416"/>
      <c r="ADN7" s="416"/>
      <c r="ADO7" s="416"/>
      <c r="ADP7" s="416"/>
      <c r="ADQ7" s="416"/>
      <c r="ADR7" s="416"/>
      <c r="ADS7" s="416"/>
      <c r="ADT7" s="416"/>
      <c r="ADU7" s="416"/>
      <c r="ADV7" s="416"/>
      <c r="ADW7" s="416"/>
      <c r="ADX7" s="416"/>
      <c r="ADY7" s="416"/>
      <c r="ADZ7" s="416"/>
      <c r="AEA7" s="416"/>
      <c r="AEB7" s="416"/>
      <c r="AEC7" s="416"/>
      <c r="AED7" s="416"/>
      <c r="AEE7" s="416"/>
      <c r="AEF7" s="416"/>
      <c r="AEG7" s="416"/>
      <c r="AEH7" s="416"/>
      <c r="AEI7" s="416"/>
      <c r="AEJ7" s="416"/>
      <c r="AEK7" s="416"/>
      <c r="AEL7" s="416"/>
      <c r="AEM7" s="416"/>
      <c r="AEN7" s="416"/>
      <c r="AEO7" s="416"/>
      <c r="AEP7" s="416"/>
      <c r="AEQ7" s="416"/>
      <c r="AER7" s="416"/>
      <c r="AES7" s="416"/>
      <c r="AET7" s="416"/>
      <c r="AEU7" s="416"/>
      <c r="AEV7" s="416"/>
      <c r="AEW7" s="416"/>
      <c r="AEX7" s="416"/>
      <c r="AEY7" s="416"/>
      <c r="AEZ7" s="416"/>
      <c r="AFA7" s="416"/>
      <c r="AFB7" s="416"/>
      <c r="AFC7" s="416"/>
      <c r="AFD7" s="416"/>
      <c r="AFE7" s="416"/>
      <c r="AFF7" s="416"/>
      <c r="AFG7" s="416"/>
      <c r="AFH7" s="416"/>
      <c r="AFI7" s="416"/>
      <c r="AFJ7" s="416"/>
      <c r="AFK7" s="416"/>
      <c r="AFL7" s="416"/>
      <c r="AFM7" s="416"/>
      <c r="AFN7" s="416"/>
      <c r="AFO7" s="416"/>
      <c r="AFP7" s="416"/>
      <c r="AFQ7" s="416"/>
      <c r="AFR7" s="416"/>
      <c r="AFS7" s="416"/>
      <c r="AFT7" s="416"/>
      <c r="AFU7" s="416"/>
      <c r="AFV7" s="416"/>
      <c r="AFW7" s="416"/>
      <c r="AFX7" s="416"/>
      <c r="AFY7" s="416"/>
      <c r="AFZ7" s="416"/>
      <c r="AGA7" s="416"/>
      <c r="AGB7" s="416"/>
      <c r="AGC7" s="416"/>
      <c r="AGD7" s="416"/>
      <c r="AGE7" s="416"/>
      <c r="AGF7" s="416"/>
      <c r="AGG7" s="416"/>
      <c r="AGH7" s="416"/>
      <c r="AGI7" s="416"/>
      <c r="AGJ7" s="416"/>
      <c r="AGK7" s="416"/>
      <c r="AGL7" s="416"/>
      <c r="AGM7" s="416"/>
      <c r="AGN7" s="416"/>
      <c r="AGO7" s="416"/>
      <c r="AGP7" s="416"/>
      <c r="AGQ7" s="416"/>
      <c r="AGR7" s="416"/>
      <c r="AGS7" s="416"/>
      <c r="AGT7" s="416"/>
      <c r="AGU7" s="416"/>
      <c r="AGV7" s="416"/>
      <c r="AGW7" s="416"/>
      <c r="AGX7" s="416"/>
      <c r="AGY7" s="416"/>
      <c r="AGZ7" s="416"/>
      <c r="AHA7" s="416"/>
      <c r="AHB7" s="416"/>
      <c r="AHC7" s="416"/>
      <c r="AHD7" s="416"/>
      <c r="AHE7" s="416"/>
      <c r="AHF7" s="416"/>
      <c r="AHG7" s="416"/>
      <c r="AHH7" s="416"/>
      <c r="AHI7" s="416"/>
      <c r="AHJ7" s="416"/>
      <c r="AHK7" s="416"/>
      <c r="AHL7" s="416"/>
      <c r="AHM7" s="416"/>
      <c r="AHN7" s="416"/>
      <c r="AHO7" s="416"/>
      <c r="AHP7" s="416"/>
      <c r="AHQ7" s="416"/>
      <c r="AHR7" s="416"/>
      <c r="AHS7" s="416"/>
      <c r="AHT7" s="416"/>
      <c r="AHU7" s="416"/>
      <c r="AHV7" s="416"/>
      <c r="AHW7" s="416"/>
      <c r="AHX7" s="416"/>
      <c r="AHY7" s="416"/>
      <c r="AHZ7" s="416"/>
      <c r="AIA7" s="416"/>
      <c r="AIB7" s="416"/>
      <c r="AIC7" s="416"/>
      <c r="AID7" s="416"/>
      <c r="AIE7" s="416"/>
      <c r="AIF7" s="416"/>
      <c r="AIG7" s="416"/>
      <c r="AIH7" s="416"/>
      <c r="AII7" s="416"/>
      <c r="AIJ7" s="416"/>
      <c r="AIK7" s="416"/>
      <c r="AIL7" s="416"/>
      <c r="AIM7" s="416"/>
      <c r="AIN7" s="416"/>
      <c r="AIO7" s="416"/>
      <c r="AIP7" s="416"/>
      <c r="AIQ7" s="416"/>
      <c r="AIR7" s="416"/>
      <c r="AIS7" s="416"/>
      <c r="AIT7" s="416"/>
      <c r="AIU7" s="416"/>
      <c r="AIV7" s="416"/>
      <c r="AIW7" s="416"/>
      <c r="AIX7" s="416"/>
      <c r="AIY7" s="416"/>
      <c r="AIZ7" s="416"/>
      <c r="AJA7" s="416"/>
      <c r="AJB7" s="416"/>
      <c r="AJC7" s="416"/>
      <c r="AJD7" s="416"/>
      <c r="AJE7" s="416"/>
      <c r="AJF7" s="416"/>
      <c r="AJG7" s="416"/>
      <c r="AJH7" s="416"/>
      <c r="AJI7" s="416"/>
      <c r="AJJ7" s="416"/>
      <c r="AJK7" s="416"/>
      <c r="AJL7" s="416"/>
      <c r="AJM7" s="416"/>
      <c r="AJN7" s="416"/>
      <c r="AJO7" s="416"/>
      <c r="AJP7" s="416"/>
      <c r="AJQ7" s="416"/>
      <c r="AJR7" s="416"/>
      <c r="AJS7" s="416"/>
      <c r="AJT7" s="416"/>
      <c r="AJU7" s="416"/>
      <c r="AJV7" s="416"/>
      <c r="AJW7" s="416"/>
      <c r="AJX7" s="416"/>
      <c r="AJY7" s="416"/>
      <c r="AJZ7" s="416"/>
      <c r="AKA7" s="416"/>
      <c r="AKB7" s="416"/>
      <c r="AKC7" s="416"/>
      <c r="AKD7" s="416"/>
      <c r="AKE7" s="416"/>
      <c r="AKF7" s="416"/>
      <c r="AKG7" s="416"/>
      <c r="AKH7" s="416"/>
      <c r="AKI7" s="416"/>
      <c r="AKJ7" s="416"/>
      <c r="AKK7" s="416"/>
      <c r="AKL7" s="416"/>
      <c r="AKM7" s="416"/>
      <c r="AKN7" s="416"/>
      <c r="AKO7" s="416"/>
    </row>
    <row r="8" spans="1:977" ht="16.5" thickTop="1" thickBot="1" x14ac:dyDescent="0.3">
      <c r="A8" s="387"/>
      <c r="B8" s="391" t="s">
        <v>387</v>
      </c>
      <c r="C8" s="370" t="s">
        <v>426</v>
      </c>
      <c r="D8" s="370" t="s">
        <v>426</v>
      </c>
      <c r="E8" s="370" t="s">
        <v>426</v>
      </c>
      <c r="F8" s="370" t="s">
        <v>426</v>
      </c>
      <c r="G8" s="370" t="s">
        <v>426</v>
      </c>
      <c r="H8" s="370" t="s">
        <v>426</v>
      </c>
      <c r="I8" s="370" t="s">
        <v>426</v>
      </c>
      <c r="J8" s="517"/>
      <c r="K8" s="370" t="s">
        <v>426</v>
      </c>
      <c r="L8" s="370" t="s">
        <v>426</v>
      </c>
      <c r="M8" s="370" t="s">
        <v>426</v>
      </c>
      <c r="N8" s="370" t="s">
        <v>426</v>
      </c>
      <c r="O8" s="370" t="s">
        <v>426</v>
      </c>
      <c r="P8" s="370" t="s">
        <v>426</v>
      </c>
      <c r="Q8" s="379" t="s">
        <v>42</v>
      </c>
      <c r="R8" s="517"/>
      <c r="S8" s="370" t="s">
        <v>426</v>
      </c>
      <c r="T8" s="370" t="s">
        <v>426</v>
      </c>
      <c r="U8" s="370" t="s">
        <v>426</v>
      </c>
      <c r="V8" s="370" t="s">
        <v>426</v>
      </c>
      <c r="W8" s="370" t="s">
        <v>426</v>
      </c>
      <c r="X8" s="370" t="s">
        <v>426</v>
      </c>
      <c r="Y8" s="379" t="s">
        <v>42</v>
      </c>
      <c r="Z8" s="517"/>
      <c r="AA8" s="370" t="s">
        <v>426</v>
      </c>
      <c r="AB8" s="370" t="s">
        <v>426</v>
      </c>
      <c r="AC8" s="370" t="s">
        <v>426</v>
      </c>
      <c r="AD8" s="370" t="s">
        <v>426</v>
      </c>
      <c r="AE8" s="370" t="s">
        <v>426</v>
      </c>
      <c r="AF8" s="370" t="s">
        <v>426</v>
      </c>
      <c r="AG8" s="379" t="s">
        <v>42</v>
      </c>
      <c r="AH8" s="193"/>
      <c r="AI8" s="432"/>
      <c r="AJ8" s="191">
        <f>IF(ISERROR(VALUE((MOD(#REF!-#REF!,1))))=TRUE,0,MOD(#REF!-#REF!,1))</f>
        <v>0</v>
      </c>
      <c r="AK8" s="191">
        <f>IF(ISERROR(VALUE((MOD(#REF!-#REF!,1))))=TRUE,0,MOD(#REF!-#REF!,1))</f>
        <v>0</v>
      </c>
      <c r="AL8" s="191">
        <f>IF(ISERROR(VALUE((MOD(#REF!-#REF!,1))))=TRUE,0,MOD(#REF!-#REF!,1))</f>
        <v>0</v>
      </c>
      <c r="AM8" s="191">
        <f>IF(ISERROR(VALUE((MOD(#REF!-#REF!,1))))=TRUE,0,MOD(#REF!-#REF!,1))</f>
        <v>0</v>
      </c>
      <c r="AN8" s="191">
        <f>IF(ISERROR(VALUE((MOD(#REF!-#REF!,1))))=TRUE,0,MOD(#REF!-#REF!,1))</f>
        <v>0</v>
      </c>
      <c r="AO8" s="191">
        <f>IF(ISERROR(VALUE((MOD(#REF!-#REF!,1))))=TRUE,0,MOD(#REF!-#REF!,1))</f>
        <v>0</v>
      </c>
      <c r="AP8" s="191">
        <f>IF(ISERROR(VALUE((MOD(#REF!-#REF!,1))))=TRUE,0,MOD(#REF!-#REF!,1))</f>
        <v>0</v>
      </c>
      <c r="AQ8" s="191">
        <f>IF(ISERROR(VALUE((MOD(#REF!-#REF!,1))))=TRUE,0,MOD(#REF!-#REF!,1))</f>
        <v>0</v>
      </c>
      <c r="AR8" s="191">
        <f>IF(ISERROR(VALUE((MOD(#REF!-#REF!,1))))=TRUE,0,MOD(#REF!-#REF!,1))</f>
        <v>0</v>
      </c>
      <c r="AS8" s="191">
        <f>IF(ISERROR(VALUE((MOD(#REF!-#REF!,1))))=TRUE,0,MOD(#REF!-#REF!,1))</f>
        <v>0</v>
      </c>
      <c r="AT8" s="191">
        <f>IF(ISERROR(VALUE((MOD(#REF!-#REF!,1))))=TRUE,0,MOD(#REF!-#REF!,1))</f>
        <v>0</v>
      </c>
      <c r="AU8" s="191">
        <f>IF(ISERROR(VALUE((MOD(#REF!-#REF!,1))))=TRUE,0,MOD(#REF!-#REF!,1))</f>
        <v>0</v>
      </c>
      <c r="AV8" s="191">
        <f>IF(ISERROR(VALUE((MOD(#REF!-#REF!,1))))=TRUE,0,MOD(#REF!-#REF!,1))</f>
        <v>0</v>
      </c>
      <c r="AW8" s="191">
        <f>IF(ISERROR(VALUE((MOD(#REF!-#REF!,1))))=TRUE,0,MOD(#REF!-#REF!,1))</f>
        <v>0</v>
      </c>
      <c r="AX8" s="31"/>
    </row>
    <row r="9" spans="1:977" ht="23.25" thickBot="1" x14ac:dyDescent="0.3">
      <c r="A9" s="387"/>
      <c r="B9" s="391" t="s">
        <v>365</v>
      </c>
      <c r="C9" s="379" t="s">
        <v>42</v>
      </c>
      <c r="D9" s="379" t="s">
        <v>42</v>
      </c>
      <c r="E9" s="333" t="s">
        <v>422</v>
      </c>
      <c r="F9" s="370" t="s">
        <v>426</v>
      </c>
      <c r="G9" s="308" t="s">
        <v>420</v>
      </c>
      <c r="H9" s="379" t="s">
        <v>42</v>
      </c>
      <c r="I9" s="379" t="s">
        <v>42</v>
      </c>
      <c r="J9" s="517"/>
      <c r="K9" s="379" t="s">
        <v>42</v>
      </c>
      <c r="L9" s="379" t="s">
        <v>42</v>
      </c>
      <c r="M9" s="379" t="s">
        <v>42</v>
      </c>
      <c r="N9" s="379" t="s">
        <v>42</v>
      </c>
      <c r="O9" s="379" t="s">
        <v>42</v>
      </c>
      <c r="P9" s="379" t="s">
        <v>42</v>
      </c>
      <c r="Q9" s="379" t="s">
        <v>42</v>
      </c>
      <c r="R9" s="517"/>
      <c r="S9" s="379" t="s">
        <v>42</v>
      </c>
      <c r="T9" s="379" t="s">
        <v>42</v>
      </c>
      <c r="U9" s="370" t="s">
        <v>426</v>
      </c>
      <c r="V9" s="370" t="s">
        <v>426</v>
      </c>
      <c r="W9" s="379" t="s">
        <v>42</v>
      </c>
      <c r="X9" s="370" t="s">
        <v>426</v>
      </c>
      <c r="Y9" s="370" t="s">
        <v>426</v>
      </c>
      <c r="Z9" s="517"/>
      <c r="AA9" s="379" t="s">
        <v>42</v>
      </c>
      <c r="AB9" s="379" t="s">
        <v>42</v>
      </c>
      <c r="AC9" s="370" t="s">
        <v>426</v>
      </c>
      <c r="AD9" s="370" t="s">
        <v>426</v>
      </c>
      <c r="AE9" s="370" t="s">
        <v>426</v>
      </c>
      <c r="AF9" s="370" t="s">
        <v>426</v>
      </c>
      <c r="AG9" s="370" t="s">
        <v>426</v>
      </c>
      <c r="AH9" s="240" t="s">
        <v>385</v>
      </c>
      <c r="AI9" s="432"/>
      <c r="AJ9" s="191">
        <f>IF(ISERROR(VALUE((MOD(#REF!-#REF!,1))))=TRUE,0,MOD(#REF!-#REF!,1))</f>
        <v>0</v>
      </c>
      <c r="AK9" s="191">
        <f>IF(ISERROR(VALUE((MOD(#REF!-#REF!,1))))=TRUE,0,MOD(#REF!-#REF!,1))</f>
        <v>0</v>
      </c>
      <c r="AL9" s="191">
        <f>IF(ISERROR(VALUE((MOD(#REF!-#REF!,1))))=TRUE,0,MOD(#REF!-#REF!,1))</f>
        <v>0</v>
      </c>
      <c r="AM9" s="191">
        <f>IF(ISERROR(VALUE((MOD(#REF!-#REF!,1))))=TRUE,0,MOD(#REF!-#REF!,1))</f>
        <v>0</v>
      </c>
      <c r="AN9" s="191">
        <f>IF(ISERROR(VALUE((MOD(#REF!-#REF!,1))))=TRUE,0,MOD(#REF!-#REF!,1))</f>
        <v>0</v>
      </c>
      <c r="AO9" s="191">
        <f>IF(ISERROR(VALUE((MOD(#REF!-#REF!,1))))=TRUE,0,MOD(#REF!-#REF!,1))</f>
        <v>0</v>
      </c>
      <c r="AP9" s="191">
        <f>IF(ISERROR(VALUE((MOD(#REF!-#REF!,1))))=TRUE,0,MOD(#REF!-#REF!,1))</f>
        <v>0</v>
      </c>
      <c r="AQ9" s="191">
        <f>IF(ISERROR(VALUE((MOD(#REF!-#REF!,1))))=TRUE,0,MOD(#REF!-#REF!,1))</f>
        <v>0</v>
      </c>
      <c r="AR9" s="191">
        <f>IF(ISERROR(VALUE((MOD(#REF!-#REF!,1))))=TRUE,0,MOD(#REF!-#REF!,1))</f>
        <v>0</v>
      </c>
      <c r="AS9" s="191">
        <f>IF(ISERROR(VALUE((MOD(#REF!-#REF!,1))))=TRUE,0,MOD(#REF!-#REF!,1))</f>
        <v>0</v>
      </c>
      <c r="AT9" s="191">
        <f>IF(ISERROR(VALUE((MOD(#REF!-#REF!,1))))=TRUE,0,MOD(#REF!-#REF!,1))</f>
        <v>0</v>
      </c>
      <c r="AU9" s="191">
        <f>IF(ISERROR(VALUE((MOD(#REF!-#REF!,1))))=TRUE,0,MOD(#REF!-#REF!,1))</f>
        <v>0</v>
      </c>
      <c r="AV9" s="191">
        <f>IF(ISERROR(VALUE((MOD(#REF!-#REF!,1))))=TRUE,0,MOD(#REF!-#REF!,1))</f>
        <v>0</v>
      </c>
      <c r="AW9" s="191">
        <f>IF(ISERROR(VALUE((MOD(#REF!-#REF!,1))))=TRUE,0,MOD(#REF!-#REF!,1))</f>
        <v>0</v>
      </c>
      <c r="AX9" s="31"/>
    </row>
    <row r="10" spans="1:977" ht="15.75" thickBot="1" x14ac:dyDescent="0.3">
      <c r="A10" s="387"/>
      <c r="B10" s="392" t="s">
        <v>391</v>
      </c>
      <c r="C10" s="380" t="s">
        <v>55</v>
      </c>
      <c r="D10" s="380" t="s">
        <v>55</v>
      </c>
      <c r="E10" s="380" t="s">
        <v>55</v>
      </c>
      <c r="F10" s="380" t="s">
        <v>55</v>
      </c>
      <c r="G10" s="380" t="s">
        <v>55</v>
      </c>
      <c r="H10" s="379" t="s">
        <v>42</v>
      </c>
      <c r="I10" s="379" t="s">
        <v>42</v>
      </c>
      <c r="J10" s="517"/>
      <c r="K10" s="380" t="s">
        <v>55</v>
      </c>
      <c r="L10" s="380" t="s">
        <v>55</v>
      </c>
      <c r="M10" s="370" t="s">
        <v>426</v>
      </c>
      <c r="N10" s="380" t="s">
        <v>55</v>
      </c>
      <c r="O10" s="380" t="s">
        <v>55</v>
      </c>
      <c r="P10" s="379" t="s">
        <v>42</v>
      </c>
      <c r="Q10" s="379" t="s">
        <v>42</v>
      </c>
      <c r="R10" s="517"/>
      <c r="S10" s="380" t="s">
        <v>55</v>
      </c>
      <c r="T10" s="380" t="s">
        <v>55</v>
      </c>
      <c r="U10" s="380" t="s">
        <v>55</v>
      </c>
      <c r="V10" s="379" t="s">
        <v>42</v>
      </c>
      <c r="W10" s="380" t="s">
        <v>55</v>
      </c>
      <c r="X10" s="380" t="s">
        <v>55</v>
      </c>
      <c r="Y10" s="379" t="s">
        <v>42</v>
      </c>
      <c r="Z10" s="517"/>
      <c r="AA10" s="379" t="s">
        <v>42</v>
      </c>
      <c r="AB10" s="380" t="s">
        <v>55</v>
      </c>
      <c r="AC10" s="380" t="s">
        <v>55</v>
      </c>
      <c r="AD10" s="380" t="s">
        <v>55</v>
      </c>
      <c r="AE10" s="380" t="s">
        <v>55</v>
      </c>
      <c r="AF10" s="379" t="s">
        <v>42</v>
      </c>
      <c r="AG10" s="379" t="s">
        <v>42</v>
      </c>
      <c r="AH10" s="238"/>
      <c r="AI10" s="432"/>
      <c r="AJ10" s="191">
        <f>IF(ISERROR(VALUE((MOD(#REF!-#REF!,1))))=TRUE,0,MOD(#REF!-#REF!,1))</f>
        <v>0</v>
      </c>
      <c r="AK10" s="191">
        <f>IF(ISERROR(VALUE((MOD(#REF!-#REF!,1))))=TRUE,0,MOD(#REF!-#REF!,1))</f>
        <v>0</v>
      </c>
      <c r="AL10" s="191">
        <f>IF(ISERROR(VALUE((MOD(#REF!-#REF!,1))))=TRUE,0,MOD(#REF!-#REF!,1))</f>
        <v>0</v>
      </c>
      <c r="AM10" s="191">
        <f>IF(ISERROR(VALUE((MOD(#REF!-#REF!,1))))=TRUE,0,MOD(#REF!-#REF!,1))</f>
        <v>0</v>
      </c>
      <c r="AN10" s="191">
        <f>IF(ISERROR(VALUE((MOD(#REF!-#REF!,1))))=TRUE,0,MOD(#REF!-#REF!,1))</f>
        <v>0</v>
      </c>
      <c r="AO10" s="191">
        <f>IF(ISERROR(VALUE((MOD(#REF!-#REF!,1))))=TRUE,0,MOD(#REF!-#REF!,1))</f>
        <v>0</v>
      </c>
      <c r="AP10" s="191">
        <f>IF(ISERROR(VALUE((MOD(#REF!-#REF!,1))))=TRUE,0,MOD(#REF!-#REF!,1))</f>
        <v>0</v>
      </c>
      <c r="AQ10" s="191">
        <f>IF(ISERROR(VALUE((MOD(#REF!-#REF!,1))))=TRUE,0,MOD(#REF!-#REF!,1))</f>
        <v>0</v>
      </c>
      <c r="AR10" s="191">
        <f>IF(ISERROR(VALUE((MOD(#REF!-#REF!,1))))=TRUE,0,MOD(#REF!-#REF!,1))</f>
        <v>0</v>
      </c>
      <c r="AS10" s="191">
        <f>IF(ISERROR(VALUE((MOD(#REF!-#REF!,1))))=TRUE,0,MOD(#REF!-#REF!,1))</f>
        <v>0</v>
      </c>
      <c r="AT10" s="191">
        <f>IF(ISERROR(VALUE((MOD(#REF!-#REF!,1))))=TRUE,0,MOD(#REF!-#REF!,1))</f>
        <v>0</v>
      </c>
      <c r="AU10" s="191">
        <f>IF(ISERROR(VALUE((MOD(#REF!-#REF!,1))))=TRUE,0,MOD(#REF!-#REF!,1))</f>
        <v>0</v>
      </c>
      <c r="AV10" s="191">
        <f>IF(ISERROR(VALUE((MOD(#REF!-#REF!,1))))=TRUE,0,MOD(#REF!-#REF!,1))</f>
        <v>0</v>
      </c>
      <c r="AW10" s="191">
        <f>IF(ISERROR(VALUE((MOD(#REF!-#REF!,1))))=TRUE,0,MOD(#REF!-#REF!,1))</f>
        <v>0</v>
      </c>
      <c r="AX10" s="31"/>
    </row>
    <row r="11" spans="1:977" ht="15.75" thickBot="1" x14ac:dyDescent="0.3">
      <c r="A11" s="387"/>
      <c r="B11" s="394" t="s">
        <v>429</v>
      </c>
      <c r="C11" s="379" t="s">
        <v>42</v>
      </c>
      <c r="D11" s="379" t="s">
        <v>42</v>
      </c>
      <c r="E11" s="370" t="s">
        <v>426</v>
      </c>
      <c r="F11" s="370" t="s">
        <v>426</v>
      </c>
      <c r="G11" s="370" t="s">
        <v>426</v>
      </c>
      <c r="H11" s="381" t="s">
        <v>424</v>
      </c>
      <c r="I11" s="381" t="s">
        <v>424</v>
      </c>
      <c r="J11" s="517"/>
      <c r="K11" s="379" t="s">
        <v>42</v>
      </c>
      <c r="L11" s="379" t="s">
        <v>42</v>
      </c>
      <c r="M11" s="381" t="s">
        <v>424</v>
      </c>
      <c r="N11" s="370" t="s">
        <v>426</v>
      </c>
      <c r="O11" s="370" t="s">
        <v>426</v>
      </c>
      <c r="P11" s="381" t="s">
        <v>424</v>
      </c>
      <c r="Q11" s="380" t="s">
        <v>55</v>
      </c>
      <c r="R11" s="517"/>
      <c r="S11" s="379" t="s">
        <v>42</v>
      </c>
      <c r="T11" s="379" t="s">
        <v>42</v>
      </c>
      <c r="U11" s="370" t="s">
        <v>426</v>
      </c>
      <c r="V11" s="370" t="s">
        <v>426</v>
      </c>
      <c r="W11" s="370" t="s">
        <v>426</v>
      </c>
      <c r="X11" s="381" t="s">
        <v>424</v>
      </c>
      <c r="Y11" s="380" t="s">
        <v>55</v>
      </c>
      <c r="Z11" s="517"/>
      <c r="AA11" s="370" t="s">
        <v>426</v>
      </c>
      <c r="AB11" s="381" t="s">
        <v>424</v>
      </c>
      <c r="AC11" s="380" t="s">
        <v>55</v>
      </c>
      <c r="AD11" s="379" t="s">
        <v>42</v>
      </c>
      <c r="AE11" s="381" t="s">
        <v>424</v>
      </c>
      <c r="AF11" s="370" t="s">
        <v>426</v>
      </c>
      <c r="AG11" s="380" t="s">
        <v>55</v>
      </c>
      <c r="AH11" s="238">
        <v>0</v>
      </c>
      <c r="AI11" s="41"/>
      <c r="AJ11" s="191">
        <f>IF(ISERROR(VALUE((MOD(#REF!-#REF!,1))))=TRUE,0,MOD(#REF!-#REF!,1))</f>
        <v>0</v>
      </c>
      <c r="AK11" s="191">
        <f>IF(ISERROR(VALUE((MOD(#REF!-#REF!,1))))=TRUE,0,MOD(#REF!-#REF!,1))</f>
        <v>0</v>
      </c>
      <c r="AL11" s="191">
        <f>IF(ISERROR(VALUE((MOD(#REF!-#REF!,1))))=TRUE,0,MOD(#REF!-#REF!,1))</f>
        <v>0</v>
      </c>
      <c r="AM11" s="191">
        <f>IF(ISERROR(VALUE((MOD(#REF!-#REF!,1))))=TRUE,0,MOD(#REF!-#REF!,1))</f>
        <v>0</v>
      </c>
      <c r="AN11" s="191">
        <f>IF(ISERROR(VALUE((MOD(#REF!-#REF!,1))))=TRUE,0,MOD(#REF!-#REF!,1))</f>
        <v>0</v>
      </c>
      <c r="AO11" s="191">
        <f>IF(ISERROR(VALUE((MOD(#REF!-#REF!,1))))=TRUE,0,MOD(#REF!-#REF!,1))</f>
        <v>0</v>
      </c>
      <c r="AP11" s="191">
        <f>IF(ISERROR(VALUE((MOD(#REF!-#REF!,1))))=TRUE,0,MOD(#REF!-#REF!,1))</f>
        <v>0</v>
      </c>
      <c r="AQ11" s="191">
        <f>IF(ISERROR(VALUE((MOD(#REF!-#REF!,1))))=TRUE,0,MOD(#REF!-#REF!,1))</f>
        <v>0</v>
      </c>
      <c r="AR11" s="191">
        <f>IF(ISERROR(VALUE((MOD(#REF!-#REF!,1))))=TRUE,0,MOD(#REF!-#REF!,1))</f>
        <v>0</v>
      </c>
      <c r="AS11" s="191">
        <f>IF(ISERROR(VALUE((MOD(#REF!-#REF!,1))))=TRUE,0,MOD(#REF!-#REF!,1))</f>
        <v>0</v>
      </c>
      <c r="AT11" s="191">
        <f>IF(ISERROR(VALUE((MOD(#REF!-#REF!,1))))=TRUE,0,MOD(#REF!-#REF!,1))</f>
        <v>0</v>
      </c>
      <c r="AU11" s="191">
        <f>IF(ISERROR(VALUE((MOD(#REF!-#REF!,1))))=TRUE,0,MOD(#REF!-#REF!,1))</f>
        <v>0</v>
      </c>
      <c r="AV11" s="191">
        <f>IF(ISERROR(VALUE((MOD(#REF!-#REF!,1))))=TRUE,0,MOD(#REF!-#REF!,1))</f>
        <v>0</v>
      </c>
      <c r="AW11" s="191">
        <f>IF(ISERROR(VALUE((MOD(#REF!-#REF!,1))))=TRUE,0,MOD(#REF!-#REF!,1))</f>
        <v>0</v>
      </c>
      <c r="AX11" s="31"/>
    </row>
    <row r="12" spans="1:977" ht="15" customHeight="1" thickBot="1" x14ac:dyDescent="0.3">
      <c r="A12" s="529"/>
      <c r="B12" s="393" t="s">
        <v>436</v>
      </c>
      <c r="C12" s="370" t="s">
        <v>426</v>
      </c>
      <c r="D12" s="370" t="s">
        <v>426</v>
      </c>
      <c r="E12" s="379" t="s">
        <v>42</v>
      </c>
      <c r="F12" s="379" t="s">
        <v>42</v>
      </c>
      <c r="G12" s="370" t="s">
        <v>426</v>
      </c>
      <c r="H12" s="370" t="s">
        <v>426</v>
      </c>
      <c r="I12" s="370" t="s">
        <v>426</v>
      </c>
      <c r="J12" s="517"/>
      <c r="K12" s="370" t="s">
        <v>426</v>
      </c>
      <c r="L12" s="370" t="s">
        <v>426</v>
      </c>
      <c r="M12" s="379" t="s">
        <v>42</v>
      </c>
      <c r="N12" s="379" t="s">
        <v>42</v>
      </c>
      <c r="O12" s="370" t="s">
        <v>426</v>
      </c>
      <c r="P12" s="370" t="s">
        <v>426</v>
      </c>
      <c r="Q12" s="370" t="s">
        <v>426</v>
      </c>
      <c r="R12" s="517"/>
      <c r="S12" s="370" t="s">
        <v>426</v>
      </c>
      <c r="T12" s="370" t="s">
        <v>426</v>
      </c>
      <c r="U12" s="379" t="s">
        <v>42</v>
      </c>
      <c r="V12" s="379" t="s">
        <v>42</v>
      </c>
      <c r="W12" s="370" t="s">
        <v>426</v>
      </c>
      <c r="X12" s="370" t="s">
        <v>426</v>
      </c>
      <c r="Y12" s="370" t="s">
        <v>426</v>
      </c>
      <c r="Z12" s="517"/>
      <c r="AA12" s="379" t="s">
        <v>42</v>
      </c>
      <c r="AB12" s="379" t="s">
        <v>42</v>
      </c>
      <c r="AC12" s="370" t="s">
        <v>426</v>
      </c>
      <c r="AD12" s="370" t="s">
        <v>426</v>
      </c>
      <c r="AE12" s="370" t="s">
        <v>426</v>
      </c>
      <c r="AF12" s="370" t="s">
        <v>426</v>
      </c>
      <c r="AG12" s="370" t="s">
        <v>426</v>
      </c>
      <c r="AH12" s="238">
        <v>0.64097222222222228</v>
      </c>
      <c r="AI12" s="41"/>
      <c r="AJ12" s="191">
        <f>IF(ISERROR(VALUE((MOD(#REF!-#REF!,1))))=TRUE,0,MOD(#REF!-#REF!,1))</f>
        <v>0</v>
      </c>
      <c r="AK12" s="191">
        <f>IF(ISERROR(VALUE((MOD(#REF!-#REF!,1))))=TRUE,0,MOD(#REF!-#REF!,1))</f>
        <v>0</v>
      </c>
      <c r="AL12" s="191">
        <f>IF(ISERROR(VALUE((MOD(#REF!-#REF!,1))))=TRUE,0,MOD(#REF!-#REF!,1))</f>
        <v>0</v>
      </c>
      <c r="AM12" s="191">
        <f>IF(ISERROR(VALUE((MOD(#REF!-#REF!,1))))=TRUE,0,MOD(#REF!-#REF!,1))</f>
        <v>0</v>
      </c>
      <c r="AN12" s="191">
        <f>IF(ISERROR(VALUE((MOD(#REF!-#REF!,1))))=TRUE,0,MOD(#REF!-#REF!,1))</f>
        <v>0</v>
      </c>
      <c r="AO12" s="191">
        <f>IF(ISERROR(VALUE((MOD(#REF!-#REF!,1))))=TRUE,0,MOD(#REF!-#REF!,1))</f>
        <v>0</v>
      </c>
      <c r="AP12" s="191">
        <f>IF(ISERROR(VALUE((MOD(#REF!-#REF!,1))))=TRUE,0,MOD(#REF!-#REF!,1))</f>
        <v>0</v>
      </c>
      <c r="AQ12" s="191">
        <f>IF(ISERROR(VALUE((MOD(#REF!-#REF!,1))))=TRUE,0,MOD(#REF!-#REF!,1))</f>
        <v>0</v>
      </c>
      <c r="AR12" s="191">
        <f>IF(ISERROR(VALUE((MOD(#REF!-#REF!,1))))=TRUE,0,MOD(#REF!-#REF!,1))</f>
        <v>0</v>
      </c>
      <c r="AS12" s="191">
        <f>IF(ISERROR(VALUE((MOD(#REF!-#REF!,1))))=TRUE,0,MOD(#REF!-#REF!,1))</f>
        <v>0</v>
      </c>
      <c r="AT12" s="191">
        <f>IF(ISERROR(VALUE((MOD(#REF!-#REF!,1))))=TRUE,0,MOD(#REF!-#REF!,1))</f>
        <v>0</v>
      </c>
      <c r="AU12" s="191">
        <f>IF(ISERROR(VALUE((MOD(#REF!-#REF!,1))))=TRUE,0,MOD(#REF!-#REF!,1))</f>
        <v>0</v>
      </c>
      <c r="AV12" s="191">
        <f>IF(ISERROR(VALUE((MOD(#REF!-#REF!,1))))=TRUE,0,MOD(#REF!-#REF!,1))</f>
        <v>0</v>
      </c>
      <c r="AW12" s="191">
        <f>IF(ISERROR(VALUE((MOD(#REF!-#REF!,1))))=TRUE,0,MOD(#REF!-#REF!,1))</f>
        <v>0</v>
      </c>
      <c r="AX12" s="31"/>
    </row>
    <row r="13" spans="1:977" ht="15.75" thickBot="1" x14ac:dyDescent="0.3">
      <c r="A13" s="529"/>
      <c r="B13" s="418"/>
      <c r="C13" s="353"/>
      <c r="D13" s="355"/>
      <c r="E13" s="353"/>
      <c r="F13" s="356"/>
      <c r="G13" s="353"/>
      <c r="H13" s="356"/>
      <c r="I13" s="353"/>
      <c r="J13" s="517"/>
      <c r="K13" s="353"/>
      <c r="L13" s="353"/>
      <c r="M13" s="353"/>
      <c r="N13" s="356"/>
      <c r="O13" s="353"/>
      <c r="P13" s="356"/>
      <c r="Q13" s="353"/>
      <c r="R13" s="517"/>
      <c r="S13" s="315"/>
      <c r="T13" s="353"/>
      <c r="U13" s="315"/>
      <c r="V13" s="356"/>
      <c r="W13" s="315"/>
      <c r="X13" s="315"/>
      <c r="Y13" s="353"/>
      <c r="Z13" s="517"/>
      <c r="AA13" s="315"/>
      <c r="AB13" s="353"/>
      <c r="AC13" s="315"/>
      <c r="AD13" s="356"/>
      <c r="AE13" s="315"/>
      <c r="AF13" s="353"/>
      <c r="AG13" s="356"/>
      <c r="AH13" s="356"/>
      <c r="AI13" s="41"/>
      <c r="AJ13" s="191">
        <f>IF(ISERROR(VALUE((MOD(#REF!-#REF!,1))))=TRUE,0,MOD(#REF!-#REF!,1))</f>
        <v>0</v>
      </c>
      <c r="AK13" s="191">
        <f>IF(ISERROR(VALUE((MOD(#REF!-#REF!,1))))=TRUE,0,MOD(#REF!-#REF!,1))</f>
        <v>0</v>
      </c>
      <c r="AL13" s="191">
        <f>IF(ISERROR(VALUE((MOD(#REF!-#REF!,1))))=TRUE,0,MOD(#REF!-#REF!,1))</f>
        <v>0</v>
      </c>
      <c r="AM13" s="191">
        <f>IF(ISERROR(VALUE((MOD(#REF!-#REF!,1))))=TRUE,0,MOD(#REF!-#REF!,1))</f>
        <v>0</v>
      </c>
      <c r="AN13" s="191">
        <f>IF(ISERROR(VALUE((MOD(#REF!-#REF!,1))))=TRUE,0,MOD(#REF!-#REF!,1))</f>
        <v>0</v>
      </c>
      <c r="AO13" s="191">
        <f>IF(ISERROR(VALUE((MOD(#REF!-#REF!,1))))=TRUE,0,MOD(#REF!-#REF!,1))</f>
        <v>0</v>
      </c>
      <c r="AP13" s="191">
        <f>IF(ISERROR(VALUE((MOD(#REF!-#REF!,1))))=TRUE,0,MOD(#REF!-#REF!,1))</f>
        <v>0</v>
      </c>
      <c r="AQ13" s="191">
        <f>IF(ISERROR(VALUE((MOD(#REF!-#REF!,1))))=TRUE,0,MOD(#REF!-#REF!,1))</f>
        <v>0</v>
      </c>
      <c r="AR13" s="191">
        <f>IF(ISERROR(VALUE((MOD(#REF!-#REF!,1))))=TRUE,0,MOD(#REF!-#REF!,1))</f>
        <v>0</v>
      </c>
      <c r="AS13" s="191">
        <f>IF(ISERROR(VALUE((MOD(#REF!-#REF!,1))))=TRUE,0,MOD(#REF!-#REF!,1))</f>
        <v>0</v>
      </c>
      <c r="AT13" s="191">
        <f>IF(ISERROR(VALUE((MOD(#REF!-#REF!,1))))=TRUE,0,MOD(#REF!-#REF!,1))</f>
        <v>0</v>
      </c>
      <c r="AU13" s="191">
        <f>IF(ISERROR(VALUE((MOD(#REF!-#REF!,1))))=TRUE,0,MOD(#REF!-#REF!,1))</f>
        <v>0</v>
      </c>
      <c r="AV13" s="191">
        <f>IF(ISERROR(VALUE((MOD(#REF!-#REF!,1))))=TRUE,0,MOD(#REF!-#REF!,1))</f>
        <v>0</v>
      </c>
      <c r="AW13" s="191">
        <f>IF(ISERROR(VALUE((MOD(#REF!-#REF!,1))))=TRUE,0,MOD(#REF!-#REF!,1))</f>
        <v>0</v>
      </c>
      <c r="AX13" s="31"/>
    </row>
    <row r="14" spans="1:977" ht="15.75" thickBot="1" x14ac:dyDescent="0.3">
      <c r="A14" s="529"/>
      <c r="B14" s="355"/>
      <c r="C14" s="355"/>
      <c r="D14" s="353"/>
      <c r="E14" s="353"/>
      <c r="F14" s="353"/>
      <c r="G14" s="353"/>
      <c r="H14" s="353"/>
      <c r="I14" s="354"/>
      <c r="J14" s="517"/>
      <c r="K14" s="355"/>
      <c r="L14" s="353"/>
      <c r="M14" s="353"/>
      <c r="N14" s="353"/>
      <c r="O14" s="353"/>
      <c r="P14" s="353"/>
      <c r="Q14" s="354"/>
      <c r="R14" s="517"/>
      <c r="S14" s="355"/>
      <c r="T14" s="353"/>
      <c r="U14" s="353"/>
      <c r="V14" s="353"/>
      <c r="W14" s="353"/>
      <c r="X14" s="353"/>
      <c r="Y14" s="354"/>
      <c r="Z14" s="517"/>
      <c r="AA14" s="355"/>
      <c r="AB14" s="353"/>
      <c r="AC14" s="353"/>
      <c r="AD14" s="353"/>
      <c r="AE14" s="353"/>
      <c r="AF14" s="353"/>
      <c r="AG14" s="354"/>
      <c r="AH14" s="238"/>
      <c r="AI14" s="41"/>
      <c r="AJ14" s="191">
        <f>IF(ISERROR(VALUE((MOD(#REF!-#REF!,1))))=TRUE,0,MOD(#REF!-#REF!,1))</f>
        <v>0</v>
      </c>
      <c r="AK14" s="191">
        <f>IF(ISERROR(VALUE((MOD(#REF!-#REF!,1))))=TRUE,0,MOD(#REF!-#REF!,1))</f>
        <v>0</v>
      </c>
      <c r="AL14" s="191">
        <f>IF(ISERROR(VALUE((MOD(#REF!-#REF!,1))))=TRUE,0,MOD(#REF!-#REF!,1))</f>
        <v>0</v>
      </c>
      <c r="AM14" s="191">
        <f>IF(ISERROR(VALUE((MOD(#REF!-#REF!,1))))=TRUE,0,MOD(#REF!-#REF!,1))</f>
        <v>0</v>
      </c>
      <c r="AN14" s="191">
        <f>IF(ISERROR(VALUE((MOD(#REF!-#REF!,1))))=TRUE,0,MOD(#REF!-#REF!,1))</f>
        <v>0</v>
      </c>
      <c r="AO14" s="191">
        <f>IF(ISERROR(VALUE((MOD(#REF!-#REF!,1))))=TRUE,0,MOD(#REF!-#REF!,1))</f>
        <v>0</v>
      </c>
      <c r="AP14" s="191">
        <f>IF(ISERROR(VALUE((MOD(#REF!-#REF!,1))))=TRUE,0,MOD(#REF!-#REF!,1))</f>
        <v>0</v>
      </c>
      <c r="AQ14" s="191">
        <f>IF(ISERROR(VALUE((MOD(#REF!-#REF!,1))))=TRUE,0,MOD(#REF!-#REF!,1))</f>
        <v>0</v>
      </c>
      <c r="AR14" s="191">
        <f>IF(ISERROR(VALUE((MOD(#REF!-#REF!,1))))=TRUE,0,MOD(#REF!-#REF!,1))</f>
        <v>0</v>
      </c>
      <c r="AS14" s="191">
        <f>IF(ISERROR(VALUE((MOD(#REF!-#REF!,1))))=TRUE,0,MOD(#REF!-#REF!,1))</f>
        <v>0</v>
      </c>
      <c r="AT14" s="191">
        <f>IF(ISERROR(VALUE((MOD(#REF!-#REF!,1))))=TRUE,0,MOD(#REF!-#REF!,1))</f>
        <v>0</v>
      </c>
      <c r="AU14" s="191">
        <f>IF(ISERROR(VALUE((MOD(#REF!-#REF!,1))))=TRUE,0,MOD(#REF!-#REF!,1))</f>
        <v>0</v>
      </c>
      <c r="AV14" s="191">
        <f>IF(ISERROR(VALUE((MOD(#REF!-#REF!,1))))=TRUE,0,MOD(#REF!-#REF!,1))</f>
        <v>0</v>
      </c>
      <c r="AW14" s="191">
        <f>IF(ISERROR(VALUE((MOD(#REF!-#REF!,1))))=TRUE,0,MOD(#REF!-#REF!,1))</f>
        <v>0</v>
      </c>
      <c r="AX14" s="31"/>
    </row>
    <row r="15" spans="1:977" ht="15.75" thickBot="1" x14ac:dyDescent="0.3">
      <c r="A15" s="529"/>
      <c r="B15" s="270"/>
      <c r="C15" s="358"/>
      <c r="D15" s="356"/>
      <c r="E15" s="353"/>
      <c r="F15" s="353"/>
      <c r="G15" s="356"/>
      <c r="H15" s="356"/>
      <c r="I15" s="354"/>
      <c r="J15" s="517"/>
      <c r="K15" s="355"/>
      <c r="L15" s="356"/>
      <c r="M15" s="356"/>
      <c r="N15" s="353"/>
      <c r="O15" s="353"/>
      <c r="P15" s="356"/>
      <c r="Q15" s="357"/>
      <c r="R15" s="517"/>
      <c r="S15" s="355"/>
      <c r="T15" s="353"/>
      <c r="U15" s="356"/>
      <c r="V15" s="356"/>
      <c r="W15" s="353"/>
      <c r="X15" s="353"/>
      <c r="Y15" s="354"/>
      <c r="Z15" s="517"/>
      <c r="AA15" s="355"/>
      <c r="AB15" s="353"/>
      <c r="AC15" s="353"/>
      <c r="AD15" s="353"/>
      <c r="AE15" s="353"/>
      <c r="AF15" s="353"/>
      <c r="AG15" s="354"/>
      <c r="AH15" s="239">
        <v>0.86111111111111116</v>
      </c>
      <c r="AI15" s="41"/>
      <c r="AJ15" s="191">
        <f>IF(ISERROR(VALUE((MOD(#REF!-#REF!,1))))=TRUE,0,MOD(#REF!-#REF!,1))</f>
        <v>0</v>
      </c>
      <c r="AK15" s="191">
        <f>IF(ISERROR(VALUE((MOD(#REF!-#REF!,1))))=TRUE,0,MOD(#REF!-#REF!,1))</f>
        <v>0</v>
      </c>
      <c r="AL15" s="191">
        <f>IF(ISERROR(VALUE((MOD(#REF!-#REF!,1))))=TRUE,0,MOD(#REF!-#REF!,1))</f>
        <v>0</v>
      </c>
      <c r="AM15" s="191">
        <f>IF(ISERROR(VALUE((MOD(#REF!-#REF!,1))))=TRUE,0,MOD(#REF!-#REF!,1))</f>
        <v>0</v>
      </c>
      <c r="AN15" s="191">
        <f>IF(ISERROR(VALUE((MOD(#REF!-#REF!,1))))=TRUE,0,MOD(#REF!-#REF!,1))</f>
        <v>0</v>
      </c>
      <c r="AO15" s="191">
        <f>IF(ISERROR(VALUE((MOD(#REF!-#REF!,1))))=TRUE,0,MOD(#REF!-#REF!,1))</f>
        <v>0</v>
      </c>
      <c r="AP15" s="191">
        <f>IF(ISERROR(VALUE((MOD(#REF!-#REF!,1))))=TRUE,0,MOD(#REF!-#REF!,1))</f>
        <v>0</v>
      </c>
      <c r="AQ15" s="191">
        <f>IF(ISERROR(VALUE((MOD(#REF!-#REF!,1))))=TRUE,0,MOD(#REF!-#REF!,1))</f>
        <v>0</v>
      </c>
      <c r="AR15" s="191">
        <f>IF(ISERROR(VALUE((MOD(#REF!-#REF!,1))))=TRUE,0,MOD(#REF!-#REF!,1))</f>
        <v>0</v>
      </c>
      <c r="AS15" s="191">
        <f>IF(ISERROR(VALUE((MOD(#REF!-#REF!,1))))=TRUE,0,MOD(#REF!-#REF!,1))</f>
        <v>0</v>
      </c>
      <c r="AT15" s="191">
        <f>IF(ISERROR(VALUE((MOD(#REF!-#REF!,1))))=TRUE,0,MOD(#REF!-#REF!,1))</f>
        <v>0</v>
      </c>
      <c r="AU15" s="191">
        <f>IF(ISERROR(VALUE((MOD(#REF!-#REF!,1))))=TRUE,0,MOD(#REF!-#REF!,1))</f>
        <v>0</v>
      </c>
      <c r="AV15" s="191">
        <f>IF(ISERROR(VALUE((MOD(#REF!-#REF!,1))))=TRUE,0,MOD(#REF!-#REF!,1))</f>
        <v>0</v>
      </c>
      <c r="AW15" s="191">
        <f>IF(ISERROR(VALUE((MOD(#REF!-#REF!,1))))=TRUE,0,MOD(#REF!-#REF!,1))</f>
        <v>0</v>
      </c>
      <c r="AX15" s="31"/>
    </row>
    <row r="16" spans="1:977" ht="15" hidden="1" customHeight="1" thickBot="1" x14ac:dyDescent="0.3">
      <c r="A16" s="529"/>
      <c r="B16" s="270" t="s">
        <v>382</v>
      </c>
      <c r="C16" s="359"/>
      <c r="D16" s="360"/>
      <c r="E16" s="360"/>
      <c r="F16" s="360"/>
      <c r="G16" s="360"/>
      <c r="H16" s="360"/>
      <c r="I16" s="361"/>
      <c r="J16" s="517"/>
      <c r="K16" s="359"/>
      <c r="L16" s="360"/>
      <c r="M16" s="360"/>
      <c r="N16" s="360"/>
      <c r="O16" s="360"/>
      <c r="P16" s="360"/>
      <c r="Q16" s="361"/>
      <c r="R16" s="517"/>
      <c r="S16" s="359"/>
      <c r="T16" s="360"/>
      <c r="U16" s="360"/>
      <c r="V16" s="360"/>
      <c r="W16" s="360"/>
      <c r="X16" s="360"/>
      <c r="Y16" s="361"/>
      <c r="Z16" s="517"/>
      <c r="AA16" s="359"/>
      <c r="AB16" s="360"/>
      <c r="AC16" s="360"/>
      <c r="AD16" s="360"/>
      <c r="AE16" s="360"/>
      <c r="AF16" s="360"/>
      <c r="AG16" s="361"/>
      <c r="AH16" s="238"/>
      <c r="AI16" s="41"/>
      <c r="AJ16" s="191">
        <f>IF(ISERROR(VALUE((MOD(#REF!-#REF!,1))))=TRUE,0,MOD(#REF!-#REF!,1))</f>
        <v>0</v>
      </c>
      <c r="AK16" s="191">
        <f>IF(ISERROR(VALUE((MOD(#REF!-#REF!,1))))=TRUE,0,MOD(#REF!-#REF!,1))</f>
        <v>0</v>
      </c>
      <c r="AL16" s="191">
        <f>IF(ISERROR(VALUE((MOD(#REF!-#REF!,1))))=TRUE,0,MOD(#REF!-#REF!,1))</f>
        <v>0</v>
      </c>
      <c r="AM16" s="191">
        <f>IF(ISERROR(VALUE((MOD(#REF!-#REF!,1))))=TRUE,0,MOD(#REF!-#REF!,1))</f>
        <v>0</v>
      </c>
      <c r="AN16" s="191">
        <f>IF(ISERROR(VALUE((MOD(#REF!-#REF!,1))))=TRUE,0,MOD(#REF!-#REF!,1))</f>
        <v>0</v>
      </c>
      <c r="AO16" s="191">
        <f>IF(ISERROR(VALUE((MOD(#REF!-#REF!,1))))=TRUE,0,MOD(#REF!-#REF!,1))</f>
        <v>0</v>
      </c>
      <c r="AP16" s="191">
        <f>IF(ISERROR(VALUE((MOD(#REF!-#REF!,1))))=TRUE,0,MOD(#REF!-#REF!,1))</f>
        <v>0</v>
      </c>
      <c r="AQ16" s="191">
        <f>IF(ISERROR(VALUE((MOD(#REF!-#REF!,1))))=TRUE,0,MOD(#REF!-#REF!,1))</f>
        <v>0</v>
      </c>
      <c r="AR16" s="191">
        <f>IF(ISERROR(VALUE((MOD(#REF!-#REF!,1))))=TRUE,0,MOD(#REF!-#REF!,1))</f>
        <v>0</v>
      </c>
      <c r="AS16" s="191">
        <f>IF(ISERROR(VALUE((MOD(#REF!-#REF!,1))))=TRUE,0,MOD(#REF!-#REF!,1))</f>
        <v>0</v>
      </c>
      <c r="AT16" s="191">
        <f>IF(ISERROR(VALUE((MOD(#REF!-#REF!,1))))=TRUE,0,MOD(#REF!-#REF!,1))</f>
        <v>0</v>
      </c>
      <c r="AU16" s="191">
        <f>IF(ISERROR(VALUE((MOD(#REF!-#REF!,1))))=TRUE,0,MOD(#REF!-#REF!,1))</f>
        <v>0</v>
      </c>
      <c r="AV16" s="191">
        <f>IF(ISERROR(VALUE((MOD(#REF!-#REF!,1))))=TRUE,0,MOD(#REF!-#REF!,1))</f>
        <v>0</v>
      </c>
      <c r="AW16" s="191">
        <f>IF(ISERROR(VALUE((MOD(#REF!-#REF!,1))))=TRUE,0,MOD(#REF!-#REF!,1))</f>
        <v>0</v>
      </c>
      <c r="AX16" s="31"/>
    </row>
    <row r="17" spans="1:172" ht="15.75" thickBot="1" x14ac:dyDescent="0.3">
      <c r="A17" s="529"/>
      <c r="B17" s="269"/>
      <c r="C17" s="355"/>
      <c r="D17" s="353"/>
      <c r="E17" s="353"/>
      <c r="F17" s="353"/>
      <c r="G17" s="353"/>
      <c r="H17" s="353"/>
      <c r="I17" s="354"/>
      <c r="J17" s="517"/>
      <c r="K17" s="355"/>
      <c r="L17" s="353"/>
      <c r="M17" s="353"/>
      <c r="N17" s="353"/>
      <c r="O17" s="353"/>
      <c r="P17" s="353"/>
      <c r="Q17" s="354"/>
      <c r="R17" s="517"/>
      <c r="S17" s="355"/>
      <c r="T17" s="353"/>
      <c r="U17" s="353"/>
      <c r="V17" s="353"/>
      <c r="W17" s="353"/>
      <c r="X17" s="353"/>
      <c r="Y17" s="354"/>
      <c r="Z17" s="517"/>
      <c r="AA17" s="355"/>
      <c r="AB17" s="353"/>
      <c r="AC17" s="353"/>
      <c r="AD17" s="353"/>
      <c r="AE17" s="353"/>
      <c r="AF17" s="353"/>
      <c r="AG17" s="354"/>
      <c r="AH17" s="238"/>
      <c r="AI17" s="41"/>
      <c r="AJ17" s="191">
        <f>IF(ISERROR(VALUE((MOD(#REF!-#REF!,1))))=TRUE,0,MOD(#REF!-#REF!,1))</f>
        <v>0</v>
      </c>
      <c r="AK17" s="191">
        <f>IF(ISERROR(VALUE((MOD(#REF!-#REF!,1))))=TRUE,0,MOD(#REF!-#REF!,1))</f>
        <v>0</v>
      </c>
      <c r="AL17" s="191">
        <f>IF(ISERROR(VALUE((MOD(#REF!-#REF!,1))))=TRUE,0,MOD(#REF!-#REF!,1))</f>
        <v>0</v>
      </c>
      <c r="AM17" s="191">
        <f>IF(ISERROR(VALUE((MOD(#REF!-#REF!,1))))=TRUE,0,MOD(#REF!-#REF!,1))</f>
        <v>0</v>
      </c>
      <c r="AN17" s="191">
        <f>IF(ISERROR(VALUE((MOD(#REF!-#REF!,1))))=TRUE,0,MOD(#REF!-#REF!,1))</f>
        <v>0</v>
      </c>
      <c r="AO17" s="191">
        <f>IF(ISERROR(VALUE((MOD(#REF!-#REF!,1))))=TRUE,0,MOD(#REF!-#REF!,1))</f>
        <v>0</v>
      </c>
      <c r="AP17" s="191">
        <f>IF(ISERROR(VALUE((MOD(#REF!-#REF!,1))))=TRUE,0,MOD(#REF!-#REF!,1))</f>
        <v>0</v>
      </c>
      <c r="AQ17" s="191">
        <f>IF(ISERROR(VALUE((MOD(#REF!-#REF!,1))))=TRUE,0,MOD(#REF!-#REF!,1))</f>
        <v>0</v>
      </c>
      <c r="AR17" s="191">
        <f>IF(ISERROR(VALUE((MOD(#REF!-#REF!,1))))=TRUE,0,MOD(#REF!-#REF!,1))</f>
        <v>0</v>
      </c>
      <c r="AS17" s="191">
        <f>IF(ISERROR(VALUE((MOD(#REF!-#REF!,1))))=TRUE,0,MOD(#REF!-#REF!,1))</f>
        <v>0</v>
      </c>
      <c r="AT17" s="191">
        <f>IF(ISERROR(VALUE((MOD(#REF!-#REF!,1))))=TRUE,0,MOD(#REF!-#REF!,1))</f>
        <v>0</v>
      </c>
      <c r="AU17" s="191">
        <f>IF(ISERROR(VALUE((MOD(#REF!-#REF!,1))))=TRUE,0,MOD(#REF!-#REF!,1))</f>
        <v>0</v>
      </c>
      <c r="AV17" s="191">
        <f>IF(ISERROR(VALUE((MOD(#REF!-#REF!,1))))=TRUE,0,MOD(#REF!-#REF!,1))</f>
        <v>0</v>
      </c>
      <c r="AW17" s="191">
        <f>IF(ISERROR(VALUE((MOD(#REF!-#REF!,1))))=TRUE,0,MOD(#REF!-#REF!,1))</f>
        <v>0</v>
      </c>
      <c r="AX17" s="31"/>
    </row>
    <row r="18" spans="1:172" ht="15.75" thickBot="1" x14ac:dyDescent="0.3">
      <c r="A18" s="529"/>
      <c r="B18" s="266"/>
      <c r="C18" s="362"/>
      <c r="D18" s="363"/>
      <c r="E18" s="364"/>
      <c r="F18" s="364"/>
      <c r="G18" s="363"/>
      <c r="H18" s="363"/>
      <c r="I18" s="365"/>
      <c r="J18" s="517"/>
      <c r="K18" s="364"/>
      <c r="L18" s="364"/>
      <c r="M18" s="364"/>
      <c r="N18" s="364"/>
      <c r="O18" s="364"/>
      <c r="P18" s="363"/>
      <c r="Q18" s="366"/>
      <c r="R18" s="517"/>
      <c r="S18" s="364"/>
      <c r="T18" s="364"/>
      <c r="U18" s="363"/>
      <c r="V18" s="363"/>
      <c r="W18" s="364"/>
      <c r="X18" s="364"/>
      <c r="Y18" s="365"/>
      <c r="Z18" s="517"/>
      <c r="AA18" s="364"/>
      <c r="AB18" s="364"/>
      <c r="AC18" s="364"/>
      <c r="AD18" s="353"/>
      <c r="AE18" s="364"/>
      <c r="AF18" s="364"/>
      <c r="AG18" s="365"/>
      <c r="AH18" s="238"/>
      <c r="AI18" s="41"/>
      <c r="AJ18" s="191">
        <f>IF(ISERROR(VALUE((MOD(#REF!-#REF!,1))))=TRUE,0,MOD(#REF!-#REF!,1))</f>
        <v>0</v>
      </c>
      <c r="AK18" s="191">
        <f>IF(ISERROR(VALUE((MOD(#REF!-#REF!,1))))=TRUE,0,MOD(#REF!-#REF!,1))</f>
        <v>0</v>
      </c>
      <c r="AL18" s="191">
        <f>IF(ISERROR(VALUE((MOD(#REF!-#REF!,1))))=TRUE,0,MOD(#REF!-#REF!,1))</f>
        <v>0</v>
      </c>
      <c r="AM18" s="191">
        <f>IF(ISERROR(VALUE((MOD(#REF!-#REF!,1))))=TRUE,0,MOD(#REF!-#REF!,1))</f>
        <v>0</v>
      </c>
      <c r="AN18" s="191">
        <f>IF(ISERROR(VALUE((MOD(#REF!-#REF!,1))))=TRUE,0,MOD(#REF!-#REF!,1))</f>
        <v>0</v>
      </c>
      <c r="AO18" s="191">
        <f>IF(ISERROR(VALUE((MOD(#REF!-#REF!,1))))=TRUE,0,MOD(#REF!-#REF!,1))</f>
        <v>0</v>
      </c>
      <c r="AP18" s="191">
        <f>IF(ISERROR(VALUE((MOD(#REF!-#REF!,1))))=TRUE,0,MOD(#REF!-#REF!,1))</f>
        <v>0</v>
      </c>
      <c r="AQ18" s="191">
        <f>IF(ISERROR(VALUE((MOD(#REF!-#REF!,1))))=TRUE,0,MOD(#REF!-#REF!,1))</f>
        <v>0</v>
      </c>
      <c r="AR18" s="191">
        <f>IF(ISERROR(VALUE((MOD(#REF!-#REF!,1))))=TRUE,0,MOD(#REF!-#REF!,1))</f>
        <v>0</v>
      </c>
      <c r="AS18" s="191">
        <f>IF(ISERROR(VALUE((MOD(#REF!-#REF!,1))))=TRUE,0,MOD(#REF!-#REF!,1))</f>
        <v>0</v>
      </c>
      <c r="AT18" s="191">
        <f>IF(ISERROR(VALUE((MOD(#REF!-#REF!,1))))=TRUE,0,MOD(#REF!-#REF!,1))</f>
        <v>0</v>
      </c>
      <c r="AU18" s="191">
        <f>IF(ISERROR(VALUE((MOD(#REF!-#REF!,1))))=TRUE,0,MOD(#REF!-#REF!,1))</f>
        <v>0</v>
      </c>
      <c r="AV18" s="191">
        <f>IF(ISERROR(VALUE((MOD(#REF!-#REF!,1))))=TRUE,0,MOD(#REF!-#REF!,1))</f>
        <v>0</v>
      </c>
      <c r="AW18" s="191">
        <f>IF(ISERROR(VALUE((MOD(#REF!-#REF!,1))))=TRUE,0,MOD(#REF!-#REF!,1))</f>
        <v>0</v>
      </c>
      <c r="AX18" s="31"/>
    </row>
    <row r="19" spans="1:172" ht="15.75" thickBot="1" x14ac:dyDescent="0.3">
      <c r="A19" s="529"/>
      <c r="B19" s="394" t="s">
        <v>430</v>
      </c>
      <c r="C19" s="379" t="s">
        <v>42</v>
      </c>
      <c r="D19" s="370" t="s">
        <v>426</v>
      </c>
      <c r="E19" s="370" t="s">
        <v>426</v>
      </c>
      <c r="F19" s="370" t="s">
        <v>426</v>
      </c>
      <c r="G19" s="370" t="s">
        <v>426</v>
      </c>
      <c r="H19" s="370" t="s">
        <v>426</v>
      </c>
      <c r="I19" s="379" t="s">
        <v>42</v>
      </c>
      <c r="J19" s="517"/>
      <c r="K19" s="379" t="s">
        <v>446</v>
      </c>
      <c r="L19" s="370" t="s">
        <v>426</v>
      </c>
      <c r="M19" s="380" t="s">
        <v>55</v>
      </c>
      <c r="N19" s="370" t="s">
        <v>426</v>
      </c>
      <c r="O19" s="370" t="s">
        <v>426</v>
      </c>
      <c r="P19" s="370" t="s">
        <v>426</v>
      </c>
      <c r="Q19" s="379" t="s">
        <v>42</v>
      </c>
      <c r="R19" s="517"/>
      <c r="S19" s="379" t="s">
        <v>42</v>
      </c>
      <c r="T19" s="370" t="s">
        <v>426</v>
      </c>
      <c r="U19" s="370" t="s">
        <v>426</v>
      </c>
      <c r="V19" s="370" t="s">
        <v>426</v>
      </c>
      <c r="W19" s="370" t="s">
        <v>426</v>
      </c>
      <c r="X19" s="370" t="s">
        <v>426</v>
      </c>
      <c r="Y19" s="379" t="s">
        <v>42</v>
      </c>
      <c r="Z19" s="517"/>
      <c r="AA19" s="379" t="s">
        <v>42</v>
      </c>
      <c r="AB19" s="370" t="s">
        <v>426</v>
      </c>
      <c r="AC19" s="370" t="s">
        <v>426</v>
      </c>
      <c r="AD19" s="370" t="s">
        <v>426</v>
      </c>
      <c r="AE19" s="370" t="s">
        <v>426</v>
      </c>
      <c r="AF19" s="370" t="s">
        <v>426</v>
      </c>
      <c r="AG19" s="379" t="s">
        <v>42</v>
      </c>
      <c r="AH19" s="238"/>
      <c r="AI19" s="41"/>
      <c r="AJ19" s="191">
        <f>IF(ISERROR(VALUE((MOD(#REF!-#REF!,1))))=TRUE,0,MOD(#REF!-#REF!,1))</f>
        <v>0</v>
      </c>
      <c r="AK19" s="191">
        <f>IF(ISERROR(VALUE((MOD(#REF!-#REF!,1))))=TRUE,0,MOD(#REF!-#REF!,1))</f>
        <v>0</v>
      </c>
      <c r="AL19" s="191">
        <f>IF(ISERROR(VALUE((MOD(#REF!-#REF!,1))))=TRUE,0,MOD(#REF!-#REF!,1))</f>
        <v>0</v>
      </c>
      <c r="AM19" s="191">
        <f>IF(ISERROR(VALUE((MOD(#REF!-#REF!,1))))=TRUE,0,MOD(#REF!-#REF!,1))</f>
        <v>0</v>
      </c>
      <c r="AN19" s="191">
        <f>IF(ISERROR(VALUE((MOD(#REF!-#REF!,1))))=TRUE,0,MOD(#REF!-#REF!,1))</f>
        <v>0</v>
      </c>
      <c r="AO19" s="191">
        <f>IF(ISERROR(VALUE((MOD(#REF!-#REF!,1))))=TRUE,0,MOD(#REF!-#REF!,1))</f>
        <v>0</v>
      </c>
      <c r="AP19" s="191">
        <f>IF(ISERROR(VALUE((MOD(#REF!-#REF!,1))))=TRUE,0,MOD(#REF!-#REF!,1))</f>
        <v>0</v>
      </c>
      <c r="AQ19" s="191">
        <f>IF(ISERROR(VALUE((MOD(#REF!-#REF!,1))))=TRUE,0,MOD(#REF!-#REF!,1))</f>
        <v>0</v>
      </c>
      <c r="AR19" s="191">
        <f>IF(ISERROR(VALUE((MOD(#REF!-#REF!,1))))=TRUE,0,MOD(#REF!-#REF!,1))</f>
        <v>0</v>
      </c>
      <c r="AS19" s="191">
        <f>IF(ISERROR(VALUE((MOD(#REF!-#REF!,1))))=TRUE,0,MOD(#REF!-#REF!,1))</f>
        <v>0</v>
      </c>
      <c r="AT19" s="191">
        <f>IF(ISERROR(VALUE((MOD(#REF!-#REF!,1))))=TRUE,0,MOD(#REF!-#REF!,1))</f>
        <v>0</v>
      </c>
      <c r="AU19" s="191">
        <f>IF(ISERROR(VALUE((MOD(#REF!-#REF!,1))))=TRUE,0,MOD(#REF!-#REF!,1))</f>
        <v>0</v>
      </c>
      <c r="AV19" s="191">
        <f>IF(ISERROR(VALUE((MOD(#REF!-#REF!,1))))=TRUE,0,MOD(#REF!-#REF!,1))</f>
        <v>0</v>
      </c>
      <c r="AW19" s="191">
        <f>IF(ISERROR(VALUE((MOD(#REF!-#REF!,1))))=TRUE,0,MOD(#REF!-#REF!,1))</f>
        <v>0</v>
      </c>
      <c r="AX19" s="31"/>
    </row>
    <row r="20" spans="1:172" ht="15.75" thickBot="1" x14ac:dyDescent="0.3">
      <c r="A20" s="529"/>
      <c r="B20" s="393" t="s">
        <v>431</v>
      </c>
      <c r="C20" s="379" t="s">
        <v>42</v>
      </c>
      <c r="D20" s="379" t="s">
        <v>42</v>
      </c>
      <c r="E20" s="382" t="s">
        <v>439</v>
      </c>
      <c r="F20" s="382" t="s">
        <v>439</v>
      </c>
      <c r="G20" s="382" t="s">
        <v>439</v>
      </c>
      <c r="H20" s="382" t="s">
        <v>439</v>
      </c>
      <c r="I20" s="382" t="s">
        <v>439</v>
      </c>
      <c r="J20" s="517"/>
      <c r="K20" s="379" t="s">
        <v>42</v>
      </c>
      <c r="L20" s="379" t="s">
        <v>42</v>
      </c>
      <c r="M20" s="382" t="s">
        <v>439</v>
      </c>
      <c r="N20" s="382" t="s">
        <v>439</v>
      </c>
      <c r="O20" s="382" t="s">
        <v>439</v>
      </c>
      <c r="P20" s="382" t="s">
        <v>439</v>
      </c>
      <c r="Q20" s="382" t="s">
        <v>439</v>
      </c>
      <c r="R20" s="517"/>
      <c r="S20" s="379" t="s">
        <v>42</v>
      </c>
      <c r="T20" s="379" t="s">
        <v>42</v>
      </c>
      <c r="U20" s="382" t="s">
        <v>439</v>
      </c>
      <c r="V20" s="382" t="s">
        <v>439</v>
      </c>
      <c r="W20" s="382" t="s">
        <v>439</v>
      </c>
      <c r="X20" s="382" t="s">
        <v>439</v>
      </c>
      <c r="Y20" s="382" t="s">
        <v>439</v>
      </c>
      <c r="Z20" s="517"/>
      <c r="AA20" s="379" t="s">
        <v>42</v>
      </c>
      <c r="AB20" s="379" t="s">
        <v>42</v>
      </c>
      <c r="AC20" s="380" t="s">
        <v>55</v>
      </c>
      <c r="AD20" s="379" t="s">
        <v>42</v>
      </c>
      <c r="AE20" s="382" t="s">
        <v>439</v>
      </c>
      <c r="AF20" s="382" t="s">
        <v>439</v>
      </c>
      <c r="AG20" s="382" t="s">
        <v>439</v>
      </c>
      <c r="AH20" s="238"/>
      <c r="AI20" s="41"/>
      <c r="AJ20" s="191">
        <f>IF(ISERROR(VALUE((MOD(#REF!-#REF!,1))))=TRUE,0,MOD(#REF!-#REF!,1))</f>
        <v>0</v>
      </c>
      <c r="AK20" s="191">
        <f>IF(ISERROR(VALUE((MOD(#REF!-#REF!,1))))=TRUE,0,MOD(#REF!-#REF!,1))</f>
        <v>0</v>
      </c>
      <c r="AL20" s="191">
        <f>IF(ISERROR(VALUE((MOD(#REF!-#REF!,1))))=TRUE,0,MOD(#REF!-#REF!,1))</f>
        <v>0</v>
      </c>
      <c r="AM20" s="191">
        <f>IF(ISERROR(VALUE((MOD(#REF!-#REF!,1))))=TRUE,0,MOD(#REF!-#REF!,1))</f>
        <v>0</v>
      </c>
      <c r="AN20" s="191">
        <f>IF(ISERROR(VALUE((MOD(#REF!-#REF!,1))))=TRUE,0,MOD(#REF!-#REF!,1))</f>
        <v>0</v>
      </c>
      <c r="AO20" s="191">
        <f>IF(ISERROR(VALUE((MOD(#REF!-#REF!,1))))=TRUE,0,MOD(#REF!-#REF!,1))</f>
        <v>0</v>
      </c>
      <c r="AP20" s="191">
        <f>IF(ISERROR(VALUE((MOD(#REF!-#REF!,1))))=TRUE,0,MOD(#REF!-#REF!,1))</f>
        <v>0</v>
      </c>
      <c r="AQ20" s="191">
        <f>IF(ISERROR(VALUE((MOD(#REF!-#REF!,1))))=TRUE,0,MOD(#REF!-#REF!,1))</f>
        <v>0</v>
      </c>
      <c r="AR20" s="191">
        <f>IF(ISERROR(VALUE((MOD(#REF!-#REF!,1))))=TRUE,0,MOD(#REF!-#REF!,1))</f>
        <v>0</v>
      </c>
      <c r="AS20" s="191">
        <f>IF(ISERROR(VALUE((MOD(#REF!-#REF!,1))))=TRUE,0,MOD(#REF!-#REF!,1))</f>
        <v>0</v>
      </c>
      <c r="AT20" s="191">
        <f>IF(ISERROR(VALUE((MOD(#REF!-#REF!,1))))=TRUE,0,MOD(#REF!-#REF!,1))</f>
        <v>0</v>
      </c>
      <c r="AU20" s="191">
        <f>IF(ISERROR(VALUE((MOD(#REF!-#REF!,1))))=TRUE,0,MOD(#REF!-#REF!,1))</f>
        <v>0</v>
      </c>
      <c r="AV20" s="191">
        <f>IF(ISERROR(VALUE((MOD(#REF!-#REF!,1))))=TRUE,0,MOD(#REF!-#REF!,1))</f>
        <v>0</v>
      </c>
      <c r="AW20" s="191">
        <f>IF(ISERROR(VALUE((MOD(#REF!-#REF!,1))))=TRUE,0,MOD(#REF!-#REF!,1))</f>
        <v>0</v>
      </c>
      <c r="AX20" s="31"/>
    </row>
    <row r="21" spans="1:172" ht="15.75" thickBot="1" x14ac:dyDescent="0.3">
      <c r="A21" s="529"/>
      <c r="B21" s="269"/>
      <c r="C21" s="382" t="s">
        <v>439</v>
      </c>
      <c r="D21" s="382" t="s">
        <v>439</v>
      </c>
      <c r="E21" s="353"/>
      <c r="F21" s="353"/>
      <c r="G21" s="353"/>
      <c r="H21" s="353"/>
      <c r="I21" s="354"/>
      <c r="J21" s="517"/>
      <c r="K21" s="382" t="s">
        <v>439</v>
      </c>
      <c r="L21" s="382" t="s">
        <v>439</v>
      </c>
      <c r="M21" s="353"/>
      <c r="N21" s="353"/>
      <c r="O21" s="353"/>
      <c r="P21" s="354"/>
      <c r="Q21" s="353"/>
      <c r="R21" s="517"/>
      <c r="S21" s="382" t="s">
        <v>439</v>
      </c>
      <c r="T21" s="382" t="s">
        <v>439</v>
      </c>
      <c r="U21" s="353"/>
      <c r="V21" s="353"/>
      <c r="W21" s="353"/>
      <c r="X21" s="354"/>
      <c r="Y21" s="353"/>
      <c r="Z21" s="517"/>
      <c r="AA21" s="382" t="s">
        <v>439</v>
      </c>
      <c r="AB21" s="382" t="s">
        <v>439</v>
      </c>
      <c r="AC21" s="353"/>
      <c r="AD21" s="353"/>
      <c r="AE21" s="353"/>
      <c r="AF21" s="354"/>
      <c r="AG21" s="353"/>
      <c r="AH21" s="238"/>
      <c r="AI21" s="41"/>
      <c r="AJ21" s="191">
        <f>IF(ISERROR(VALUE((MOD(#REF!-#REF!,1))))=TRUE,0,MOD(#REF!-#REF!,1))</f>
        <v>0</v>
      </c>
      <c r="AK21" s="191">
        <f>IF(ISERROR(VALUE((MOD(#REF!-#REF!,1))))=TRUE,0,MOD(#REF!-#REF!,1))</f>
        <v>0</v>
      </c>
      <c r="AL21" s="191">
        <f>IF(ISERROR(VALUE((MOD(#REF!-#REF!,1))))=TRUE,0,MOD(#REF!-#REF!,1))</f>
        <v>0</v>
      </c>
      <c r="AM21" s="191">
        <f>IF(ISERROR(VALUE((MOD(#REF!-#REF!,1))))=TRUE,0,MOD(#REF!-#REF!,1))</f>
        <v>0</v>
      </c>
      <c r="AN21" s="191">
        <f>IF(ISERROR(VALUE((MOD(#REF!-#REF!,1))))=TRUE,0,MOD(#REF!-#REF!,1))</f>
        <v>0</v>
      </c>
      <c r="AO21" s="191">
        <f>IF(ISERROR(VALUE((MOD(#REF!-#REF!,1))))=TRUE,0,MOD(#REF!-#REF!,1))</f>
        <v>0</v>
      </c>
      <c r="AP21" s="191">
        <f>IF(ISERROR(VALUE((MOD(#REF!-#REF!,1))))=TRUE,0,MOD(#REF!-#REF!,1))</f>
        <v>0</v>
      </c>
      <c r="AQ21" s="191">
        <f>IF(ISERROR(VALUE((MOD(#REF!-#REF!,1))))=TRUE,0,MOD(#REF!-#REF!,1))</f>
        <v>0</v>
      </c>
      <c r="AR21" s="191">
        <f>IF(ISERROR(VALUE((MOD(#REF!-#REF!,1))))=TRUE,0,MOD(#REF!-#REF!,1))</f>
        <v>0</v>
      </c>
      <c r="AS21" s="191">
        <f>IF(ISERROR(VALUE((MOD(#REF!-#REF!,1))))=TRUE,0,MOD(#REF!-#REF!,1))</f>
        <v>0</v>
      </c>
      <c r="AT21" s="191">
        <f>IF(ISERROR(VALUE((MOD(#REF!-#REF!,1))))=TRUE,0,MOD(#REF!-#REF!,1))</f>
        <v>0</v>
      </c>
      <c r="AU21" s="191">
        <f>IF(ISERROR(VALUE((MOD(#REF!-#REF!,1))))=TRUE,0,MOD(#REF!-#REF!,1))</f>
        <v>0</v>
      </c>
      <c r="AV21" s="191">
        <f>IF(ISERROR(VALUE((MOD(#REF!-#REF!,1))))=TRUE,0,MOD(#REF!-#REF!,1))</f>
        <v>0</v>
      </c>
      <c r="AW21" s="191">
        <f>IF(ISERROR(VALUE((MOD(#REF!-#REF!,1))))=TRUE,0,MOD(#REF!-#REF!,1))</f>
        <v>0</v>
      </c>
      <c r="AX21" s="31"/>
    </row>
    <row r="22" spans="1:172" ht="15.75" thickBot="1" x14ac:dyDescent="0.3">
      <c r="A22" s="529"/>
      <c r="B22" s="269"/>
      <c r="C22" s="269"/>
      <c r="D22" s="269"/>
      <c r="E22" s="269"/>
      <c r="F22" s="269"/>
      <c r="G22" s="269"/>
      <c r="H22" s="269"/>
      <c r="I22" s="269"/>
      <c r="J22" s="517"/>
      <c r="K22" s="269"/>
      <c r="L22" s="269"/>
      <c r="M22" s="269"/>
      <c r="N22" s="269"/>
      <c r="O22" s="269"/>
      <c r="P22" s="269"/>
      <c r="Q22" s="269"/>
      <c r="R22" s="517"/>
      <c r="S22" s="269"/>
      <c r="T22" s="269"/>
      <c r="U22" s="269"/>
      <c r="V22" s="269"/>
      <c r="W22" s="269"/>
      <c r="X22" s="269"/>
      <c r="Y22" s="269"/>
      <c r="Z22" s="517"/>
      <c r="AA22" s="269"/>
      <c r="AB22" s="269"/>
      <c r="AC22" s="269"/>
      <c r="AD22" s="269"/>
      <c r="AE22" s="269"/>
      <c r="AF22" s="269"/>
      <c r="AG22" s="269"/>
      <c r="AH22" s="238"/>
      <c r="AI22" s="41"/>
      <c r="AJ22" s="191">
        <f>IF(ISERROR(VALUE((MOD(#REF!-#REF!,1))))=TRUE,0,MOD(#REF!-#REF!,1))</f>
        <v>0</v>
      </c>
      <c r="AK22" s="191">
        <f>IF(ISERROR(VALUE((MOD(#REF!-#REF!,1))))=TRUE,0,MOD(#REF!-#REF!,1))</f>
        <v>0</v>
      </c>
      <c r="AL22" s="191">
        <f>IF(ISERROR(VALUE((MOD(#REF!-#REF!,1))))=TRUE,0,MOD(#REF!-#REF!,1))</f>
        <v>0</v>
      </c>
      <c r="AM22" s="191">
        <f>IF(ISERROR(VALUE((MOD(#REF!-#REF!,1))))=TRUE,0,MOD(#REF!-#REF!,1))</f>
        <v>0</v>
      </c>
      <c r="AN22" s="191">
        <f>IF(ISERROR(VALUE((MOD(#REF!-#REF!,1))))=TRUE,0,MOD(#REF!-#REF!,1))</f>
        <v>0</v>
      </c>
      <c r="AO22" s="191">
        <f>IF(ISERROR(VALUE((MOD(#REF!-#REF!,1))))=TRUE,0,MOD(#REF!-#REF!,1))</f>
        <v>0</v>
      </c>
      <c r="AP22" s="191">
        <f>IF(ISERROR(VALUE((MOD(#REF!-#REF!,1))))=TRUE,0,MOD(#REF!-#REF!,1))</f>
        <v>0</v>
      </c>
      <c r="AQ22" s="191">
        <f>IF(ISERROR(VALUE((MOD(#REF!-#REF!,1))))=TRUE,0,MOD(#REF!-#REF!,1))</f>
        <v>0</v>
      </c>
      <c r="AR22" s="191">
        <f>IF(ISERROR(VALUE((MOD(#REF!-#REF!,1))))=TRUE,0,MOD(#REF!-#REF!,1))</f>
        <v>0</v>
      </c>
      <c r="AS22" s="191">
        <f>IF(ISERROR(VALUE((MOD(#REF!-#REF!,1))))=TRUE,0,MOD(#REF!-#REF!,1))</f>
        <v>0</v>
      </c>
      <c r="AT22" s="191">
        <f>IF(ISERROR(VALUE((MOD(#REF!-#REF!,1))))=TRUE,0,MOD(#REF!-#REF!,1))</f>
        <v>0</v>
      </c>
      <c r="AU22" s="191">
        <f>IF(ISERROR(VALUE((MOD(#REF!-#REF!,1))))=TRUE,0,MOD(#REF!-#REF!,1))</f>
        <v>0</v>
      </c>
      <c r="AV22" s="191">
        <f>IF(ISERROR(VALUE((MOD(#REF!-#REF!,1))))=TRUE,0,MOD(#REF!-#REF!,1))</f>
        <v>0</v>
      </c>
      <c r="AW22" s="191">
        <f>IF(ISERROR(VALUE((MOD(#REF!-#REF!,1))))=TRUE,0,MOD(#REF!-#REF!,1))</f>
        <v>0</v>
      </c>
      <c r="AX22" s="31"/>
    </row>
    <row r="23" spans="1:172" ht="15.75" thickBot="1" x14ac:dyDescent="0.3">
      <c r="A23" s="529"/>
      <c r="B23" s="393" t="s">
        <v>437</v>
      </c>
      <c r="C23" s="370" t="s">
        <v>443</v>
      </c>
      <c r="D23" s="360"/>
      <c r="E23" s="360"/>
      <c r="F23" s="360"/>
      <c r="G23" s="360"/>
      <c r="H23" s="360"/>
      <c r="I23" s="419" t="s">
        <v>426</v>
      </c>
      <c r="J23" s="517"/>
      <c r="K23" s="370" t="s">
        <v>443</v>
      </c>
      <c r="L23" s="360"/>
      <c r="M23" s="360"/>
      <c r="N23" s="360"/>
      <c r="O23" s="360"/>
      <c r="P23" s="360"/>
      <c r="Q23" s="370" t="s">
        <v>426</v>
      </c>
      <c r="R23" s="517"/>
      <c r="S23" s="370" t="s">
        <v>426</v>
      </c>
      <c r="T23" s="360"/>
      <c r="U23" s="360"/>
      <c r="V23" s="360"/>
      <c r="W23" s="360"/>
      <c r="X23" s="360"/>
      <c r="Y23" s="370" t="s">
        <v>426</v>
      </c>
      <c r="Z23" s="517"/>
      <c r="AA23" s="370" t="s">
        <v>426</v>
      </c>
      <c r="AB23" s="360"/>
      <c r="AC23" s="360"/>
      <c r="AD23" s="353"/>
      <c r="AE23" s="367"/>
      <c r="AF23" s="367"/>
      <c r="AG23" s="370" t="s">
        <v>426</v>
      </c>
      <c r="AH23" s="238">
        <v>0</v>
      </c>
      <c r="AI23" s="41"/>
      <c r="AJ23" s="191">
        <f>IF(ISERROR(VALUE((MOD(#REF!-#REF!,1))))=TRUE,0,MOD(#REF!-#REF!,1))</f>
        <v>0</v>
      </c>
      <c r="AK23" s="191">
        <f>IF(ISERROR(VALUE((MOD(#REF!-#REF!,1))))=TRUE,0,MOD(#REF!-#REF!,1))</f>
        <v>0</v>
      </c>
      <c r="AL23" s="191">
        <f>IF(ISERROR(VALUE((MOD(#REF!-#REF!,1))))=TRUE,0,MOD(#REF!-#REF!,1))</f>
        <v>0</v>
      </c>
      <c r="AM23" s="191">
        <f>IF(ISERROR(VALUE((MOD(#REF!-#REF!,1))))=TRUE,0,MOD(#REF!-#REF!,1))</f>
        <v>0</v>
      </c>
      <c r="AN23" s="191">
        <f>IF(ISERROR(VALUE((MOD(#REF!-#REF!,1))))=TRUE,0,MOD(#REF!-#REF!,1))</f>
        <v>0</v>
      </c>
      <c r="AO23" s="191">
        <f>IF(ISERROR(VALUE((MOD(#REF!-#REF!,1))))=TRUE,0,MOD(#REF!-#REF!,1))</f>
        <v>0</v>
      </c>
      <c r="AP23" s="191">
        <f>IF(ISERROR(VALUE((MOD(#REF!-#REF!,1))))=TRUE,0,MOD(#REF!-#REF!,1))</f>
        <v>0</v>
      </c>
      <c r="AQ23" s="191">
        <f>IF(ISERROR(VALUE((MOD(#REF!-#REF!,1))))=TRUE,0,MOD(#REF!-#REF!,1))</f>
        <v>0</v>
      </c>
      <c r="AR23" s="191">
        <f>IF(ISERROR(VALUE((MOD(#REF!-#REF!,1))))=TRUE,0,MOD(#REF!-#REF!,1))</f>
        <v>0</v>
      </c>
      <c r="AS23" s="191">
        <f>IF(ISERROR(VALUE((MOD(#REF!-#REF!,1))))=TRUE,0,MOD(#REF!-#REF!,1))</f>
        <v>0</v>
      </c>
      <c r="AT23" s="191">
        <f>IF(ISERROR(VALUE((MOD(#REF!-#REF!,1))))=TRUE,0,MOD(#REF!-#REF!,1))</f>
        <v>0</v>
      </c>
      <c r="AU23" s="191">
        <f>IF(ISERROR(VALUE((MOD(#REF!-#REF!,1))))=TRUE,0,MOD(#REF!-#REF!,1))</f>
        <v>0</v>
      </c>
      <c r="AV23" s="191">
        <f>IF(ISERROR(VALUE((MOD(#REF!-#REF!,1))))=TRUE,0,MOD(#REF!-#REF!,1))</f>
        <v>0</v>
      </c>
      <c r="AW23" s="191">
        <f>IF(ISERROR(VALUE((MOD(#REF!-#REF!,1))))=TRUE,0,MOD(#REF!-#REF!,1))</f>
        <v>0</v>
      </c>
      <c r="AX23" s="31"/>
    </row>
    <row r="24" spans="1:172" ht="15.95" customHeight="1" thickBot="1" x14ac:dyDescent="0.3">
      <c r="A24" s="529"/>
      <c r="B24" s="395" t="s">
        <v>438</v>
      </c>
      <c r="C24" s="369"/>
      <c r="D24" s="369"/>
      <c r="E24" s="369"/>
      <c r="F24" s="369"/>
      <c r="G24" s="369"/>
      <c r="H24" s="380" t="s">
        <v>55</v>
      </c>
      <c r="I24" s="380" t="s">
        <v>55</v>
      </c>
      <c r="J24" s="518"/>
      <c r="K24" s="369"/>
      <c r="L24" s="369"/>
      <c r="M24" s="369"/>
      <c r="N24" s="369"/>
      <c r="O24" s="369"/>
      <c r="P24" s="380" t="s">
        <v>55</v>
      </c>
      <c r="Q24" s="380" t="s">
        <v>55</v>
      </c>
      <c r="R24" s="518"/>
      <c r="S24" s="368"/>
      <c r="T24" s="369"/>
      <c r="U24" s="369"/>
      <c r="V24" s="380" t="s">
        <v>55</v>
      </c>
      <c r="W24" s="369"/>
      <c r="X24" s="369"/>
      <c r="Y24" s="380" t="s">
        <v>55</v>
      </c>
      <c r="Z24" s="518"/>
      <c r="AA24" s="380" t="s">
        <v>55</v>
      </c>
      <c r="AB24" s="369"/>
      <c r="AC24" s="369"/>
      <c r="AD24" s="369"/>
      <c r="AE24" s="369"/>
      <c r="AF24" s="380" t="s">
        <v>55</v>
      </c>
      <c r="AG24" s="380" t="s">
        <v>55</v>
      </c>
      <c r="AH24" s="238"/>
      <c r="AI24" s="41"/>
      <c r="AJ24" s="191">
        <f>IF(ISERROR(VALUE((MOD(#REF!-#REF!,1))))=TRUE,0,MOD(#REF!-#REF!,1))</f>
        <v>0</v>
      </c>
      <c r="AK24" s="191">
        <f>IF(ISERROR(VALUE((MOD(#REF!-#REF!,1))))=TRUE,0,MOD(#REF!-#REF!,1))</f>
        <v>0</v>
      </c>
      <c r="AL24" s="191">
        <f>IF(ISERROR(VALUE((MOD(#REF!-#REF!,1))))=TRUE,0,MOD(#REF!-#REF!,1))</f>
        <v>0</v>
      </c>
      <c r="AM24" s="191">
        <f>IF(ISERROR(VALUE((MOD(#REF!-#REF!,1))))=TRUE,0,MOD(#REF!-#REF!,1))</f>
        <v>0</v>
      </c>
      <c r="AN24" s="191">
        <f>IF(ISERROR(VALUE((MOD(#REF!-#REF!,1))))=TRUE,0,MOD(#REF!-#REF!,1))</f>
        <v>0</v>
      </c>
      <c r="AO24" s="191">
        <f>IF(ISERROR(VALUE((MOD(#REF!-#REF!,1))))=TRUE,0,MOD(#REF!-#REF!,1))</f>
        <v>0</v>
      </c>
      <c r="AP24" s="191">
        <f>IF(ISERROR(VALUE((MOD(#REF!-#REF!,1))))=TRUE,0,MOD(#REF!-#REF!,1))</f>
        <v>0</v>
      </c>
      <c r="AQ24" s="191">
        <f>IF(ISERROR(VALUE((MOD(#REF!-#REF!,1))))=TRUE,0,MOD(#REF!-#REF!,1))</f>
        <v>0</v>
      </c>
      <c r="AR24" s="191">
        <f>IF(ISERROR(VALUE((MOD(#REF!-#REF!,1))))=TRUE,0,MOD(#REF!-#REF!,1))</f>
        <v>0</v>
      </c>
      <c r="AS24" s="191">
        <f>IF(ISERROR(VALUE((MOD(#REF!-#REF!,1))))=TRUE,0,MOD(#REF!-#REF!,1))</f>
        <v>0</v>
      </c>
      <c r="AT24" s="191">
        <f>IF(ISERROR(VALUE((MOD(#REF!-#REF!,1))))=TRUE,0,MOD(#REF!-#REF!,1))</f>
        <v>0</v>
      </c>
      <c r="AU24" s="191">
        <f>IF(ISERROR(VALUE((MOD(#REF!-#REF!,1))))=TRUE,0,MOD(#REF!-#REF!,1))</f>
        <v>0</v>
      </c>
      <c r="AV24" s="191">
        <f>IF(ISERROR(VALUE((MOD(#REF!-#REF!,1))))=TRUE,0,MOD(#REF!-#REF!,1))</f>
        <v>0</v>
      </c>
      <c r="AW24" s="191">
        <f>IF(ISERROR(VALUE((MOD(#REF!-#REF!,1))))=TRUE,0,MOD(#REF!-#REF!,1))</f>
        <v>0</v>
      </c>
      <c r="AX24" s="31"/>
    </row>
    <row r="25" spans="1:172" ht="11.45" customHeight="1" thickBot="1" x14ac:dyDescent="0.3">
      <c r="A25" s="389"/>
      <c r="B25" s="388"/>
      <c r="C25" s="530"/>
      <c r="D25" s="531"/>
      <c r="E25" s="531"/>
      <c r="F25" s="531"/>
      <c r="G25" s="532"/>
      <c r="H25" s="532"/>
      <c r="I25" s="532"/>
      <c r="J25" s="532"/>
      <c r="K25" s="532"/>
      <c r="L25" s="533"/>
      <c r="M25" s="531"/>
      <c r="N25" s="531"/>
      <c r="O25" s="531"/>
      <c r="P25" s="533"/>
      <c r="Q25" s="531"/>
      <c r="R25" s="531"/>
      <c r="S25" s="531"/>
      <c r="T25" s="531"/>
      <c r="U25" s="531"/>
      <c r="V25" s="531"/>
      <c r="W25" s="531"/>
      <c r="X25" s="531"/>
      <c r="Y25" s="531"/>
      <c r="Z25" s="531"/>
      <c r="AA25" s="531"/>
      <c r="AB25" s="531"/>
      <c r="AC25" s="531"/>
      <c r="AD25" s="531"/>
      <c r="AE25" s="531"/>
      <c r="AF25" s="531"/>
      <c r="AG25" s="531"/>
      <c r="AH25" s="44"/>
      <c r="AI25" s="44"/>
      <c r="AJ25" s="42"/>
      <c r="AK25" s="43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31"/>
    </row>
    <row r="26" spans="1:172" s="23" customFormat="1" ht="12.75" customHeight="1" thickBot="1" x14ac:dyDescent="0.25">
      <c r="A26" s="396"/>
      <c r="B26" s="405"/>
      <c r="C26" s="491"/>
      <c r="D26" s="491"/>
      <c r="E26" s="491"/>
      <c r="F26" s="491"/>
      <c r="G26" s="491"/>
      <c r="H26" s="491"/>
      <c r="I26" s="491"/>
      <c r="J26" s="491"/>
      <c r="K26" s="491"/>
      <c r="L26" s="491"/>
      <c r="M26" s="491"/>
      <c r="N26" s="491"/>
      <c r="O26" s="491"/>
      <c r="P26" s="491"/>
      <c r="Q26" s="491"/>
      <c r="R26" s="491"/>
      <c r="S26" s="491"/>
      <c r="T26" s="491"/>
      <c r="U26" s="491"/>
      <c r="V26" s="491"/>
      <c r="W26" s="491"/>
      <c r="X26" s="491"/>
      <c r="Y26" s="491"/>
      <c r="Z26" s="491"/>
      <c r="AA26" s="491"/>
      <c r="AB26" s="491"/>
      <c r="AC26" s="491"/>
      <c r="AD26" s="491"/>
      <c r="AE26" s="491"/>
      <c r="AF26" s="491"/>
      <c r="AG26" s="491"/>
      <c r="AH26" s="27"/>
      <c r="AI26" s="27"/>
      <c r="AJ26" s="42"/>
      <c r="AK26" s="43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31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</row>
    <row r="27" spans="1:172" s="23" customFormat="1" ht="14.25" customHeight="1" thickBot="1" x14ac:dyDescent="0.25">
      <c r="A27" s="39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50"/>
      <c r="M27" s="51"/>
      <c r="N27" s="51"/>
      <c r="O27" s="51"/>
      <c r="P27" s="51"/>
      <c r="Q27" s="51"/>
      <c r="R27" s="49"/>
      <c r="S27" s="51"/>
      <c r="T27" s="51"/>
      <c r="U27" s="483"/>
      <c r="V27" s="483"/>
      <c r="W27" s="483"/>
      <c r="X27" s="483"/>
      <c r="Y27" s="52"/>
      <c r="Z27" s="52"/>
      <c r="AA27" s="52"/>
      <c r="AB27" s="52"/>
      <c r="AC27" s="52"/>
      <c r="AD27" s="483"/>
      <c r="AE27" s="483"/>
      <c r="AF27" s="483"/>
      <c r="AG27" s="483"/>
      <c r="AH27" s="27"/>
      <c r="AI27" s="27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31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</row>
    <row r="28" spans="1:172" s="23" customFormat="1" ht="15.95" customHeight="1" thickTop="1" thickBot="1" x14ac:dyDescent="0.25">
      <c r="A28" s="397"/>
      <c r="B28" s="336"/>
      <c r="C28" s="337"/>
      <c r="D28" s="337"/>
      <c r="E28" s="337"/>
      <c r="F28" s="337"/>
      <c r="G28" s="337"/>
      <c r="H28" s="337"/>
      <c r="I28" s="337"/>
      <c r="J28" s="337"/>
      <c r="K28" s="338"/>
      <c r="L28" s="339" t="s">
        <v>415</v>
      </c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37"/>
      <c r="AC28" s="337"/>
      <c r="AD28" s="337"/>
      <c r="AE28" s="340"/>
      <c r="AF28" s="52"/>
      <c r="AG28" s="52"/>
      <c r="AH28" s="27"/>
      <c r="AI28" s="59" t="s">
        <v>265</v>
      </c>
      <c r="AJ28" s="60">
        <f>SUM(AJ6:AJ26)</f>
        <v>0</v>
      </c>
      <c r="AK28" s="60">
        <f>SUM(AK6:AK25)</f>
        <v>0</v>
      </c>
      <c r="AL28" s="60">
        <f t="shared" ref="AL28:AW28" si="0">SUM(AL6:AL26)</f>
        <v>0</v>
      </c>
      <c r="AM28" s="60">
        <f t="shared" si="0"/>
        <v>0</v>
      </c>
      <c r="AN28" s="60">
        <f t="shared" si="0"/>
        <v>0</v>
      </c>
      <c r="AO28" s="60">
        <f t="shared" si="0"/>
        <v>0</v>
      </c>
      <c r="AP28" s="60">
        <f t="shared" si="0"/>
        <v>0</v>
      </c>
      <c r="AQ28" s="60">
        <f t="shared" si="0"/>
        <v>0</v>
      </c>
      <c r="AR28" s="60">
        <f t="shared" si="0"/>
        <v>0</v>
      </c>
      <c r="AS28" s="60">
        <f t="shared" si="0"/>
        <v>0</v>
      </c>
      <c r="AT28" s="60">
        <f t="shared" si="0"/>
        <v>0</v>
      </c>
      <c r="AU28" s="60">
        <f t="shared" si="0"/>
        <v>0</v>
      </c>
      <c r="AV28" s="60">
        <f t="shared" si="0"/>
        <v>0</v>
      </c>
      <c r="AW28" s="60">
        <f t="shared" si="0"/>
        <v>0</v>
      </c>
      <c r="AX28" s="31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</row>
    <row r="29" spans="1:172" s="23" customFormat="1" ht="14.25" customHeight="1" thickTop="1" x14ac:dyDescent="0.2">
      <c r="A29" s="397"/>
      <c r="B29" s="327" t="s">
        <v>266</v>
      </c>
      <c r="C29" s="328"/>
      <c r="D29" s="328" t="s">
        <v>267</v>
      </c>
      <c r="E29" s="328"/>
      <c r="F29" s="328"/>
      <c r="G29" s="328"/>
      <c r="H29" s="328"/>
      <c r="I29" s="328"/>
      <c r="J29" s="328"/>
      <c r="K29" s="329"/>
      <c r="L29" s="330" t="s">
        <v>416</v>
      </c>
      <c r="M29" s="331" t="s">
        <v>417</v>
      </c>
      <c r="N29" s="331"/>
      <c r="O29" s="331"/>
      <c r="P29" s="331"/>
      <c r="Q29" s="331"/>
      <c r="R29" s="331"/>
      <c r="S29" s="331"/>
      <c r="T29" s="331"/>
      <c r="U29" s="332"/>
      <c r="V29" s="333" t="s">
        <v>422</v>
      </c>
      <c r="W29" s="334" t="s">
        <v>441</v>
      </c>
      <c r="X29" s="334"/>
      <c r="Y29" s="334"/>
      <c r="Z29" s="334"/>
      <c r="AA29" s="334"/>
      <c r="AB29" s="334" t="s">
        <v>428</v>
      </c>
      <c r="AC29" s="334"/>
      <c r="AD29" s="334"/>
      <c r="AE29" s="335"/>
      <c r="AF29" s="52"/>
      <c r="AG29" s="52"/>
      <c r="AH29" s="27"/>
      <c r="AI29" s="64" t="s">
        <v>268</v>
      </c>
      <c r="AJ29" s="488" t="e">
        <f>SUM(AJ28:AK28)-#REF!</f>
        <v>#REF!</v>
      </c>
      <c r="AK29" s="488"/>
      <c r="AL29" s="488" t="e">
        <f>SUM(AL28:AM28)-#REF!</f>
        <v>#REF!</v>
      </c>
      <c r="AM29" s="488"/>
      <c r="AN29" s="488" t="e">
        <f>SUM(AN28:AO28)-#REF!</f>
        <v>#REF!</v>
      </c>
      <c r="AO29" s="488"/>
      <c r="AP29" s="488" t="e">
        <f>SUM(AP28:AQ28)-#REF!</f>
        <v>#REF!</v>
      </c>
      <c r="AQ29" s="488"/>
      <c r="AR29" s="488" t="e">
        <f>SUM(AR28:AS28)-#REF!</f>
        <v>#REF!</v>
      </c>
      <c r="AS29" s="488"/>
      <c r="AT29" s="488" t="e">
        <f>SUM(AT28:AU28)-#REF!</f>
        <v>#REF!</v>
      </c>
      <c r="AU29" s="488"/>
      <c r="AV29" s="488" t="e">
        <f>SUM(AV28:AW28)-#REF!</f>
        <v>#REF!</v>
      </c>
      <c r="AW29" s="488"/>
      <c r="AX29" s="65" t="e">
        <f>SUM(AJ29:AW29)</f>
        <v>#REF!</v>
      </c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</row>
    <row r="30" spans="1:172" s="23" customFormat="1" ht="14.25" customHeight="1" x14ac:dyDescent="0.2">
      <c r="A30" s="397" t="s">
        <v>442</v>
      </c>
      <c r="B30" s="315" t="s">
        <v>269</v>
      </c>
      <c r="C30" s="67"/>
      <c r="D30" s="67" t="s">
        <v>270</v>
      </c>
      <c r="E30" s="67"/>
      <c r="F30" s="67"/>
      <c r="G30" s="67"/>
      <c r="H30" s="67"/>
      <c r="I30" s="67"/>
      <c r="J30" s="67"/>
      <c r="K30" s="68"/>
      <c r="L30" s="371" t="s">
        <v>418</v>
      </c>
      <c r="M30" s="372" t="s">
        <v>434</v>
      </c>
      <c r="N30" s="372"/>
      <c r="O30" s="372"/>
      <c r="P30" s="372"/>
      <c r="Q30" s="372" t="s">
        <v>427</v>
      </c>
      <c r="R30" s="372"/>
      <c r="S30" s="372"/>
      <c r="T30" s="309"/>
      <c r="U30" s="373"/>
      <c r="V30" s="381" t="s">
        <v>424</v>
      </c>
      <c r="W30" s="383" t="s">
        <v>433</v>
      </c>
      <c r="X30" s="383"/>
      <c r="Y30" s="71"/>
      <c r="Z30" s="71"/>
      <c r="AA30" s="71"/>
      <c r="AB30" s="383" t="s">
        <v>428</v>
      </c>
      <c r="AC30" s="383"/>
      <c r="AD30" s="383"/>
      <c r="AE30" s="317"/>
      <c r="AF30" s="52"/>
      <c r="AG30" s="52"/>
      <c r="AH30" s="27"/>
      <c r="AI30" s="69">
        <f>AL1</f>
        <v>28</v>
      </c>
      <c r="AJ30" s="490" t="e">
        <f>AJ29*24*AI30</f>
        <v>#REF!</v>
      </c>
      <c r="AK30" s="490"/>
      <c r="AL30" s="490" t="e">
        <f>AL29*24*AI30</f>
        <v>#REF!</v>
      </c>
      <c r="AM30" s="490"/>
      <c r="AN30" s="490" t="e">
        <f>AN29*24*AI30</f>
        <v>#REF!</v>
      </c>
      <c r="AO30" s="490"/>
      <c r="AP30" s="490" t="e">
        <f>AP29*24*AI30</f>
        <v>#REF!</v>
      </c>
      <c r="AQ30" s="490"/>
      <c r="AR30" s="490" t="e">
        <f>AR29*24*AI30</f>
        <v>#REF!</v>
      </c>
      <c r="AS30" s="490"/>
      <c r="AT30" s="490" t="e">
        <f>AT29*24*AI30</f>
        <v>#REF!</v>
      </c>
      <c r="AU30" s="490"/>
      <c r="AV30" s="490" t="e">
        <f>AV29*24*AI30</f>
        <v>#REF!</v>
      </c>
      <c r="AW30" s="490"/>
      <c r="AX30" s="31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</row>
    <row r="31" spans="1:172" s="23" customFormat="1" ht="14.25" customHeight="1" x14ac:dyDescent="0.2">
      <c r="A31" s="397"/>
      <c r="B31" s="314" t="s">
        <v>271</v>
      </c>
      <c r="C31" s="71"/>
      <c r="D31" s="71" t="s">
        <v>272</v>
      </c>
      <c r="E31" s="71"/>
      <c r="F31" s="71"/>
      <c r="G31" s="71"/>
      <c r="H31" s="71"/>
      <c r="I31" s="71"/>
      <c r="J31" s="71"/>
      <c r="K31" s="72"/>
      <c r="L31" s="308" t="s">
        <v>420</v>
      </c>
      <c r="M31" s="309" t="s">
        <v>421</v>
      </c>
      <c r="N31" s="309"/>
      <c r="O31" s="309"/>
      <c r="P31" s="309"/>
      <c r="Q31" s="309" t="s">
        <v>428</v>
      </c>
      <c r="R31" s="385"/>
      <c r="S31" s="309"/>
      <c r="U31" s="310"/>
      <c r="V31" s="382" t="s">
        <v>439</v>
      </c>
      <c r="W31" s="384" t="s">
        <v>440</v>
      </c>
      <c r="X31" s="384"/>
      <c r="Y31" s="384"/>
      <c r="Z31" s="384"/>
      <c r="AA31" s="384"/>
      <c r="AB31" s="384"/>
      <c r="AC31" s="384"/>
      <c r="AD31" s="384"/>
      <c r="AE31" s="386"/>
      <c r="AF31" s="378"/>
      <c r="AG31" s="52"/>
      <c r="AH31" s="27"/>
      <c r="AI31" s="28" t="s">
        <v>258</v>
      </c>
      <c r="AJ31" s="485" t="e">
        <f>100/#REF!*AJ30/100</f>
        <v>#REF!</v>
      </c>
      <c r="AK31" s="485"/>
      <c r="AL31" s="485" t="e">
        <f>100/#REF!*AL30/100</f>
        <v>#REF!</v>
      </c>
      <c r="AM31" s="485"/>
      <c r="AN31" s="485" t="e">
        <f>100/#REF!*AN30/100</f>
        <v>#REF!</v>
      </c>
      <c r="AO31" s="485"/>
      <c r="AP31" s="485" t="e">
        <f>100/#REF!*AP30/100</f>
        <v>#REF!</v>
      </c>
      <c r="AQ31" s="485"/>
      <c r="AR31" s="485" t="e">
        <f>100/#REF!*AR30/100</f>
        <v>#REF!</v>
      </c>
      <c r="AS31" s="485"/>
      <c r="AT31" s="485" t="e">
        <f>100/#REF!*AT30/100</f>
        <v>#REF!</v>
      </c>
      <c r="AU31" s="485"/>
      <c r="AV31" s="485" t="e">
        <f>100/#REF!*AV30/100</f>
        <v>#REF!</v>
      </c>
      <c r="AW31" s="485"/>
      <c r="AX31" s="31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</row>
    <row r="32" spans="1:172" s="23" customFormat="1" ht="14.25" customHeight="1" thickBot="1" x14ac:dyDescent="0.25">
      <c r="A32" s="399"/>
      <c r="B32" s="318" t="s">
        <v>263</v>
      </c>
      <c r="C32" s="319"/>
      <c r="D32" s="319" t="s">
        <v>264</v>
      </c>
      <c r="E32" s="319"/>
      <c r="F32" s="319"/>
      <c r="G32" s="319"/>
      <c r="H32" s="319"/>
      <c r="I32" s="319"/>
      <c r="J32" s="319"/>
      <c r="K32" s="320"/>
      <c r="L32" s="321"/>
      <c r="M32" s="322"/>
      <c r="N32" s="322"/>
      <c r="O32" s="322"/>
      <c r="P32" s="322"/>
      <c r="Q32" s="322"/>
      <c r="R32" s="319"/>
      <c r="S32" s="322"/>
      <c r="T32" s="322"/>
      <c r="U32" s="323"/>
      <c r="V32" s="374" t="s">
        <v>42</v>
      </c>
      <c r="W32" s="375" t="s">
        <v>435</v>
      </c>
      <c r="X32" s="376"/>
      <c r="Y32" s="376"/>
      <c r="Z32" s="376"/>
      <c r="AA32" s="376"/>
      <c r="AB32" s="376"/>
      <c r="AC32" s="376"/>
      <c r="AD32" s="376"/>
      <c r="AE32" s="377"/>
      <c r="AF32" s="52"/>
      <c r="AG32" s="75"/>
      <c r="AH32" s="27"/>
      <c r="AI32" s="28" t="s">
        <v>273</v>
      </c>
      <c r="AJ32" s="70" t="e">
        <f>SUM(AJ31:AW31)</f>
        <v>#REF!</v>
      </c>
      <c r="AK32" s="76" t="e">
        <f>AJ32/7</f>
        <v>#REF!</v>
      </c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31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</row>
    <row r="33" spans="1:152" s="23" customFormat="1" ht="14.25" customHeight="1" x14ac:dyDescent="0.2">
      <c r="A33" s="400"/>
      <c r="B33" s="401"/>
      <c r="C33" s="401"/>
      <c r="D33" s="401"/>
      <c r="E33" s="401"/>
      <c r="F33" s="401"/>
      <c r="G33" s="401"/>
      <c r="H33" s="401"/>
      <c r="I33" s="401"/>
      <c r="J33" s="401"/>
      <c r="K33" s="401"/>
      <c r="L33" s="402"/>
      <c r="M33" s="403"/>
      <c r="N33" s="403"/>
      <c r="O33" s="403"/>
      <c r="P33" s="403"/>
      <c r="Q33" s="403"/>
      <c r="R33" s="401"/>
      <c r="S33" s="403"/>
      <c r="T33" s="403"/>
      <c r="U33" s="404"/>
      <c r="V33" s="402"/>
      <c r="W33" s="403"/>
      <c r="X33" s="403"/>
      <c r="Y33" s="403"/>
      <c r="Z33" s="403"/>
      <c r="AA33" s="398"/>
      <c r="AB33" s="403"/>
      <c r="AC33" s="403"/>
      <c r="AD33" s="403"/>
      <c r="AE33" s="404"/>
      <c r="AF33" s="75"/>
      <c r="AG33" s="75"/>
      <c r="AH33" s="24"/>
      <c r="AI33" s="24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25"/>
      <c r="AX33" s="26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</row>
    <row r="34" spans="1:152" s="23" customFormat="1" ht="14.25" customHeight="1" x14ac:dyDescent="0.2">
      <c r="A34" s="20"/>
      <c r="B34" s="21"/>
      <c r="C34" s="22"/>
      <c r="D34" s="22"/>
      <c r="E34" s="22"/>
      <c r="G34" s="22"/>
      <c r="H34" s="22"/>
      <c r="I34" s="22"/>
      <c r="J34" s="22"/>
      <c r="L34" s="22"/>
      <c r="M34" s="22"/>
      <c r="N34" s="22"/>
      <c r="P34" s="22"/>
      <c r="Q34" s="22"/>
      <c r="R34" s="22"/>
      <c r="S34" s="22"/>
      <c r="U34" s="22"/>
      <c r="V34" s="22"/>
      <c r="W34" s="22"/>
      <c r="Y34" s="22"/>
      <c r="Z34" s="22"/>
      <c r="AA34" s="22"/>
      <c r="AB34" s="22"/>
      <c r="AD34" s="22"/>
      <c r="AE34" s="22"/>
      <c r="AF34" s="22"/>
      <c r="AG34" s="22"/>
      <c r="AH34" s="24"/>
      <c r="AI34" s="24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6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</row>
    <row r="35" spans="1:152" s="23" customFormat="1" ht="14.25" customHeight="1" x14ac:dyDescent="0.2">
      <c r="A35" s="20"/>
      <c r="B35" s="21"/>
      <c r="C35" s="22"/>
      <c r="D35" s="22"/>
      <c r="E35" s="22"/>
      <c r="G35" s="22"/>
      <c r="H35" s="22"/>
      <c r="I35" s="22"/>
      <c r="J35" s="22"/>
      <c r="L35" s="22"/>
      <c r="M35" s="22"/>
      <c r="N35" s="22"/>
      <c r="P35" s="22"/>
      <c r="Q35" s="22"/>
      <c r="R35" s="22"/>
      <c r="S35" s="22"/>
      <c r="U35" s="22"/>
      <c r="V35" s="22"/>
      <c r="W35" s="22"/>
      <c r="Y35" s="22"/>
      <c r="Z35" s="22"/>
      <c r="AA35" s="22"/>
      <c r="AB35" s="22"/>
      <c r="AD35" s="22"/>
      <c r="AE35" s="22"/>
      <c r="AF35" s="22"/>
      <c r="AG35" s="22"/>
      <c r="AH35" s="24"/>
      <c r="AI35" s="24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6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</row>
    <row r="36" spans="1:152" s="23" customFormat="1" ht="14.25" customHeight="1" x14ac:dyDescent="0.2">
      <c r="A36" s="20"/>
      <c r="B36" s="21"/>
      <c r="C36" s="22"/>
      <c r="D36" s="22"/>
      <c r="E36" s="22"/>
      <c r="G36" s="22"/>
      <c r="H36" s="22"/>
      <c r="I36" s="22"/>
      <c r="J36" s="22"/>
      <c r="L36" s="22"/>
      <c r="M36" s="22"/>
      <c r="N36" s="22"/>
      <c r="P36" s="22"/>
      <c r="Q36" s="22"/>
      <c r="R36" s="22"/>
      <c r="S36" s="22"/>
      <c r="U36" s="22"/>
      <c r="V36" s="22"/>
      <c r="W36" s="22"/>
      <c r="Y36" s="22"/>
      <c r="Z36" s="22"/>
      <c r="AA36" s="22"/>
      <c r="AB36" s="22"/>
      <c r="AD36" s="22"/>
      <c r="AE36" s="22"/>
      <c r="AF36" s="22"/>
      <c r="AG36" s="22"/>
      <c r="AH36" s="24"/>
      <c r="AI36" s="24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6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</row>
    <row r="37" spans="1:152" s="23" customFormat="1" ht="14.25" customHeight="1" x14ac:dyDescent="0.2">
      <c r="A37" s="20"/>
      <c r="B37" s="21"/>
      <c r="C37" s="22"/>
      <c r="D37" s="22"/>
      <c r="E37" s="22"/>
      <c r="G37" s="22"/>
      <c r="H37" s="22"/>
      <c r="I37" s="22"/>
      <c r="J37" s="22"/>
      <c r="L37" s="22"/>
      <c r="M37" s="22"/>
      <c r="N37" s="22"/>
      <c r="P37" s="22"/>
      <c r="Q37" s="22"/>
      <c r="R37" s="22"/>
      <c r="S37" s="22"/>
      <c r="U37" s="22"/>
      <c r="V37" s="22"/>
      <c r="W37" s="22"/>
      <c r="Y37" s="22"/>
      <c r="Z37" s="22"/>
      <c r="AA37" s="22"/>
      <c r="AB37" s="22"/>
      <c r="AD37" s="22"/>
      <c r="AE37" s="22"/>
      <c r="AF37" s="22"/>
      <c r="AG37" s="22"/>
      <c r="AH37" s="24"/>
      <c r="AI37" s="24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6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</row>
    <row r="38" spans="1:152" s="23" customFormat="1" ht="14.25" customHeight="1" x14ac:dyDescent="0.2">
      <c r="A38" s="20"/>
      <c r="B38" s="21"/>
      <c r="C38" s="22"/>
      <c r="D38" s="22"/>
      <c r="E38" s="22"/>
      <c r="G38" s="22"/>
      <c r="H38" s="22"/>
      <c r="I38" s="22"/>
      <c r="J38" s="22"/>
      <c r="L38" s="22"/>
      <c r="M38" s="22"/>
      <c r="N38" s="22"/>
      <c r="P38" s="22"/>
      <c r="Q38" s="22"/>
      <c r="R38" s="22"/>
      <c r="S38" s="22"/>
      <c r="U38" s="22"/>
      <c r="V38" s="22"/>
      <c r="W38" s="22"/>
      <c r="Y38" s="22"/>
      <c r="Z38" s="22"/>
      <c r="AA38" s="22"/>
      <c r="AB38" s="22"/>
      <c r="AD38" s="22"/>
      <c r="AE38" s="22"/>
      <c r="AF38" s="22"/>
      <c r="AG38" s="22"/>
      <c r="AH38" s="24"/>
      <c r="AI38" s="24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6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</row>
    <row r="39" spans="1:152" s="23" customFormat="1" ht="14.25" customHeight="1" x14ac:dyDescent="0.2">
      <c r="A39" s="20"/>
      <c r="B39" s="21"/>
      <c r="C39" s="22"/>
      <c r="D39" s="22"/>
      <c r="E39" s="22"/>
      <c r="G39" s="22"/>
      <c r="H39" s="22"/>
      <c r="I39" s="22"/>
      <c r="J39" s="22"/>
      <c r="L39" s="22"/>
      <c r="M39" s="22"/>
      <c r="N39" s="22"/>
      <c r="P39" s="22"/>
      <c r="Q39" s="22"/>
      <c r="R39" s="22"/>
      <c r="S39" s="22"/>
      <c r="U39" s="22"/>
      <c r="V39" s="22"/>
      <c r="W39" s="22"/>
      <c r="Y39" s="22"/>
      <c r="Z39" s="22"/>
      <c r="AA39" s="22"/>
      <c r="AB39" s="22"/>
      <c r="AD39" s="22"/>
      <c r="AE39" s="22"/>
      <c r="AF39" s="22"/>
      <c r="AG39" s="22"/>
      <c r="AH39" s="24"/>
      <c r="AI39" s="24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6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</row>
    <row r="40" spans="1:152" s="23" customFormat="1" ht="14.25" customHeight="1" x14ac:dyDescent="0.2">
      <c r="A40" s="20"/>
      <c r="B40" s="21"/>
      <c r="C40" s="22"/>
      <c r="D40" s="22"/>
      <c r="E40" s="22"/>
      <c r="G40" s="22"/>
      <c r="H40" s="22"/>
      <c r="I40" s="22"/>
      <c r="J40" s="22"/>
      <c r="L40" s="22"/>
      <c r="M40" s="22"/>
      <c r="N40" s="22"/>
      <c r="P40" s="22"/>
      <c r="Q40" s="22"/>
      <c r="R40" s="22"/>
      <c r="S40" s="22"/>
      <c r="U40" s="22"/>
      <c r="V40" s="22"/>
      <c r="W40" s="22"/>
      <c r="Y40" s="22"/>
      <c r="Z40" s="22"/>
      <c r="AA40" s="22"/>
      <c r="AB40" s="22"/>
      <c r="AD40" s="22"/>
      <c r="AE40" s="22"/>
      <c r="AF40" s="22"/>
      <c r="AG40" s="22"/>
      <c r="AH40" s="24"/>
      <c r="AI40" s="24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6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</row>
    <row r="41" spans="1:152" s="23" customFormat="1" ht="14.25" customHeight="1" x14ac:dyDescent="0.2">
      <c r="A41" s="20"/>
      <c r="B41" s="21"/>
      <c r="C41" s="22"/>
      <c r="D41" s="22"/>
      <c r="E41" s="22"/>
      <c r="G41" s="22"/>
      <c r="H41" s="22"/>
      <c r="I41" s="22"/>
      <c r="J41" s="22"/>
      <c r="L41" s="22"/>
      <c r="M41" s="22"/>
      <c r="N41" s="22"/>
      <c r="P41" s="22"/>
      <c r="Q41" s="22"/>
      <c r="R41" s="22"/>
      <c r="S41" s="22"/>
      <c r="U41" s="22"/>
      <c r="V41" s="22"/>
      <c r="W41" s="22"/>
      <c r="Y41" s="22"/>
      <c r="Z41" s="22"/>
      <c r="AA41" s="22"/>
      <c r="AB41" s="22"/>
      <c r="AD41" s="22"/>
      <c r="AE41" s="22"/>
      <c r="AF41" s="22"/>
      <c r="AG41" s="22"/>
      <c r="AH41" s="24"/>
      <c r="AI41" s="24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6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</row>
    <row r="42" spans="1:152" s="23" customFormat="1" ht="14.25" customHeight="1" x14ac:dyDescent="0.2">
      <c r="A42" s="20"/>
      <c r="B42" s="21"/>
      <c r="C42" s="22"/>
      <c r="D42" s="22"/>
      <c r="E42" s="22"/>
      <c r="G42" s="22"/>
      <c r="H42" s="22"/>
      <c r="I42" s="22"/>
      <c r="J42" s="22"/>
      <c r="L42" s="22"/>
      <c r="M42" s="22"/>
      <c r="N42" s="22"/>
      <c r="P42" s="22"/>
      <c r="Q42" s="22"/>
      <c r="R42" s="22"/>
      <c r="S42" s="22"/>
      <c r="U42" s="22"/>
      <c r="V42" s="22"/>
      <c r="W42" s="22"/>
      <c r="Y42" s="22"/>
      <c r="Z42" s="22"/>
      <c r="AA42" s="22"/>
      <c r="AB42" s="22"/>
      <c r="AD42" s="22"/>
      <c r="AE42" s="22"/>
      <c r="AF42" s="22"/>
      <c r="AG42" s="22"/>
      <c r="AH42" s="24"/>
      <c r="AI42" s="24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6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</row>
    <row r="43" spans="1:152" s="23" customFormat="1" ht="14.25" customHeight="1" x14ac:dyDescent="0.2">
      <c r="A43" s="20"/>
      <c r="B43" s="21"/>
      <c r="C43" s="22"/>
      <c r="D43" s="22"/>
      <c r="E43" s="22"/>
      <c r="G43" s="22"/>
      <c r="H43" s="22"/>
      <c r="I43" s="22"/>
      <c r="J43" s="22"/>
      <c r="L43" s="22"/>
      <c r="M43" s="22"/>
      <c r="N43" s="22"/>
      <c r="P43" s="22"/>
      <c r="Q43" s="22"/>
      <c r="R43" s="22"/>
      <c r="S43" s="22"/>
      <c r="U43" s="22"/>
      <c r="V43" s="22"/>
      <c r="W43" s="22"/>
      <c r="Y43" s="22"/>
      <c r="Z43" s="22"/>
      <c r="AA43" s="22"/>
      <c r="AB43" s="22"/>
      <c r="AD43" s="22"/>
      <c r="AE43" s="22"/>
      <c r="AF43" s="22"/>
      <c r="AG43" s="22"/>
      <c r="AH43" s="24"/>
      <c r="AI43" s="24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6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</row>
    <row r="44" spans="1:152" s="23" customFormat="1" ht="14.25" customHeight="1" x14ac:dyDescent="0.2">
      <c r="A44" s="20"/>
      <c r="B44" s="21"/>
      <c r="C44" s="22"/>
      <c r="D44" s="22"/>
      <c r="E44" s="22"/>
      <c r="G44" s="22"/>
      <c r="H44" s="22"/>
      <c r="I44" s="22"/>
      <c r="J44" s="22"/>
      <c r="L44" s="22"/>
      <c r="M44" s="22"/>
      <c r="N44" s="22"/>
      <c r="P44" s="22"/>
      <c r="Q44" s="22"/>
      <c r="R44" s="22"/>
      <c r="S44" s="22"/>
      <c r="U44" s="22"/>
      <c r="V44" s="22"/>
      <c r="W44" s="22"/>
      <c r="Y44" s="22"/>
      <c r="Z44" s="22"/>
      <c r="AA44" s="22"/>
      <c r="AB44" s="22"/>
      <c r="AD44" s="22"/>
      <c r="AE44" s="22"/>
      <c r="AF44" s="22"/>
      <c r="AG44" s="22"/>
      <c r="AH44" s="24"/>
      <c r="AI44" s="24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6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</row>
    <row r="45" spans="1:152" s="23" customFormat="1" ht="14.25" customHeight="1" x14ac:dyDescent="0.2">
      <c r="A45" s="20"/>
      <c r="B45" s="21"/>
      <c r="C45" s="22"/>
      <c r="D45" s="22"/>
      <c r="E45" s="22"/>
      <c r="G45" s="22"/>
      <c r="H45" s="22"/>
      <c r="I45" s="22"/>
      <c r="J45" s="22"/>
      <c r="L45" s="22"/>
      <c r="M45" s="22"/>
      <c r="N45" s="22"/>
      <c r="P45" s="22"/>
      <c r="Q45" s="22"/>
      <c r="R45" s="22"/>
      <c r="S45" s="22"/>
      <c r="U45" s="22"/>
      <c r="V45" s="22"/>
      <c r="W45" s="22"/>
      <c r="Y45" s="22"/>
      <c r="Z45" s="22"/>
      <c r="AA45" s="22"/>
      <c r="AB45" s="22"/>
      <c r="AD45" s="22"/>
      <c r="AE45" s="22"/>
      <c r="AF45" s="22"/>
      <c r="AG45" s="22"/>
      <c r="AH45" s="24"/>
      <c r="AI45" s="24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6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</row>
    <row r="46" spans="1:152" s="23" customFormat="1" ht="14.25" customHeight="1" x14ac:dyDescent="0.2">
      <c r="A46" s="20"/>
      <c r="B46" s="21"/>
      <c r="C46" s="22"/>
      <c r="D46" s="22"/>
      <c r="E46" s="22"/>
      <c r="G46" s="22"/>
      <c r="H46" s="22"/>
      <c r="I46" s="22"/>
      <c r="J46" s="22"/>
      <c r="L46" s="22"/>
      <c r="M46" s="22"/>
      <c r="N46" s="22"/>
      <c r="P46" s="22"/>
      <c r="Q46" s="22"/>
      <c r="R46" s="22"/>
      <c r="S46" s="22"/>
      <c r="U46" s="22"/>
      <c r="V46" s="22"/>
      <c r="W46" s="22"/>
      <c r="Y46" s="22"/>
      <c r="Z46" s="22"/>
      <c r="AA46" s="22"/>
      <c r="AB46" s="22"/>
      <c r="AD46" s="22"/>
      <c r="AE46" s="22"/>
      <c r="AF46" s="22"/>
      <c r="AG46" s="22"/>
      <c r="AH46" s="24"/>
      <c r="AI46" s="24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6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</row>
    <row r="47" spans="1:152" s="23" customFormat="1" ht="14.25" customHeight="1" x14ac:dyDescent="0.2">
      <c r="A47" s="20"/>
      <c r="B47" s="21"/>
      <c r="C47" s="22"/>
      <c r="D47" s="22"/>
      <c r="E47" s="22"/>
      <c r="G47" s="22"/>
      <c r="H47" s="22"/>
      <c r="I47" s="22"/>
      <c r="J47" s="22"/>
      <c r="L47" s="22"/>
      <c r="M47" s="22"/>
      <c r="N47" s="22"/>
      <c r="P47" s="22"/>
      <c r="Q47" s="22"/>
      <c r="R47" s="22"/>
      <c r="S47" s="22"/>
      <c r="U47" s="22"/>
      <c r="V47" s="22"/>
      <c r="W47" s="22"/>
      <c r="Y47" s="22"/>
      <c r="Z47" s="22"/>
      <c r="AA47" s="22"/>
      <c r="AB47" s="22"/>
      <c r="AD47" s="22"/>
      <c r="AE47" s="22"/>
      <c r="AF47" s="22"/>
      <c r="AG47" s="22"/>
      <c r="AH47" s="24"/>
      <c r="AI47" s="24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6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</row>
    <row r="48" spans="1:152" s="23" customFormat="1" ht="14.25" customHeight="1" x14ac:dyDescent="0.2">
      <c r="A48" s="20"/>
      <c r="B48" s="21"/>
      <c r="C48" s="22"/>
      <c r="D48" s="22"/>
      <c r="E48" s="22"/>
      <c r="G48" s="22"/>
      <c r="H48" s="22"/>
      <c r="I48" s="22"/>
      <c r="J48" s="22"/>
      <c r="L48" s="22"/>
      <c r="M48" s="22"/>
      <c r="N48" s="22"/>
      <c r="P48" s="22"/>
      <c r="Q48" s="22"/>
      <c r="R48" s="22"/>
      <c r="S48" s="22"/>
      <c r="U48" s="22"/>
      <c r="V48" s="22"/>
      <c r="W48" s="22"/>
      <c r="Y48" s="22"/>
      <c r="Z48" s="22"/>
      <c r="AA48" s="22"/>
      <c r="AB48" s="22"/>
      <c r="AD48" s="22"/>
      <c r="AE48" s="22"/>
      <c r="AF48" s="22"/>
      <c r="AG48" s="22"/>
      <c r="AH48" s="24"/>
      <c r="AI48" s="24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6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</row>
    <row r="49" spans="1:152" s="23" customFormat="1" ht="14.25" customHeight="1" x14ac:dyDescent="0.2">
      <c r="A49" s="20"/>
      <c r="B49" s="21"/>
      <c r="C49" s="22"/>
      <c r="D49" s="22"/>
      <c r="E49" s="22"/>
      <c r="G49" s="22"/>
      <c r="H49" s="22"/>
      <c r="I49" s="22"/>
      <c r="J49" s="22"/>
      <c r="L49" s="22"/>
      <c r="M49" s="22"/>
      <c r="N49" s="22"/>
      <c r="P49" s="22"/>
      <c r="Q49" s="22"/>
      <c r="R49" s="22"/>
      <c r="S49" s="22"/>
      <c r="U49" s="22"/>
      <c r="V49" s="22"/>
      <c r="W49" s="22"/>
      <c r="Y49" s="22"/>
      <c r="Z49" s="22"/>
      <c r="AA49" s="22"/>
      <c r="AB49" s="22"/>
      <c r="AD49" s="22"/>
      <c r="AE49" s="22"/>
      <c r="AF49" s="22"/>
      <c r="AG49" s="22"/>
      <c r="AH49" s="24"/>
      <c r="AI49" s="24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6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</row>
    <row r="50" spans="1:152" s="23" customFormat="1" ht="14.25" customHeight="1" x14ac:dyDescent="0.2">
      <c r="A50" s="20"/>
      <c r="B50" s="21"/>
      <c r="C50" s="22"/>
      <c r="D50" s="22"/>
      <c r="E50" s="22"/>
      <c r="G50" s="22"/>
      <c r="H50" s="22"/>
      <c r="I50" s="22"/>
      <c r="J50" s="22"/>
      <c r="L50" s="22"/>
      <c r="M50" s="22"/>
      <c r="N50" s="22"/>
      <c r="P50" s="22"/>
      <c r="Q50" s="22"/>
      <c r="R50" s="22"/>
      <c r="S50" s="22"/>
      <c r="U50" s="22"/>
      <c r="V50" s="22"/>
      <c r="W50" s="22"/>
      <c r="Y50" s="22"/>
      <c r="Z50" s="22"/>
      <c r="AA50" s="22"/>
      <c r="AB50" s="22"/>
      <c r="AD50" s="22"/>
      <c r="AE50" s="22"/>
      <c r="AF50" s="22"/>
      <c r="AG50" s="22"/>
      <c r="AH50" s="24"/>
      <c r="AI50" s="24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6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</row>
    <row r="51" spans="1:152" s="23" customFormat="1" ht="14.25" customHeight="1" x14ac:dyDescent="0.2">
      <c r="A51" s="20"/>
      <c r="B51" s="21"/>
      <c r="C51" s="22"/>
      <c r="D51" s="22"/>
      <c r="E51" s="22"/>
      <c r="G51" s="22"/>
      <c r="H51" s="22"/>
      <c r="I51" s="22"/>
      <c r="J51" s="22"/>
      <c r="L51" s="22"/>
      <c r="M51" s="22"/>
      <c r="N51" s="22"/>
      <c r="P51" s="22"/>
      <c r="Q51" s="22"/>
      <c r="R51" s="22"/>
      <c r="S51" s="22"/>
      <c r="U51" s="22"/>
      <c r="V51" s="22"/>
      <c r="W51" s="22"/>
      <c r="Y51" s="22"/>
      <c r="Z51" s="22"/>
      <c r="AA51" s="22"/>
      <c r="AB51" s="22"/>
      <c r="AD51" s="22"/>
      <c r="AE51" s="22"/>
      <c r="AF51" s="22"/>
      <c r="AG51" s="22"/>
      <c r="AH51" s="24"/>
      <c r="AI51" s="24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6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</row>
    <row r="52" spans="1:152" s="23" customFormat="1" ht="14.25" customHeight="1" x14ac:dyDescent="0.2">
      <c r="A52" s="20"/>
      <c r="B52" s="21"/>
      <c r="C52" s="22"/>
      <c r="D52" s="22"/>
      <c r="E52" s="22"/>
      <c r="G52" s="22"/>
      <c r="H52" s="22"/>
      <c r="I52" s="22"/>
      <c r="J52" s="22"/>
      <c r="L52" s="22"/>
      <c r="M52" s="22"/>
      <c r="N52" s="22"/>
      <c r="P52" s="22"/>
      <c r="Q52" s="22"/>
      <c r="R52" s="22"/>
      <c r="S52" s="22"/>
      <c r="U52" s="22"/>
      <c r="V52" s="22"/>
      <c r="W52" s="22"/>
      <c r="Y52" s="22"/>
      <c r="Z52" s="22"/>
      <c r="AA52" s="22"/>
      <c r="AB52" s="22"/>
      <c r="AD52" s="22"/>
      <c r="AE52" s="22"/>
      <c r="AF52" s="22"/>
      <c r="AG52" s="22"/>
      <c r="AH52" s="24"/>
      <c r="AI52" s="24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6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</row>
    <row r="53" spans="1:152" s="23" customFormat="1" ht="14.25" customHeight="1" x14ac:dyDescent="0.2">
      <c r="A53" s="20"/>
      <c r="B53" s="21"/>
      <c r="C53" s="22"/>
      <c r="D53" s="22"/>
      <c r="E53" s="22"/>
      <c r="G53" s="22"/>
      <c r="H53" s="22"/>
      <c r="I53" s="22"/>
      <c r="J53" s="22"/>
      <c r="L53" s="22"/>
      <c r="M53" s="22"/>
      <c r="N53" s="22"/>
      <c r="P53" s="22"/>
      <c r="Q53" s="22"/>
      <c r="R53" s="22"/>
      <c r="S53" s="22"/>
      <c r="U53" s="22"/>
      <c r="V53" s="22"/>
      <c r="W53" s="22"/>
      <c r="Y53" s="22"/>
      <c r="Z53" s="22"/>
      <c r="AA53" s="22"/>
      <c r="AB53" s="22"/>
      <c r="AD53" s="22"/>
      <c r="AE53" s="22"/>
      <c r="AF53" s="22"/>
      <c r="AG53" s="22"/>
      <c r="AH53" s="24"/>
      <c r="AI53" s="24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6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</row>
    <row r="54" spans="1:152" s="23" customFormat="1" ht="14.25" customHeight="1" x14ac:dyDescent="0.2">
      <c r="A54" s="20"/>
      <c r="B54" s="21"/>
      <c r="C54" s="22"/>
      <c r="D54" s="22"/>
      <c r="E54" s="22"/>
      <c r="G54" s="22"/>
      <c r="H54" s="22"/>
      <c r="I54" s="22"/>
      <c r="J54" s="22"/>
      <c r="L54" s="22"/>
      <c r="M54" s="22"/>
      <c r="N54" s="22"/>
      <c r="P54" s="22"/>
      <c r="Q54" s="22"/>
      <c r="R54" s="22"/>
      <c r="S54" s="22"/>
      <c r="U54" s="22"/>
      <c r="V54" s="22"/>
      <c r="W54" s="22"/>
      <c r="Y54" s="22"/>
      <c r="Z54" s="22"/>
      <c r="AA54" s="22"/>
      <c r="AB54" s="22"/>
      <c r="AD54" s="22"/>
      <c r="AE54" s="22"/>
      <c r="AF54" s="22"/>
      <c r="AG54" s="22"/>
      <c r="AH54" s="24"/>
      <c r="AI54" s="24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6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</row>
    <row r="55" spans="1:152" s="23" customFormat="1" ht="14.25" customHeight="1" x14ac:dyDescent="0.2">
      <c r="A55" s="20"/>
      <c r="B55" s="21"/>
      <c r="C55" s="22"/>
      <c r="D55" s="22"/>
      <c r="E55" s="22"/>
      <c r="G55" s="22"/>
      <c r="H55" s="22"/>
      <c r="I55" s="22"/>
      <c r="J55" s="22"/>
      <c r="L55" s="22"/>
      <c r="M55" s="22"/>
      <c r="N55" s="22"/>
      <c r="P55" s="22"/>
      <c r="Q55" s="22"/>
      <c r="R55" s="22"/>
      <c r="S55" s="22"/>
      <c r="U55" s="22"/>
      <c r="V55" s="22"/>
      <c r="W55" s="22"/>
      <c r="Y55" s="22"/>
      <c r="Z55" s="22"/>
      <c r="AA55" s="22"/>
      <c r="AB55" s="22"/>
      <c r="AD55" s="22"/>
      <c r="AE55" s="22"/>
      <c r="AF55" s="22"/>
      <c r="AG55" s="22"/>
      <c r="AH55" s="24"/>
      <c r="AI55" s="24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6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</row>
    <row r="56" spans="1:152" s="23" customFormat="1" ht="14.25" customHeight="1" x14ac:dyDescent="0.2">
      <c r="A56" s="20"/>
      <c r="B56" s="21"/>
      <c r="C56" s="22"/>
      <c r="D56" s="22"/>
      <c r="E56" s="22"/>
      <c r="G56" s="22"/>
      <c r="H56" s="22"/>
      <c r="I56" s="22"/>
      <c r="J56" s="22"/>
      <c r="L56" s="22"/>
      <c r="M56" s="22"/>
      <c r="N56" s="22"/>
      <c r="P56" s="22"/>
      <c r="Q56" s="22"/>
      <c r="R56" s="22"/>
      <c r="S56" s="22"/>
      <c r="U56" s="22"/>
      <c r="V56" s="22"/>
      <c r="W56" s="22"/>
      <c r="Y56" s="22"/>
      <c r="Z56" s="22"/>
      <c r="AA56" s="22"/>
      <c r="AB56" s="22"/>
      <c r="AD56" s="22"/>
      <c r="AE56" s="22"/>
      <c r="AF56" s="22"/>
      <c r="AG56" s="22"/>
      <c r="AH56" s="24"/>
      <c r="AI56" s="24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6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</row>
    <row r="57" spans="1:152" s="23" customFormat="1" ht="14.25" customHeight="1" x14ac:dyDescent="0.2">
      <c r="A57" s="20"/>
      <c r="B57" s="21"/>
      <c r="C57" s="22"/>
      <c r="D57" s="22"/>
      <c r="E57" s="22"/>
      <c r="G57" s="22"/>
      <c r="H57" s="22"/>
      <c r="I57" s="22"/>
      <c r="J57" s="22"/>
      <c r="L57" s="22"/>
      <c r="M57" s="22"/>
      <c r="N57" s="22"/>
      <c r="P57" s="22"/>
      <c r="Q57" s="22"/>
      <c r="R57" s="22"/>
      <c r="S57" s="22"/>
      <c r="U57" s="22"/>
      <c r="V57" s="22"/>
      <c r="W57" s="22"/>
      <c r="Y57" s="22"/>
      <c r="Z57" s="22"/>
      <c r="AA57" s="22"/>
      <c r="AB57" s="22"/>
      <c r="AD57" s="22"/>
      <c r="AE57" s="22"/>
      <c r="AF57" s="22"/>
      <c r="AG57" s="22"/>
      <c r="AH57" s="24"/>
      <c r="AI57" s="24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6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</row>
    <row r="58" spans="1:152" s="23" customFormat="1" ht="14.25" customHeight="1" x14ac:dyDescent="0.2">
      <c r="A58" s="20"/>
      <c r="B58" s="21"/>
      <c r="C58" s="22"/>
      <c r="D58" s="22"/>
      <c r="E58" s="22"/>
      <c r="G58" s="22"/>
      <c r="H58" s="22"/>
      <c r="I58" s="22"/>
      <c r="J58" s="22"/>
      <c r="L58" s="22"/>
      <c r="M58" s="22"/>
      <c r="N58" s="22"/>
      <c r="P58" s="22"/>
      <c r="Q58" s="22"/>
      <c r="R58" s="22"/>
      <c r="S58" s="22"/>
      <c r="U58" s="22"/>
      <c r="V58" s="22"/>
      <c r="W58" s="22"/>
      <c r="Y58" s="22"/>
      <c r="Z58" s="22"/>
      <c r="AA58" s="22"/>
      <c r="AB58" s="22"/>
      <c r="AD58" s="22"/>
      <c r="AE58" s="22"/>
      <c r="AF58" s="22"/>
      <c r="AG58" s="22"/>
      <c r="AH58" s="24"/>
      <c r="AI58" s="24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6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</row>
    <row r="59" spans="1:152" s="23" customFormat="1" ht="14.25" customHeight="1" x14ac:dyDescent="0.2">
      <c r="A59" s="20"/>
      <c r="B59" s="21"/>
      <c r="C59" s="22"/>
      <c r="D59" s="22"/>
      <c r="E59" s="22"/>
      <c r="G59" s="22"/>
      <c r="H59" s="22"/>
      <c r="I59" s="22"/>
      <c r="J59" s="22"/>
      <c r="L59" s="22"/>
      <c r="M59" s="22"/>
      <c r="N59" s="22"/>
      <c r="P59" s="22"/>
      <c r="Q59" s="22"/>
      <c r="R59" s="22"/>
      <c r="S59" s="22"/>
      <c r="U59" s="22"/>
      <c r="V59" s="22"/>
      <c r="W59" s="22"/>
      <c r="Y59" s="22"/>
      <c r="Z59" s="22"/>
      <c r="AA59" s="22"/>
      <c r="AB59" s="22"/>
      <c r="AD59" s="22"/>
      <c r="AE59" s="22"/>
      <c r="AF59" s="22"/>
      <c r="AG59" s="22"/>
      <c r="AH59" s="24"/>
      <c r="AI59" s="24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6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</row>
    <row r="60" spans="1:152" s="23" customFormat="1" ht="14.25" customHeight="1" x14ac:dyDescent="0.2">
      <c r="A60" s="20"/>
      <c r="B60" s="21"/>
      <c r="C60" s="22"/>
      <c r="D60" s="22"/>
      <c r="E60" s="22"/>
      <c r="G60" s="22"/>
      <c r="H60" s="22"/>
      <c r="I60" s="22"/>
      <c r="J60" s="22"/>
      <c r="L60" s="22"/>
      <c r="M60" s="22"/>
      <c r="N60" s="22"/>
      <c r="P60" s="22"/>
      <c r="Q60" s="22"/>
      <c r="R60" s="22"/>
      <c r="S60" s="22"/>
      <c r="U60" s="22"/>
      <c r="V60" s="22"/>
      <c r="W60" s="22"/>
      <c r="Y60" s="22"/>
      <c r="Z60" s="22"/>
      <c r="AA60" s="22"/>
      <c r="AB60" s="22"/>
      <c r="AD60" s="22"/>
      <c r="AE60" s="22"/>
      <c r="AF60" s="22"/>
      <c r="AG60" s="22"/>
      <c r="AH60" s="24"/>
      <c r="AI60" s="24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6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</row>
    <row r="61" spans="1:152" s="23" customFormat="1" ht="14.25" customHeight="1" x14ac:dyDescent="0.2">
      <c r="A61" s="20"/>
      <c r="B61" s="21"/>
      <c r="C61" s="22"/>
      <c r="D61" s="22"/>
      <c r="E61" s="22"/>
      <c r="G61" s="22"/>
      <c r="H61" s="22"/>
      <c r="I61" s="22"/>
      <c r="J61" s="22"/>
      <c r="L61" s="22"/>
      <c r="M61" s="22"/>
      <c r="N61" s="22"/>
      <c r="P61" s="22"/>
      <c r="Q61" s="22"/>
      <c r="R61" s="22"/>
      <c r="S61" s="22"/>
      <c r="U61" s="22"/>
      <c r="V61" s="22"/>
      <c r="W61" s="22"/>
      <c r="Y61" s="22"/>
      <c r="Z61" s="22"/>
      <c r="AA61" s="22"/>
      <c r="AB61" s="22"/>
      <c r="AD61" s="22"/>
      <c r="AE61" s="22"/>
      <c r="AF61" s="22"/>
      <c r="AG61" s="22"/>
      <c r="AH61" s="24"/>
      <c r="AI61" s="24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6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</row>
    <row r="62" spans="1:152" s="23" customFormat="1" ht="14.25" customHeight="1" x14ac:dyDescent="0.2">
      <c r="A62" s="20"/>
      <c r="B62" s="21"/>
      <c r="C62" s="22"/>
      <c r="D62" s="22"/>
      <c r="E62" s="22"/>
      <c r="G62" s="22"/>
      <c r="H62" s="22"/>
      <c r="I62" s="22"/>
      <c r="J62" s="22"/>
      <c r="L62" s="22"/>
      <c r="M62" s="22"/>
      <c r="N62" s="22"/>
      <c r="P62" s="22"/>
      <c r="Q62" s="22"/>
      <c r="R62" s="22"/>
      <c r="S62" s="22"/>
      <c r="U62" s="22"/>
      <c r="V62" s="22"/>
      <c r="W62" s="22"/>
      <c r="Y62" s="22"/>
      <c r="Z62" s="22"/>
      <c r="AA62" s="22"/>
      <c r="AB62" s="22"/>
      <c r="AD62" s="22"/>
      <c r="AE62" s="22"/>
      <c r="AF62" s="22"/>
      <c r="AG62" s="22"/>
      <c r="AH62" s="24"/>
      <c r="AI62" s="24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6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</row>
    <row r="63" spans="1:152" s="23" customFormat="1" ht="14.25" customHeight="1" x14ac:dyDescent="0.2">
      <c r="A63" s="20"/>
      <c r="B63" s="21"/>
      <c r="C63" s="22"/>
      <c r="D63" s="22"/>
      <c r="E63" s="22"/>
      <c r="G63" s="22"/>
      <c r="H63" s="22"/>
      <c r="I63" s="22"/>
      <c r="J63" s="22"/>
      <c r="L63" s="22"/>
      <c r="M63" s="22"/>
      <c r="N63" s="22"/>
      <c r="P63" s="22"/>
      <c r="Q63" s="22"/>
      <c r="R63" s="22"/>
      <c r="S63" s="22"/>
      <c r="U63" s="22"/>
      <c r="V63" s="22"/>
      <c r="W63" s="22"/>
      <c r="Y63" s="22"/>
      <c r="Z63" s="22"/>
      <c r="AA63" s="22"/>
      <c r="AB63" s="22"/>
      <c r="AD63" s="22"/>
      <c r="AE63" s="22"/>
      <c r="AF63" s="22"/>
      <c r="AG63" s="22"/>
      <c r="AH63" s="24"/>
      <c r="AI63" s="24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6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</row>
    <row r="64" spans="1:152" s="23" customFormat="1" ht="14.25" customHeight="1" x14ac:dyDescent="0.2">
      <c r="A64" s="20"/>
      <c r="B64" s="21"/>
      <c r="C64" s="22"/>
      <c r="D64" s="22"/>
      <c r="E64" s="22"/>
      <c r="G64" s="22"/>
      <c r="H64" s="22"/>
      <c r="I64" s="22"/>
      <c r="J64" s="22"/>
      <c r="L64" s="22"/>
      <c r="M64" s="22"/>
      <c r="N64" s="22"/>
      <c r="P64" s="22"/>
      <c r="Q64" s="22"/>
      <c r="R64" s="22"/>
      <c r="S64" s="22"/>
      <c r="U64" s="22"/>
      <c r="V64" s="22"/>
      <c r="W64" s="22"/>
      <c r="Y64" s="22"/>
      <c r="Z64" s="22"/>
      <c r="AA64" s="22"/>
      <c r="AB64" s="22"/>
      <c r="AD64" s="22"/>
      <c r="AE64" s="22"/>
      <c r="AF64" s="22"/>
      <c r="AG64" s="22"/>
      <c r="AH64" s="24"/>
      <c r="AI64" s="24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6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</row>
    <row r="65" spans="1:152" s="23" customFormat="1" ht="14.25" customHeight="1" x14ac:dyDescent="0.2">
      <c r="A65" s="20"/>
      <c r="B65" s="21"/>
      <c r="C65" s="22"/>
      <c r="D65" s="22"/>
      <c r="E65" s="22"/>
      <c r="G65" s="22"/>
      <c r="H65" s="22"/>
      <c r="I65" s="22"/>
      <c r="J65" s="22"/>
      <c r="L65" s="22"/>
      <c r="M65" s="22"/>
      <c r="N65" s="22"/>
      <c r="P65" s="22"/>
      <c r="Q65" s="22"/>
      <c r="R65" s="22"/>
      <c r="S65" s="22"/>
      <c r="U65" s="22"/>
      <c r="V65" s="22"/>
      <c r="W65" s="22"/>
      <c r="Y65" s="22"/>
      <c r="Z65" s="22"/>
      <c r="AA65" s="22"/>
      <c r="AB65" s="22"/>
      <c r="AD65" s="22"/>
      <c r="AE65" s="22"/>
      <c r="AF65" s="22"/>
      <c r="AG65" s="22"/>
      <c r="AH65" s="24"/>
      <c r="AI65" s="24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6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</row>
    <row r="66" spans="1:152" s="23" customFormat="1" ht="14.25" customHeight="1" x14ac:dyDescent="0.2">
      <c r="A66" s="20"/>
      <c r="B66" s="21"/>
      <c r="C66" s="22"/>
      <c r="D66" s="22"/>
      <c r="E66" s="22"/>
      <c r="G66" s="22"/>
      <c r="H66" s="22"/>
      <c r="I66" s="22"/>
      <c r="J66" s="22"/>
      <c r="L66" s="22"/>
      <c r="M66" s="22"/>
      <c r="N66" s="22"/>
      <c r="P66" s="22"/>
      <c r="Q66" s="22"/>
      <c r="R66" s="22"/>
      <c r="S66" s="22"/>
      <c r="U66" s="22"/>
      <c r="V66" s="22"/>
      <c r="W66" s="22"/>
      <c r="Y66" s="22"/>
      <c r="Z66" s="22"/>
      <c r="AA66" s="22"/>
      <c r="AB66" s="22"/>
      <c r="AD66" s="22"/>
      <c r="AE66" s="22"/>
      <c r="AF66" s="22"/>
      <c r="AG66" s="22"/>
      <c r="AH66" s="24"/>
      <c r="AI66" s="24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6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</row>
    <row r="67" spans="1:152" s="23" customFormat="1" ht="14.25" customHeight="1" x14ac:dyDescent="0.2">
      <c r="A67" s="20"/>
      <c r="B67" s="21"/>
      <c r="C67" s="22"/>
      <c r="D67" s="22"/>
      <c r="E67" s="22"/>
      <c r="G67" s="22"/>
      <c r="H67" s="22"/>
      <c r="I67" s="22"/>
      <c r="J67" s="22"/>
      <c r="L67" s="22"/>
      <c r="M67" s="22"/>
      <c r="N67" s="22"/>
      <c r="P67" s="22"/>
      <c r="Q67" s="22"/>
      <c r="R67" s="22"/>
      <c r="S67" s="22"/>
      <c r="U67" s="22"/>
      <c r="V67" s="22"/>
      <c r="W67" s="22"/>
      <c r="Y67" s="22"/>
      <c r="Z67" s="22"/>
      <c r="AA67" s="22"/>
      <c r="AB67" s="22"/>
      <c r="AD67" s="22"/>
      <c r="AE67" s="22"/>
      <c r="AF67" s="22"/>
      <c r="AG67" s="22"/>
      <c r="AH67" s="24"/>
      <c r="AI67" s="24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6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</row>
    <row r="68" spans="1:152" s="23" customFormat="1" ht="14.25" customHeight="1" x14ac:dyDescent="0.2">
      <c r="A68" s="20"/>
      <c r="B68" s="21"/>
      <c r="C68" s="22"/>
      <c r="D68" s="22"/>
      <c r="E68" s="22"/>
      <c r="G68" s="22"/>
      <c r="H68" s="22"/>
      <c r="I68" s="22"/>
      <c r="J68" s="22"/>
      <c r="L68" s="22"/>
      <c r="M68" s="22"/>
      <c r="N68" s="22"/>
      <c r="P68" s="22"/>
      <c r="Q68" s="22"/>
      <c r="R68" s="22"/>
      <c r="S68" s="22"/>
      <c r="U68" s="22"/>
      <c r="V68" s="22"/>
      <c r="W68" s="22"/>
      <c r="Y68" s="22"/>
      <c r="Z68" s="22"/>
      <c r="AA68" s="22"/>
      <c r="AB68" s="22"/>
      <c r="AD68" s="22"/>
      <c r="AE68" s="22"/>
      <c r="AF68" s="22"/>
      <c r="AG68" s="22"/>
      <c r="AH68" s="24"/>
      <c r="AI68" s="24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6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</row>
    <row r="69" spans="1:152" s="23" customFormat="1" ht="14.25" customHeight="1" x14ac:dyDescent="0.2">
      <c r="A69" s="20"/>
      <c r="B69" s="21"/>
      <c r="C69" s="22"/>
      <c r="D69" s="22"/>
      <c r="E69" s="22"/>
      <c r="G69" s="22"/>
      <c r="H69" s="22"/>
      <c r="I69" s="22"/>
      <c r="J69" s="22"/>
      <c r="L69" s="22"/>
      <c r="M69" s="22"/>
      <c r="N69" s="22"/>
      <c r="P69" s="22"/>
      <c r="Q69" s="22"/>
      <c r="R69" s="22"/>
      <c r="S69" s="22"/>
      <c r="U69" s="22"/>
      <c r="V69" s="22"/>
      <c r="W69" s="22"/>
      <c r="Y69" s="22"/>
      <c r="Z69" s="22"/>
      <c r="AA69" s="22"/>
      <c r="AB69" s="22"/>
      <c r="AD69" s="22"/>
      <c r="AE69" s="22"/>
      <c r="AF69" s="22"/>
      <c r="AG69" s="22"/>
      <c r="AH69" s="24"/>
      <c r="AI69" s="24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6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</row>
    <row r="70" spans="1:152" s="23" customFormat="1" ht="14.25" customHeight="1" x14ac:dyDescent="0.2">
      <c r="A70" s="20"/>
      <c r="B70" s="21"/>
      <c r="C70" s="22"/>
      <c r="D70" s="22"/>
      <c r="E70" s="22"/>
      <c r="G70" s="22"/>
      <c r="H70" s="22"/>
      <c r="I70" s="22"/>
      <c r="J70" s="22"/>
      <c r="L70" s="22"/>
      <c r="M70" s="22"/>
      <c r="N70" s="22"/>
      <c r="P70" s="22"/>
      <c r="Q70" s="22"/>
      <c r="R70" s="22"/>
      <c r="S70" s="22"/>
      <c r="U70" s="22"/>
      <c r="V70" s="22"/>
      <c r="W70" s="22"/>
      <c r="Y70" s="22"/>
      <c r="Z70" s="22"/>
      <c r="AA70" s="22"/>
      <c r="AB70" s="22"/>
      <c r="AD70" s="22"/>
      <c r="AE70" s="22"/>
      <c r="AF70" s="22"/>
      <c r="AG70" s="22"/>
      <c r="AH70" s="24"/>
      <c r="AI70" s="24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6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</row>
    <row r="71" spans="1:152" s="23" customFormat="1" ht="14.25" customHeight="1" x14ac:dyDescent="0.2">
      <c r="A71" s="20"/>
      <c r="B71" s="21"/>
      <c r="C71" s="22"/>
      <c r="D71" s="22"/>
      <c r="E71" s="22"/>
      <c r="G71" s="22"/>
      <c r="H71" s="22"/>
      <c r="I71" s="22"/>
      <c r="J71" s="22"/>
      <c r="L71" s="22"/>
      <c r="M71" s="22"/>
      <c r="N71" s="22"/>
      <c r="P71" s="22"/>
      <c r="Q71" s="22"/>
      <c r="R71" s="22"/>
      <c r="S71" s="22"/>
      <c r="U71" s="22"/>
      <c r="V71" s="22"/>
      <c r="W71" s="22"/>
      <c r="Y71" s="22"/>
      <c r="Z71" s="22"/>
      <c r="AA71" s="22"/>
      <c r="AB71" s="22"/>
      <c r="AD71" s="22"/>
      <c r="AE71" s="22"/>
      <c r="AF71" s="22"/>
      <c r="AG71" s="22"/>
      <c r="AH71" s="24"/>
      <c r="AI71" s="24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6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</row>
    <row r="72" spans="1:152" s="23" customFormat="1" ht="14.25" customHeight="1" x14ac:dyDescent="0.2">
      <c r="A72" s="20"/>
      <c r="B72" s="21"/>
      <c r="C72" s="22"/>
      <c r="D72" s="22"/>
      <c r="E72" s="22"/>
      <c r="G72" s="22"/>
      <c r="H72" s="22"/>
      <c r="I72" s="22"/>
      <c r="J72" s="22"/>
      <c r="L72" s="22"/>
      <c r="M72" s="22"/>
      <c r="N72" s="22"/>
      <c r="P72" s="22"/>
      <c r="Q72" s="22"/>
      <c r="R72" s="22"/>
      <c r="S72" s="22"/>
      <c r="U72" s="22"/>
      <c r="V72" s="22"/>
      <c r="W72" s="22"/>
      <c r="Y72" s="22"/>
      <c r="Z72" s="22"/>
      <c r="AA72" s="22"/>
      <c r="AB72" s="22"/>
      <c r="AD72" s="22"/>
      <c r="AE72" s="22"/>
      <c r="AF72" s="22"/>
      <c r="AG72" s="22"/>
      <c r="AH72" s="24"/>
      <c r="AI72" s="24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6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</row>
    <row r="73" spans="1:152" s="23" customFormat="1" ht="14.25" customHeight="1" x14ac:dyDescent="0.2">
      <c r="A73" s="20"/>
      <c r="B73" s="21"/>
      <c r="C73" s="22"/>
      <c r="D73" s="22"/>
      <c r="E73" s="22"/>
      <c r="G73" s="22"/>
      <c r="H73" s="22"/>
      <c r="I73" s="22"/>
      <c r="J73" s="22"/>
      <c r="L73" s="22"/>
      <c r="M73" s="22"/>
      <c r="N73" s="22"/>
      <c r="P73" s="22"/>
      <c r="Q73" s="22"/>
      <c r="R73" s="22"/>
      <c r="S73" s="22"/>
      <c r="U73" s="22"/>
      <c r="V73" s="22"/>
      <c r="W73" s="22"/>
      <c r="Y73" s="22"/>
      <c r="Z73" s="22"/>
      <c r="AA73" s="22"/>
      <c r="AB73" s="22"/>
      <c r="AD73" s="22"/>
      <c r="AE73" s="22"/>
      <c r="AF73" s="22"/>
      <c r="AG73" s="22"/>
      <c r="AH73" s="24"/>
      <c r="AI73" s="24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6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</row>
    <row r="74" spans="1:152" s="23" customFormat="1" ht="14.25" customHeight="1" x14ac:dyDescent="0.2">
      <c r="A74" s="20"/>
      <c r="B74" s="21"/>
      <c r="C74" s="22"/>
      <c r="D74" s="22"/>
      <c r="E74" s="22"/>
      <c r="G74" s="22"/>
      <c r="H74" s="22"/>
      <c r="I74" s="22"/>
      <c r="J74" s="22"/>
      <c r="L74" s="22"/>
      <c r="M74" s="22"/>
      <c r="N74" s="22"/>
      <c r="P74" s="22"/>
      <c r="Q74" s="22"/>
      <c r="R74" s="22"/>
      <c r="S74" s="22"/>
      <c r="U74" s="22"/>
      <c r="V74" s="22"/>
      <c r="W74" s="22"/>
      <c r="Y74" s="22"/>
      <c r="Z74" s="22"/>
      <c r="AA74" s="22"/>
      <c r="AB74" s="22"/>
      <c r="AD74" s="22"/>
      <c r="AE74" s="22"/>
      <c r="AF74" s="22"/>
      <c r="AG74" s="22"/>
      <c r="AH74" s="24"/>
      <c r="AI74" s="24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6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</row>
    <row r="75" spans="1:152" s="23" customFormat="1" ht="14.25" customHeight="1" x14ac:dyDescent="0.2">
      <c r="A75" s="20"/>
      <c r="B75" s="21"/>
      <c r="C75" s="22"/>
      <c r="D75" s="22"/>
      <c r="E75" s="22"/>
      <c r="G75" s="22"/>
      <c r="H75" s="22"/>
      <c r="I75" s="22"/>
      <c r="J75" s="22"/>
      <c r="L75" s="22"/>
      <c r="M75" s="22"/>
      <c r="N75" s="22"/>
      <c r="P75" s="22"/>
      <c r="Q75" s="22"/>
      <c r="R75" s="22"/>
      <c r="S75" s="22"/>
      <c r="U75" s="22"/>
      <c r="V75" s="22"/>
      <c r="W75" s="22"/>
      <c r="Y75" s="22"/>
      <c r="Z75" s="22"/>
      <c r="AA75" s="22"/>
      <c r="AB75" s="22"/>
      <c r="AD75" s="22"/>
      <c r="AE75" s="22"/>
      <c r="AF75" s="22"/>
      <c r="AG75" s="22"/>
      <c r="AH75" s="24"/>
      <c r="AI75" s="24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6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</row>
    <row r="76" spans="1:152" s="23" customFormat="1" ht="14.25" customHeight="1" x14ac:dyDescent="0.2">
      <c r="A76" s="20"/>
      <c r="B76" s="21"/>
      <c r="C76" s="22"/>
      <c r="D76" s="22"/>
      <c r="E76" s="22"/>
      <c r="G76" s="22"/>
      <c r="H76" s="22"/>
      <c r="I76" s="22"/>
      <c r="J76" s="22"/>
      <c r="L76" s="22"/>
      <c r="M76" s="22"/>
      <c r="N76" s="22"/>
      <c r="P76" s="22"/>
      <c r="Q76" s="22"/>
      <c r="R76" s="22"/>
      <c r="S76" s="22"/>
      <c r="U76" s="22"/>
      <c r="V76" s="22"/>
      <c r="W76" s="22"/>
      <c r="Y76" s="22"/>
      <c r="Z76" s="22"/>
      <c r="AA76" s="22"/>
      <c r="AB76" s="22"/>
      <c r="AD76" s="22"/>
      <c r="AE76" s="22"/>
      <c r="AF76" s="22"/>
      <c r="AG76" s="22"/>
      <c r="AH76" s="24"/>
      <c r="AI76" s="24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6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</row>
    <row r="77" spans="1:152" s="23" customFormat="1" ht="14.25" customHeight="1" x14ac:dyDescent="0.2">
      <c r="A77" s="20"/>
      <c r="B77" s="21"/>
      <c r="C77" s="22"/>
      <c r="D77" s="22"/>
      <c r="E77" s="22"/>
      <c r="G77" s="22"/>
      <c r="H77" s="22"/>
      <c r="I77" s="22"/>
      <c r="J77" s="22"/>
      <c r="L77" s="22"/>
      <c r="M77" s="22"/>
      <c r="N77" s="22"/>
      <c r="P77" s="22"/>
      <c r="Q77" s="22"/>
      <c r="R77" s="22"/>
      <c r="S77" s="22"/>
      <c r="U77" s="22"/>
      <c r="V77" s="22"/>
      <c r="W77" s="22"/>
      <c r="Y77" s="22"/>
      <c r="Z77" s="22"/>
      <c r="AA77" s="22"/>
      <c r="AB77" s="22"/>
      <c r="AD77" s="22"/>
      <c r="AE77" s="22"/>
      <c r="AF77" s="22"/>
      <c r="AG77" s="22"/>
      <c r="AH77" s="24"/>
      <c r="AI77" s="24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</row>
    <row r="78" spans="1:152" s="23" customFormat="1" ht="14.25" customHeight="1" x14ac:dyDescent="0.2">
      <c r="A78" s="20"/>
      <c r="B78" s="21"/>
      <c r="C78" s="22"/>
      <c r="D78" s="22"/>
      <c r="E78" s="22"/>
      <c r="G78" s="22"/>
      <c r="H78" s="22"/>
      <c r="I78" s="22"/>
      <c r="J78" s="22"/>
      <c r="L78" s="22"/>
      <c r="M78" s="22"/>
      <c r="N78" s="22"/>
      <c r="P78" s="22"/>
      <c r="Q78" s="22"/>
      <c r="R78" s="22"/>
      <c r="S78" s="22"/>
      <c r="U78" s="22"/>
      <c r="V78" s="22"/>
      <c r="W78" s="22"/>
      <c r="Y78" s="22"/>
      <c r="Z78" s="22"/>
      <c r="AA78" s="22"/>
      <c r="AB78" s="22"/>
      <c r="AD78" s="22"/>
      <c r="AE78" s="22"/>
      <c r="AF78" s="22"/>
      <c r="AG78" s="22"/>
      <c r="AH78" s="24"/>
      <c r="AI78" s="24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6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</row>
    <row r="79" spans="1:152" s="23" customFormat="1" ht="14.25" customHeight="1" x14ac:dyDescent="0.2">
      <c r="A79" s="20"/>
      <c r="B79" s="21"/>
      <c r="C79" s="22"/>
      <c r="D79" s="22"/>
      <c r="E79" s="22"/>
      <c r="G79" s="22"/>
      <c r="H79" s="22"/>
      <c r="I79" s="22"/>
      <c r="J79" s="22"/>
      <c r="L79" s="22"/>
      <c r="M79" s="22"/>
      <c r="N79" s="22"/>
      <c r="P79" s="22"/>
      <c r="Q79" s="22"/>
      <c r="R79" s="22"/>
      <c r="S79" s="22"/>
      <c r="U79" s="22"/>
      <c r="V79" s="22"/>
      <c r="W79" s="22"/>
      <c r="Y79" s="22"/>
      <c r="Z79" s="22"/>
      <c r="AA79" s="22"/>
      <c r="AB79" s="22"/>
      <c r="AD79" s="22"/>
      <c r="AE79" s="22"/>
      <c r="AF79" s="22"/>
      <c r="AG79" s="22"/>
      <c r="AH79" s="24"/>
      <c r="AI79" s="24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</row>
    <row r="80" spans="1:152" s="23" customFormat="1" ht="14.25" customHeight="1" x14ac:dyDescent="0.2">
      <c r="A80" s="20"/>
      <c r="B80" s="21"/>
      <c r="C80" s="22"/>
      <c r="D80" s="22"/>
      <c r="E80" s="22"/>
      <c r="G80" s="22"/>
      <c r="H80" s="22"/>
      <c r="I80" s="22"/>
      <c r="J80" s="22"/>
      <c r="L80" s="22"/>
      <c r="M80" s="22"/>
      <c r="N80" s="22"/>
      <c r="P80" s="22"/>
      <c r="Q80" s="22"/>
      <c r="R80" s="22"/>
      <c r="S80" s="22"/>
      <c r="U80" s="22"/>
      <c r="V80" s="22"/>
      <c r="W80" s="22"/>
      <c r="Y80" s="22"/>
      <c r="Z80" s="22"/>
      <c r="AA80" s="22"/>
      <c r="AB80" s="22"/>
      <c r="AD80" s="22"/>
      <c r="AE80" s="22"/>
      <c r="AF80" s="22"/>
      <c r="AG80" s="22"/>
      <c r="AH80" s="24"/>
      <c r="AI80" s="24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6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</row>
    <row r="81" spans="1:152" s="23" customFormat="1" ht="14.25" customHeight="1" x14ac:dyDescent="0.2">
      <c r="A81" s="20"/>
      <c r="B81" s="21"/>
      <c r="C81" s="22"/>
      <c r="D81" s="22"/>
      <c r="E81" s="22"/>
      <c r="G81" s="22"/>
      <c r="H81" s="22"/>
      <c r="I81" s="22"/>
      <c r="J81" s="22"/>
      <c r="L81" s="22"/>
      <c r="M81" s="22"/>
      <c r="N81" s="22"/>
      <c r="P81" s="22"/>
      <c r="Q81" s="22"/>
      <c r="R81" s="22"/>
      <c r="S81" s="22"/>
      <c r="U81" s="22"/>
      <c r="V81" s="22"/>
      <c r="W81" s="22"/>
      <c r="Y81" s="22"/>
      <c r="Z81" s="22"/>
      <c r="AA81" s="22"/>
      <c r="AB81" s="22"/>
      <c r="AD81" s="22"/>
      <c r="AE81" s="22"/>
      <c r="AF81" s="22"/>
      <c r="AG81" s="22"/>
      <c r="AH81" s="24"/>
      <c r="AI81" s="24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6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</row>
    <row r="82" spans="1:152" s="23" customFormat="1" ht="14.25" customHeight="1" x14ac:dyDescent="0.2">
      <c r="A82" s="20"/>
      <c r="B82" s="21"/>
      <c r="C82" s="22"/>
      <c r="D82" s="22"/>
      <c r="E82" s="22"/>
      <c r="G82" s="22"/>
      <c r="H82" s="22"/>
      <c r="I82" s="22"/>
      <c r="J82" s="22"/>
      <c r="L82" s="22"/>
      <c r="M82" s="22"/>
      <c r="N82" s="22"/>
      <c r="P82" s="22"/>
      <c r="Q82" s="22"/>
      <c r="R82" s="22"/>
      <c r="S82" s="22"/>
      <c r="U82" s="22"/>
      <c r="V82" s="22"/>
      <c r="W82" s="22"/>
      <c r="Y82" s="22"/>
      <c r="Z82" s="22"/>
      <c r="AA82" s="22"/>
      <c r="AB82" s="22"/>
      <c r="AD82" s="22"/>
      <c r="AE82" s="22"/>
      <c r="AF82" s="22"/>
      <c r="AG82" s="22"/>
      <c r="AH82" s="24"/>
      <c r="AI82" s="24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6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</row>
    <row r="83" spans="1:152" s="23" customFormat="1" ht="14.25" customHeight="1" x14ac:dyDescent="0.2">
      <c r="A83" s="20"/>
      <c r="B83" s="21"/>
      <c r="C83" s="22"/>
      <c r="D83" s="22"/>
      <c r="E83" s="22"/>
      <c r="G83" s="22"/>
      <c r="H83" s="22"/>
      <c r="I83" s="22"/>
      <c r="J83" s="22"/>
      <c r="L83" s="22"/>
      <c r="M83" s="22"/>
      <c r="N83" s="22"/>
      <c r="P83" s="22"/>
      <c r="Q83" s="22"/>
      <c r="R83" s="22"/>
      <c r="S83" s="22"/>
      <c r="U83" s="22"/>
      <c r="V83" s="22"/>
      <c r="W83" s="22"/>
      <c r="Y83" s="22"/>
      <c r="Z83" s="22"/>
      <c r="AA83" s="22"/>
      <c r="AB83" s="22"/>
      <c r="AD83" s="22"/>
      <c r="AE83" s="22"/>
      <c r="AF83" s="22"/>
      <c r="AG83" s="22"/>
      <c r="AH83" s="24"/>
      <c r="AI83" s="24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6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</row>
    <row r="84" spans="1:152" s="23" customFormat="1" ht="14.25" customHeight="1" x14ac:dyDescent="0.2">
      <c r="A84" s="20"/>
      <c r="B84" s="21"/>
      <c r="C84" s="22"/>
      <c r="D84" s="22"/>
      <c r="E84" s="22"/>
      <c r="G84" s="22"/>
      <c r="H84" s="22"/>
      <c r="I84" s="22"/>
      <c r="J84" s="22"/>
      <c r="L84" s="22"/>
      <c r="M84" s="22"/>
      <c r="N84" s="22"/>
      <c r="P84" s="22"/>
      <c r="Q84" s="22"/>
      <c r="R84" s="22"/>
      <c r="S84" s="22"/>
      <c r="U84" s="22"/>
      <c r="V84" s="22"/>
      <c r="W84" s="22"/>
      <c r="Y84" s="22"/>
      <c r="Z84" s="22"/>
      <c r="AA84" s="22"/>
      <c r="AB84" s="22"/>
      <c r="AD84" s="22"/>
      <c r="AE84" s="22"/>
      <c r="AF84" s="22"/>
      <c r="AG84" s="22"/>
      <c r="AH84" s="24"/>
      <c r="AI84" s="24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6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</row>
    <row r="85" spans="1:152" s="23" customFormat="1" ht="14.25" customHeight="1" x14ac:dyDescent="0.2">
      <c r="A85" s="20"/>
      <c r="B85" s="21"/>
      <c r="C85" s="22"/>
      <c r="D85" s="22"/>
      <c r="E85" s="22"/>
      <c r="G85" s="22"/>
      <c r="H85" s="22"/>
      <c r="I85" s="22"/>
      <c r="J85" s="22"/>
      <c r="L85" s="22"/>
      <c r="M85" s="22"/>
      <c r="N85" s="22"/>
      <c r="P85" s="22"/>
      <c r="Q85" s="22"/>
      <c r="R85" s="22"/>
      <c r="S85" s="22"/>
      <c r="U85" s="22"/>
      <c r="V85" s="22"/>
      <c r="W85" s="22"/>
      <c r="Y85" s="22"/>
      <c r="Z85" s="22"/>
      <c r="AA85" s="22"/>
      <c r="AB85" s="22"/>
      <c r="AD85" s="22"/>
      <c r="AE85" s="22"/>
      <c r="AF85" s="22"/>
      <c r="AG85" s="22"/>
      <c r="AH85" s="24"/>
      <c r="AI85" s="24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6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</row>
    <row r="86" spans="1:152" s="23" customFormat="1" ht="14.25" customHeight="1" x14ac:dyDescent="0.2">
      <c r="A86" s="20"/>
      <c r="B86" s="21"/>
      <c r="C86" s="22"/>
      <c r="D86" s="22"/>
      <c r="E86" s="22"/>
      <c r="G86" s="22"/>
      <c r="H86" s="22"/>
      <c r="I86" s="22"/>
      <c r="J86" s="22"/>
      <c r="L86" s="22"/>
      <c r="M86" s="22"/>
      <c r="N86" s="22"/>
      <c r="P86" s="22"/>
      <c r="Q86" s="22"/>
      <c r="R86" s="22"/>
      <c r="S86" s="22"/>
      <c r="U86" s="22"/>
      <c r="V86" s="22"/>
      <c r="W86" s="22"/>
      <c r="Y86" s="22"/>
      <c r="Z86" s="22"/>
      <c r="AA86" s="22"/>
      <c r="AB86" s="22"/>
      <c r="AD86" s="22"/>
      <c r="AE86" s="22"/>
      <c r="AF86" s="22"/>
      <c r="AG86" s="22"/>
      <c r="AH86" s="24"/>
      <c r="AI86" s="24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6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</row>
    <row r="87" spans="1:152" s="23" customFormat="1" ht="14.25" customHeight="1" x14ac:dyDescent="0.2">
      <c r="A87" s="20"/>
      <c r="B87" s="21"/>
      <c r="C87" s="22"/>
      <c r="D87" s="22"/>
      <c r="E87" s="22"/>
      <c r="G87" s="22"/>
      <c r="H87" s="22"/>
      <c r="I87" s="22"/>
      <c r="J87" s="22"/>
      <c r="L87" s="22"/>
      <c r="M87" s="22"/>
      <c r="N87" s="22"/>
      <c r="P87" s="22"/>
      <c r="Q87" s="22"/>
      <c r="R87" s="22"/>
      <c r="S87" s="22"/>
      <c r="U87" s="22"/>
      <c r="V87" s="22"/>
      <c r="W87" s="22"/>
      <c r="Y87" s="22"/>
      <c r="Z87" s="22"/>
      <c r="AA87" s="22"/>
      <c r="AB87" s="22"/>
      <c r="AD87" s="22"/>
      <c r="AE87" s="22"/>
      <c r="AF87" s="22"/>
      <c r="AG87" s="22"/>
      <c r="AH87" s="24"/>
      <c r="AI87" s="24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6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</row>
    <row r="88" spans="1:152" s="23" customFormat="1" ht="14.25" customHeight="1" x14ac:dyDescent="0.2">
      <c r="A88" s="20"/>
      <c r="B88" s="21"/>
      <c r="C88" s="22"/>
      <c r="D88" s="22"/>
      <c r="E88" s="22"/>
      <c r="G88" s="22"/>
      <c r="H88" s="22"/>
      <c r="I88" s="22"/>
      <c r="J88" s="22"/>
      <c r="L88" s="22"/>
      <c r="M88" s="22"/>
      <c r="N88" s="22"/>
      <c r="P88" s="22"/>
      <c r="Q88" s="22"/>
      <c r="R88" s="22"/>
      <c r="S88" s="22"/>
      <c r="U88" s="22"/>
      <c r="V88" s="22"/>
      <c r="W88" s="22"/>
      <c r="Y88" s="22"/>
      <c r="Z88" s="22"/>
      <c r="AA88" s="22"/>
      <c r="AB88" s="22"/>
      <c r="AD88" s="22"/>
      <c r="AE88" s="22"/>
      <c r="AF88" s="22"/>
      <c r="AG88" s="22"/>
      <c r="AH88" s="24"/>
      <c r="AI88" s="24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6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</row>
    <row r="89" spans="1:152" s="23" customFormat="1" ht="14.25" customHeight="1" x14ac:dyDescent="0.2">
      <c r="A89" s="20"/>
      <c r="B89" s="21"/>
      <c r="C89" s="22"/>
      <c r="D89" s="22"/>
      <c r="E89" s="22"/>
      <c r="G89" s="22"/>
      <c r="H89" s="22"/>
      <c r="I89" s="22"/>
      <c r="J89" s="22"/>
      <c r="L89" s="22"/>
      <c r="M89" s="22"/>
      <c r="N89" s="22"/>
      <c r="P89" s="22"/>
      <c r="Q89" s="22"/>
      <c r="R89" s="22"/>
      <c r="S89" s="22"/>
      <c r="U89" s="22"/>
      <c r="V89" s="22"/>
      <c r="W89" s="22"/>
      <c r="Y89" s="22"/>
      <c r="Z89" s="22"/>
      <c r="AA89" s="22"/>
      <c r="AB89" s="22"/>
      <c r="AD89" s="22"/>
      <c r="AE89" s="22"/>
      <c r="AF89" s="22"/>
      <c r="AG89" s="22"/>
      <c r="AH89" s="24"/>
      <c r="AI89" s="24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6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</row>
    <row r="90" spans="1:152" s="23" customFormat="1" ht="14.25" customHeight="1" x14ac:dyDescent="0.2">
      <c r="A90" s="20"/>
      <c r="B90" s="21"/>
      <c r="C90" s="22"/>
      <c r="D90" s="22"/>
      <c r="E90" s="22"/>
      <c r="G90" s="22"/>
      <c r="H90" s="22"/>
      <c r="I90" s="22"/>
      <c r="J90" s="22"/>
      <c r="L90" s="22"/>
      <c r="M90" s="22"/>
      <c r="N90" s="22"/>
      <c r="P90" s="22"/>
      <c r="Q90" s="22"/>
      <c r="R90" s="22"/>
      <c r="S90" s="22"/>
      <c r="U90" s="22"/>
      <c r="V90" s="22"/>
      <c r="W90" s="22"/>
      <c r="Y90" s="22"/>
      <c r="Z90" s="22"/>
      <c r="AA90" s="22"/>
      <c r="AB90" s="22"/>
      <c r="AD90" s="22"/>
      <c r="AE90" s="22"/>
      <c r="AF90" s="22"/>
      <c r="AG90" s="22"/>
      <c r="AH90" s="24"/>
      <c r="AI90" s="24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6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</row>
    <row r="91" spans="1:152" s="23" customFormat="1" ht="14.25" customHeight="1" x14ac:dyDescent="0.2">
      <c r="A91" s="20"/>
      <c r="B91" s="21"/>
      <c r="C91" s="22"/>
      <c r="D91" s="22"/>
      <c r="E91" s="22"/>
      <c r="G91" s="22"/>
      <c r="H91" s="22"/>
      <c r="I91" s="22"/>
      <c r="J91" s="22"/>
      <c r="L91" s="22"/>
      <c r="M91" s="22"/>
      <c r="N91" s="22"/>
      <c r="P91" s="22"/>
      <c r="Q91" s="22"/>
      <c r="R91" s="22"/>
      <c r="S91" s="22"/>
      <c r="U91" s="22"/>
      <c r="V91" s="22"/>
      <c r="W91" s="22"/>
      <c r="Y91" s="22"/>
      <c r="Z91" s="22"/>
      <c r="AA91" s="22"/>
      <c r="AB91" s="22"/>
      <c r="AD91" s="22"/>
      <c r="AE91" s="22"/>
      <c r="AF91" s="22"/>
      <c r="AG91" s="22"/>
      <c r="AH91" s="24"/>
      <c r="AI91" s="24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6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</row>
    <row r="92" spans="1:152" s="23" customFormat="1" ht="14.25" customHeight="1" x14ac:dyDescent="0.2">
      <c r="A92" s="20"/>
      <c r="B92" s="21"/>
      <c r="C92" s="22"/>
      <c r="D92" s="22"/>
      <c r="E92" s="22"/>
      <c r="G92" s="22"/>
      <c r="H92" s="22"/>
      <c r="I92" s="22"/>
      <c r="J92" s="22"/>
      <c r="L92" s="22"/>
      <c r="M92" s="22"/>
      <c r="N92" s="22"/>
      <c r="P92" s="22"/>
      <c r="Q92" s="22"/>
      <c r="R92" s="22"/>
      <c r="S92" s="22"/>
      <c r="U92" s="22"/>
      <c r="V92" s="22"/>
      <c r="W92" s="22"/>
      <c r="Y92" s="22"/>
      <c r="Z92" s="22"/>
      <c r="AA92" s="22"/>
      <c r="AB92" s="22"/>
      <c r="AD92" s="22"/>
      <c r="AE92" s="22"/>
      <c r="AF92" s="22"/>
      <c r="AG92" s="22"/>
      <c r="AH92" s="24"/>
      <c r="AI92" s="24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6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</row>
    <row r="93" spans="1:152" s="23" customFormat="1" ht="14.25" customHeight="1" x14ac:dyDescent="0.2">
      <c r="A93" s="20"/>
      <c r="B93" s="21"/>
      <c r="C93" s="22"/>
      <c r="D93" s="22"/>
      <c r="E93" s="22"/>
      <c r="G93" s="22"/>
      <c r="H93" s="22"/>
      <c r="I93" s="22"/>
      <c r="J93" s="22"/>
      <c r="L93" s="22"/>
      <c r="M93" s="22"/>
      <c r="N93" s="22"/>
      <c r="P93" s="22"/>
      <c r="Q93" s="22"/>
      <c r="R93" s="22"/>
      <c r="S93" s="22"/>
      <c r="U93" s="22"/>
      <c r="V93" s="22"/>
      <c r="W93" s="22"/>
      <c r="Y93" s="22"/>
      <c r="Z93" s="22"/>
      <c r="AA93" s="22"/>
      <c r="AB93" s="22"/>
      <c r="AD93" s="22"/>
      <c r="AE93" s="22"/>
      <c r="AF93" s="22"/>
      <c r="AG93" s="22"/>
      <c r="AH93" s="24"/>
      <c r="AI93" s="24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6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</row>
    <row r="94" spans="1:152" s="23" customFormat="1" ht="14.25" customHeight="1" x14ac:dyDescent="0.2">
      <c r="A94" s="20"/>
      <c r="B94" s="21"/>
      <c r="C94" s="22"/>
      <c r="D94" s="22"/>
      <c r="E94" s="22"/>
      <c r="G94" s="22"/>
      <c r="H94" s="22"/>
      <c r="I94" s="22"/>
      <c r="J94" s="22"/>
      <c r="L94" s="22"/>
      <c r="M94" s="22"/>
      <c r="N94" s="22"/>
      <c r="P94" s="22"/>
      <c r="Q94" s="22"/>
      <c r="R94" s="22"/>
      <c r="S94" s="22"/>
      <c r="U94" s="22"/>
      <c r="V94" s="22"/>
      <c r="W94" s="22"/>
      <c r="Y94" s="22"/>
      <c r="Z94" s="22"/>
      <c r="AA94" s="22"/>
      <c r="AB94" s="22"/>
      <c r="AD94" s="22"/>
      <c r="AE94" s="22"/>
      <c r="AF94" s="22"/>
      <c r="AG94" s="22"/>
      <c r="AH94" s="24"/>
      <c r="AI94" s="24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6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</row>
    <row r="95" spans="1:152" s="23" customFormat="1" ht="14.25" customHeight="1" x14ac:dyDescent="0.2">
      <c r="A95" s="20"/>
      <c r="B95" s="21"/>
      <c r="C95" s="22"/>
      <c r="D95" s="22"/>
      <c r="E95" s="22"/>
      <c r="G95" s="22"/>
      <c r="H95" s="22"/>
      <c r="I95" s="22"/>
      <c r="J95" s="22"/>
      <c r="L95" s="22"/>
      <c r="M95" s="22"/>
      <c r="N95" s="22"/>
      <c r="P95" s="22"/>
      <c r="Q95" s="22"/>
      <c r="R95" s="22"/>
      <c r="S95" s="22"/>
      <c r="U95" s="22"/>
      <c r="V95" s="22"/>
      <c r="W95" s="22"/>
      <c r="Y95" s="22"/>
      <c r="Z95" s="22"/>
      <c r="AA95" s="22"/>
      <c r="AB95" s="22"/>
      <c r="AD95" s="22"/>
      <c r="AE95" s="22"/>
      <c r="AF95" s="22"/>
      <c r="AG95" s="22"/>
      <c r="AH95" s="24"/>
      <c r="AI95" s="24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6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</row>
    <row r="96" spans="1:152" s="23" customFormat="1" ht="14.25" customHeight="1" x14ac:dyDescent="0.2">
      <c r="A96" s="20"/>
      <c r="B96" s="21"/>
      <c r="C96" s="22"/>
      <c r="D96" s="22"/>
      <c r="E96" s="22"/>
      <c r="G96" s="22"/>
      <c r="H96" s="22"/>
      <c r="I96" s="22"/>
      <c r="J96" s="22"/>
      <c r="L96" s="22"/>
      <c r="M96" s="22"/>
      <c r="N96" s="22"/>
      <c r="P96" s="22"/>
      <c r="Q96" s="22"/>
      <c r="R96" s="22"/>
      <c r="S96" s="22"/>
      <c r="U96" s="22"/>
      <c r="V96" s="22"/>
      <c r="W96" s="22"/>
      <c r="Y96" s="22"/>
      <c r="Z96" s="22"/>
      <c r="AA96" s="22"/>
      <c r="AB96" s="22"/>
      <c r="AD96" s="22"/>
      <c r="AE96" s="22"/>
      <c r="AF96" s="22"/>
      <c r="AG96" s="22"/>
      <c r="AH96" s="24"/>
      <c r="AI96" s="24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6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</row>
    <row r="97" spans="1:152" s="23" customFormat="1" ht="14.25" customHeight="1" x14ac:dyDescent="0.2">
      <c r="A97" s="20"/>
      <c r="B97" s="21"/>
      <c r="C97" s="22"/>
      <c r="D97" s="22"/>
      <c r="E97" s="22"/>
      <c r="G97" s="22"/>
      <c r="H97" s="22"/>
      <c r="I97" s="22"/>
      <c r="J97" s="22"/>
      <c r="L97" s="22"/>
      <c r="M97" s="22"/>
      <c r="N97" s="22"/>
      <c r="P97" s="22"/>
      <c r="Q97" s="22"/>
      <c r="R97" s="22"/>
      <c r="S97" s="22"/>
      <c r="U97" s="22"/>
      <c r="V97" s="22"/>
      <c r="W97" s="22"/>
      <c r="Y97" s="22"/>
      <c r="Z97" s="22"/>
      <c r="AA97" s="22"/>
      <c r="AB97" s="22"/>
      <c r="AD97" s="22"/>
      <c r="AE97" s="22"/>
      <c r="AF97" s="22"/>
      <c r="AG97" s="22"/>
      <c r="AH97" s="24"/>
      <c r="AI97" s="24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6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</row>
    <row r="98" spans="1:152" s="23" customFormat="1" ht="14.25" customHeight="1" x14ac:dyDescent="0.2">
      <c r="A98" s="20"/>
      <c r="B98" s="21"/>
      <c r="C98" s="22"/>
      <c r="D98" s="22"/>
      <c r="E98" s="22"/>
      <c r="G98" s="22"/>
      <c r="H98" s="22"/>
      <c r="I98" s="22"/>
      <c r="J98" s="22"/>
      <c r="L98" s="22"/>
      <c r="M98" s="22"/>
      <c r="N98" s="22"/>
      <c r="P98" s="22"/>
      <c r="Q98" s="22"/>
      <c r="R98" s="22"/>
      <c r="S98" s="22"/>
      <c r="U98" s="22"/>
      <c r="V98" s="22"/>
      <c r="W98" s="22"/>
      <c r="Y98" s="22"/>
      <c r="Z98" s="22"/>
      <c r="AA98" s="22"/>
      <c r="AB98" s="22"/>
      <c r="AD98" s="22"/>
      <c r="AE98" s="22"/>
      <c r="AF98" s="22"/>
      <c r="AG98" s="22"/>
      <c r="AH98" s="24"/>
      <c r="AI98" s="24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6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</row>
    <row r="99" spans="1:152" s="23" customFormat="1" ht="14.25" customHeight="1" x14ac:dyDescent="0.2">
      <c r="A99" s="20"/>
      <c r="B99" s="21"/>
      <c r="C99" s="22"/>
      <c r="D99" s="22"/>
      <c r="E99" s="22"/>
      <c r="G99" s="22"/>
      <c r="H99" s="22"/>
      <c r="I99" s="22"/>
      <c r="J99" s="22"/>
      <c r="L99" s="22"/>
      <c r="M99" s="22"/>
      <c r="N99" s="22"/>
      <c r="P99" s="22"/>
      <c r="Q99" s="22"/>
      <c r="R99" s="22"/>
      <c r="S99" s="22"/>
      <c r="U99" s="22"/>
      <c r="V99" s="22"/>
      <c r="W99" s="22"/>
      <c r="Y99" s="22"/>
      <c r="Z99" s="22"/>
      <c r="AA99" s="22"/>
      <c r="AB99" s="22"/>
      <c r="AD99" s="22"/>
      <c r="AE99" s="22"/>
      <c r="AF99" s="22"/>
      <c r="AG99" s="22"/>
      <c r="AH99" s="24"/>
      <c r="AI99" s="24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6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</row>
    <row r="100" spans="1:152" s="23" customFormat="1" ht="14.25" customHeight="1" x14ac:dyDescent="0.2">
      <c r="A100" s="20"/>
      <c r="B100" s="21"/>
      <c r="C100" s="22"/>
      <c r="D100" s="22"/>
      <c r="E100" s="22"/>
      <c r="G100" s="22"/>
      <c r="H100" s="22"/>
      <c r="I100" s="22"/>
      <c r="J100" s="22"/>
      <c r="L100" s="22"/>
      <c r="M100" s="22"/>
      <c r="N100" s="22"/>
      <c r="P100" s="22"/>
      <c r="Q100" s="22"/>
      <c r="R100" s="22"/>
      <c r="S100" s="22"/>
      <c r="U100" s="22"/>
      <c r="V100" s="22"/>
      <c r="W100" s="22"/>
      <c r="Y100" s="22"/>
      <c r="Z100" s="22"/>
      <c r="AA100" s="22"/>
      <c r="AB100" s="22"/>
      <c r="AD100" s="22"/>
      <c r="AE100" s="22"/>
      <c r="AF100" s="22"/>
      <c r="AG100" s="22"/>
      <c r="AH100" s="24"/>
      <c r="AI100" s="24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6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</row>
    <row r="101" spans="1:152" s="23" customFormat="1" ht="14.25" customHeight="1" x14ac:dyDescent="0.2">
      <c r="A101" s="20"/>
      <c r="B101" s="21"/>
      <c r="C101" s="22"/>
      <c r="D101" s="22"/>
      <c r="E101" s="22"/>
      <c r="G101" s="22"/>
      <c r="H101" s="22"/>
      <c r="I101" s="22"/>
      <c r="J101" s="22"/>
      <c r="L101" s="22"/>
      <c r="M101" s="22"/>
      <c r="N101" s="22"/>
      <c r="P101" s="22"/>
      <c r="Q101" s="22"/>
      <c r="R101" s="22"/>
      <c r="S101" s="22"/>
      <c r="U101" s="22"/>
      <c r="V101" s="22"/>
      <c r="W101" s="22"/>
      <c r="Y101" s="22"/>
      <c r="Z101" s="22"/>
      <c r="AA101" s="22"/>
      <c r="AB101" s="22"/>
      <c r="AD101" s="22"/>
      <c r="AE101" s="22"/>
      <c r="AF101" s="22"/>
      <c r="AG101" s="22"/>
      <c r="AH101" s="24"/>
      <c r="AI101" s="24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6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</row>
    <row r="102" spans="1:152" s="23" customFormat="1" ht="14.25" customHeight="1" x14ac:dyDescent="0.2">
      <c r="A102" s="20"/>
      <c r="B102" s="21"/>
      <c r="C102" s="22"/>
      <c r="D102" s="22"/>
      <c r="E102" s="22"/>
      <c r="G102" s="22"/>
      <c r="H102" s="22"/>
      <c r="I102" s="22"/>
      <c r="J102" s="22"/>
      <c r="L102" s="22"/>
      <c r="M102" s="22"/>
      <c r="N102" s="22"/>
      <c r="P102" s="22"/>
      <c r="Q102" s="22"/>
      <c r="R102" s="22"/>
      <c r="S102" s="22"/>
      <c r="U102" s="22"/>
      <c r="V102" s="22"/>
      <c r="W102" s="22"/>
      <c r="Y102" s="22"/>
      <c r="Z102" s="22"/>
      <c r="AA102" s="22"/>
      <c r="AB102" s="22"/>
      <c r="AD102" s="22"/>
      <c r="AE102" s="22"/>
      <c r="AF102" s="22"/>
      <c r="AG102" s="22"/>
      <c r="AH102" s="24"/>
      <c r="AI102" s="24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6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</row>
    <row r="103" spans="1:152" s="23" customFormat="1" ht="14.25" customHeight="1" x14ac:dyDescent="0.2">
      <c r="A103" s="20"/>
      <c r="B103" s="21"/>
      <c r="C103" s="22"/>
      <c r="D103" s="22"/>
      <c r="E103" s="22"/>
      <c r="G103" s="22"/>
      <c r="H103" s="22"/>
      <c r="I103" s="22"/>
      <c r="J103" s="22"/>
      <c r="L103" s="22"/>
      <c r="M103" s="22"/>
      <c r="N103" s="22"/>
      <c r="P103" s="22"/>
      <c r="Q103" s="22"/>
      <c r="R103" s="22"/>
      <c r="S103" s="22"/>
      <c r="U103" s="22"/>
      <c r="V103" s="22"/>
      <c r="W103" s="22"/>
      <c r="Y103" s="22"/>
      <c r="Z103" s="22"/>
      <c r="AA103" s="22"/>
      <c r="AB103" s="22"/>
      <c r="AD103" s="22"/>
      <c r="AE103" s="22"/>
      <c r="AF103" s="22"/>
      <c r="AG103" s="22"/>
      <c r="AH103" s="24"/>
      <c r="AI103" s="24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6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</row>
    <row r="104" spans="1:152" s="23" customFormat="1" ht="14.25" customHeight="1" x14ac:dyDescent="0.2">
      <c r="A104" s="20"/>
      <c r="B104" s="21"/>
      <c r="C104" s="22"/>
      <c r="D104" s="22"/>
      <c r="E104" s="22"/>
      <c r="G104" s="22"/>
      <c r="H104" s="22"/>
      <c r="I104" s="22"/>
      <c r="J104" s="22"/>
      <c r="L104" s="22"/>
      <c r="M104" s="22"/>
      <c r="N104" s="22"/>
      <c r="P104" s="22"/>
      <c r="Q104" s="22"/>
      <c r="R104" s="22"/>
      <c r="S104" s="22"/>
      <c r="U104" s="22"/>
      <c r="V104" s="22"/>
      <c r="W104" s="22"/>
      <c r="Y104" s="22"/>
      <c r="Z104" s="22"/>
      <c r="AA104" s="22"/>
      <c r="AB104" s="22"/>
      <c r="AD104" s="22"/>
      <c r="AE104" s="22"/>
      <c r="AF104" s="22"/>
      <c r="AG104" s="22"/>
      <c r="AH104" s="24"/>
      <c r="AI104" s="24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6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</row>
    <row r="105" spans="1:152" s="23" customFormat="1" ht="14.25" customHeight="1" x14ac:dyDescent="0.2">
      <c r="A105" s="20"/>
      <c r="B105" s="21"/>
      <c r="C105" s="22"/>
      <c r="D105" s="22"/>
      <c r="E105" s="22"/>
      <c r="G105" s="22"/>
      <c r="H105" s="22"/>
      <c r="I105" s="22"/>
      <c r="J105" s="22"/>
      <c r="L105" s="22"/>
      <c r="M105" s="22"/>
      <c r="N105" s="22"/>
      <c r="P105" s="22"/>
      <c r="Q105" s="22"/>
      <c r="R105" s="22"/>
      <c r="S105" s="22"/>
      <c r="U105" s="22"/>
      <c r="V105" s="22"/>
      <c r="W105" s="22"/>
      <c r="Y105" s="22"/>
      <c r="Z105" s="22"/>
      <c r="AA105" s="22"/>
      <c r="AB105" s="22"/>
      <c r="AD105" s="22"/>
      <c r="AE105" s="22"/>
      <c r="AF105" s="22"/>
      <c r="AG105" s="22"/>
      <c r="AH105" s="24"/>
      <c r="AI105" s="24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6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</row>
    <row r="106" spans="1:152" s="23" customFormat="1" ht="14.25" customHeight="1" x14ac:dyDescent="0.2">
      <c r="A106" s="20"/>
      <c r="B106" s="21"/>
      <c r="C106" s="22"/>
      <c r="D106" s="22"/>
      <c r="E106" s="22"/>
      <c r="G106" s="22"/>
      <c r="H106" s="22"/>
      <c r="I106" s="22"/>
      <c r="J106" s="22"/>
      <c r="L106" s="22"/>
      <c r="M106" s="22"/>
      <c r="N106" s="22"/>
      <c r="P106" s="22"/>
      <c r="Q106" s="22"/>
      <c r="R106" s="22"/>
      <c r="S106" s="22"/>
      <c r="U106" s="22"/>
      <c r="V106" s="22"/>
      <c r="W106" s="22"/>
      <c r="Y106" s="22"/>
      <c r="Z106" s="22"/>
      <c r="AA106" s="22"/>
      <c r="AB106" s="22"/>
      <c r="AD106" s="22"/>
      <c r="AE106" s="22"/>
      <c r="AF106" s="22"/>
      <c r="AG106" s="22"/>
      <c r="AH106" s="24"/>
      <c r="AI106" s="24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6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</row>
    <row r="107" spans="1:152" s="23" customFormat="1" ht="14.25" customHeight="1" x14ac:dyDescent="0.2">
      <c r="A107" s="20"/>
      <c r="B107" s="21"/>
      <c r="C107" s="22"/>
      <c r="D107" s="22"/>
      <c r="E107" s="22"/>
      <c r="G107" s="22"/>
      <c r="H107" s="22"/>
      <c r="I107" s="22"/>
      <c r="J107" s="22"/>
      <c r="L107" s="22"/>
      <c r="M107" s="22"/>
      <c r="N107" s="22"/>
      <c r="P107" s="22"/>
      <c r="Q107" s="22"/>
      <c r="R107" s="22"/>
      <c r="S107" s="22"/>
      <c r="U107" s="22"/>
      <c r="V107" s="22"/>
      <c r="W107" s="22"/>
      <c r="Y107" s="22"/>
      <c r="Z107" s="22"/>
      <c r="AA107" s="22"/>
      <c r="AB107" s="22"/>
      <c r="AD107" s="22"/>
      <c r="AE107" s="22"/>
      <c r="AF107" s="22"/>
      <c r="AG107" s="22"/>
      <c r="AH107" s="24"/>
      <c r="AI107" s="24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6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</row>
    <row r="108" spans="1:152" s="23" customFormat="1" ht="14.25" customHeight="1" x14ac:dyDescent="0.2">
      <c r="A108" s="20"/>
      <c r="B108" s="21"/>
      <c r="C108" s="22"/>
      <c r="D108" s="22"/>
      <c r="E108" s="22"/>
      <c r="G108" s="22"/>
      <c r="H108" s="22"/>
      <c r="I108" s="22"/>
      <c r="J108" s="22"/>
      <c r="L108" s="22"/>
      <c r="M108" s="22"/>
      <c r="N108" s="22"/>
      <c r="P108" s="22"/>
      <c r="Q108" s="22"/>
      <c r="R108" s="22"/>
      <c r="S108" s="22"/>
      <c r="U108" s="22"/>
      <c r="V108" s="22"/>
      <c r="W108" s="22"/>
      <c r="Y108" s="22"/>
      <c r="Z108" s="22"/>
      <c r="AA108" s="22"/>
      <c r="AB108" s="22"/>
      <c r="AD108" s="22"/>
      <c r="AE108" s="22"/>
      <c r="AF108" s="22"/>
      <c r="AG108" s="22"/>
      <c r="AH108" s="24"/>
      <c r="AI108" s="24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6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</row>
    <row r="109" spans="1:152" s="23" customFormat="1" ht="14.25" customHeight="1" x14ac:dyDescent="0.2">
      <c r="A109" s="20"/>
      <c r="B109" s="21"/>
      <c r="C109" s="22"/>
      <c r="D109" s="22"/>
      <c r="E109" s="22"/>
      <c r="G109" s="22"/>
      <c r="H109" s="22"/>
      <c r="I109" s="22"/>
      <c r="J109" s="22"/>
      <c r="L109" s="22"/>
      <c r="M109" s="22"/>
      <c r="N109" s="22"/>
      <c r="P109" s="22"/>
      <c r="Q109" s="22"/>
      <c r="R109" s="22"/>
      <c r="S109" s="22"/>
      <c r="U109" s="22"/>
      <c r="V109" s="22"/>
      <c r="W109" s="22"/>
      <c r="Y109" s="22"/>
      <c r="Z109" s="22"/>
      <c r="AA109" s="22"/>
      <c r="AB109" s="22"/>
      <c r="AD109" s="22"/>
      <c r="AE109" s="22"/>
      <c r="AF109" s="22"/>
      <c r="AG109" s="22"/>
      <c r="AH109" s="24"/>
      <c r="AI109" s="24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6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</row>
    <row r="110" spans="1:152" s="23" customFormat="1" ht="14.25" customHeight="1" x14ac:dyDescent="0.2">
      <c r="A110" s="20"/>
      <c r="B110" s="21"/>
      <c r="C110" s="22"/>
      <c r="D110" s="22"/>
      <c r="E110" s="22"/>
      <c r="G110" s="22"/>
      <c r="H110" s="22"/>
      <c r="I110" s="22"/>
      <c r="J110" s="22"/>
      <c r="L110" s="22"/>
      <c r="M110" s="22"/>
      <c r="N110" s="22"/>
      <c r="P110" s="22"/>
      <c r="Q110" s="22"/>
      <c r="R110" s="22"/>
      <c r="S110" s="22"/>
      <c r="U110" s="22"/>
      <c r="V110" s="22"/>
      <c r="W110" s="22"/>
      <c r="Y110" s="22"/>
      <c r="Z110" s="22"/>
      <c r="AA110" s="22"/>
      <c r="AB110" s="22"/>
      <c r="AD110" s="22"/>
      <c r="AE110" s="22"/>
      <c r="AF110" s="22"/>
      <c r="AG110" s="22"/>
      <c r="AH110" s="24"/>
      <c r="AI110" s="24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6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</row>
    <row r="111" spans="1:152" s="23" customFormat="1" ht="14.25" customHeight="1" x14ac:dyDescent="0.2">
      <c r="A111" s="20"/>
      <c r="B111" s="21"/>
      <c r="C111" s="22"/>
      <c r="D111" s="22"/>
      <c r="E111" s="22"/>
      <c r="G111" s="22"/>
      <c r="H111" s="22"/>
      <c r="I111" s="22"/>
      <c r="J111" s="22"/>
      <c r="L111" s="22"/>
      <c r="M111" s="22"/>
      <c r="N111" s="22"/>
      <c r="P111" s="22"/>
      <c r="Q111" s="22"/>
      <c r="R111" s="22"/>
      <c r="S111" s="22"/>
      <c r="U111" s="22"/>
      <c r="V111" s="22"/>
      <c r="W111" s="22"/>
      <c r="Y111" s="22"/>
      <c r="Z111" s="22"/>
      <c r="AA111" s="22"/>
      <c r="AB111" s="22"/>
      <c r="AD111" s="22"/>
      <c r="AE111" s="22"/>
      <c r="AF111" s="22"/>
      <c r="AG111" s="22"/>
      <c r="AH111" s="24"/>
      <c r="AI111" s="24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6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</row>
    <row r="112" spans="1:152" s="23" customFormat="1" ht="14.25" customHeight="1" x14ac:dyDescent="0.2">
      <c r="A112" s="20"/>
      <c r="B112" s="21"/>
      <c r="C112" s="22"/>
      <c r="D112" s="22"/>
      <c r="E112" s="22"/>
      <c r="G112" s="22"/>
      <c r="H112" s="22"/>
      <c r="I112" s="22"/>
      <c r="J112" s="22"/>
      <c r="L112" s="22"/>
      <c r="M112" s="22"/>
      <c r="N112" s="22"/>
      <c r="P112" s="22"/>
      <c r="Q112" s="22"/>
      <c r="R112" s="22"/>
      <c r="S112" s="22"/>
      <c r="U112" s="22"/>
      <c r="V112" s="22"/>
      <c r="W112" s="22"/>
      <c r="Y112" s="22"/>
      <c r="Z112" s="22"/>
      <c r="AA112" s="22"/>
      <c r="AB112" s="22"/>
      <c r="AD112" s="22"/>
      <c r="AE112" s="22"/>
      <c r="AF112" s="22"/>
      <c r="AG112" s="22"/>
      <c r="AH112" s="24"/>
      <c r="AI112" s="24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6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</row>
    <row r="113" spans="1:152" s="23" customFormat="1" ht="14.25" customHeight="1" x14ac:dyDescent="0.2">
      <c r="A113" s="20"/>
      <c r="B113" s="21"/>
      <c r="C113" s="22"/>
      <c r="D113" s="22"/>
      <c r="E113" s="22"/>
      <c r="G113" s="22"/>
      <c r="H113" s="22"/>
      <c r="I113" s="22"/>
      <c r="J113" s="22"/>
      <c r="L113" s="22"/>
      <c r="M113" s="22"/>
      <c r="N113" s="22"/>
      <c r="P113" s="22"/>
      <c r="Q113" s="22"/>
      <c r="R113" s="22"/>
      <c r="S113" s="22"/>
      <c r="U113" s="22"/>
      <c r="V113" s="22"/>
      <c r="W113" s="22"/>
      <c r="Y113" s="22"/>
      <c r="Z113" s="22"/>
      <c r="AA113" s="22"/>
      <c r="AB113" s="22"/>
      <c r="AD113" s="22"/>
      <c r="AE113" s="22"/>
      <c r="AF113" s="22"/>
      <c r="AG113" s="22"/>
      <c r="AH113" s="24"/>
      <c r="AI113" s="24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6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</row>
    <row r="114" spans="1:152" s="23" customFormat="1" ht="14.25" customHeight="1" x14ac:dyDescent="0.2">
      <c r="A114" s="20"/>
      <c r="B114" s="21"/>
      <c r="C114" s="22"/>
      <c r="D114" s="22"/>
      <c r="E114" s="22"/>
      <c r="G114" s="22"/>
      <c r="H114" s="22"/>
      <c r="I114" s="22"/>
      <c r="J114" s="22"/>
      <c r="L114" s="22"/>
      <c r="M114" s="22"/>
      <c r="N114" s="22"/>
      <c r="P114" s="22"/>
      <c r="Q114" s="22"/>
      <c r="R114" s="22"/>
      <c r="S114" s="22"/>
      <c r="U114" s="22"/>
      <c r="V114" s="22"/>
      <c r="W114" s="22"/>
      <c r="Y114" s="22"/>
      <c r="Z114" s="22"/>
      <c r="AA114" s="22"/>
      <c r="AB114" s="22"/>
      <c r="AD114" s="22"/>
      <c r="AE114" s="22"/>
      <c r="AF114" s="22"/>
      <c r="AG114" s="22"/>
      <c r="AH114" s="24"/>
      <c r="AI114" s="24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6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</row>
    <row r="115" spans="1:152" s="23" customFormat="1" ht="14.25" customHeight="1" x14ac:dyDescent="0.2">
      <c r="A115" s="20"/>
      <c r="B115" s="21"/>
      <c r="C115" s="22"/>
      <c r="D115" s="22"/>
      <c r="E115" s="22"/>
      <c r="G115" s="22"/>
      <c r="H115" s="22"/>
      <c r="I115" s="22"/>
      <c r="J115" s="22"/>
      <c r="L115" s="22"/>
      <c r="M115" s="22"/>
      <c r="N115" s="22"/>
      <c r="P115" s="22"/>
      <c r="Q115" s="22"/>
      <c r="R115" s="22"/>
      <c r="S115" s="22"/>
      <c r="U115" s="22"/>
      <c r="V115" s="22"/>
      <c r="W115" s="22"/>
      <c r="Y115" s="22"/>
      <c r="Z115" s="22"/>
      <c r="AA115" s="22"/>
      <c r="AB115" s="22"/>
      <c r="AD115" s="22"/>
      <c r="AE115" s="22"/>
      <c r="AF115" s="22"/>
      <c r="AG115" s="22"/>
      <c r="AH115" s="24"/>
      <c r="AI115" s="24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6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</row>
    <row r="116" spans="1:152" s="23" customFormat="1" ht="14.25" customHeight="1" x14ac:dyDescent="0.2">
      <c r="A116" s="20"/>
      <c r="B116" s="21"/>
      <c r="C116" s="22"/>
      <c r="D116" s="22"/>
      <c r="E116" s="22"/>
      <c r="G116" s="22"/>
      <c r="H116" s="22"/>
      <c r="I116" s="22"/>
      <c r="J116" s="22"/>
      <c r="L116" s="22"/>
      <c r="M116" s="22"/>
      <c r="N116" s="22"/>
      <c r="P116" s="22"/>
      <c r="Q116" s="22"/>
      <c r="R116" s="22"/>
      <c r="S116" s="22"/>
      <c r="U116" s="22"/>
      <c r="V116" s="22"/>
      <c r="W116" s="22"/>
      <c r="Y116" s="22"/>
      <c r="Z116" s="22"/>
      <c r="AA116" s="22"/>
      <c r="AB116" s="22"/>
      <c r="AD116" s="22"/>
      <c r="AE116" s="22"/>
      <c r="AF116" s="22"/>
      <c r="AG116" s="22"/>
      <c r="AH116" s="24"/>
      <c r="AI116" s="24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6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</row>
    <row r="117" spans="1:152" s="23" customFormat="1" ht="14.25" customHeight="1" x14ac:dyDescent="0.2">
      <c r="A117" s="20"/>
      <c r="B117" s="21"/>
      <c r="C117" s="22"/>
      <c r="D117" s="22"/>
      <c r="E117" s="22"/>
      <c r="G117" s="22"/>
      <c r="H117" s="22"/>
      <c r="I117" s="22"/>
      <c r="J117" s="22"/>
      <c r="L117" s="22"/>
      <c r="M117" s="22"/>
      <c r="N117" s="22"/>
      <c r="P117" s="22"/>
      <c r="Q117" s="22"/>
      <c r="R117" s="22"/>
      <c r="S117" s="22"/>
      <c r="U117" s="22"/>
      <c r="V117" s="22"/>
      <c r="W117" s="22"/>
      <c r="Y117" s="22"/>
      <c r="Z117" s="22"/>
      <c r="AA117" s="22"/>
      <c r="AB117" s="22"/>
      <c r="AD117" s="22"/>
      <c r="AE117" s="22"/>
      <c r="AF117" s="22"/>
      <c r="AG117" s="22"/>
      <c r="AH117" s="24"/>
      <c r="AI117" s="24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6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</row>
    <row r="118" spans="1:152" s="23" customFormat="1" ht="14.25" customHeight="1" x14ac:dyDescent="0.2">
      <c r="A118" s="20"/>
      <c r="B118" s="21"/>
      <c r="C118" s="22"/>
      <c r="D118" s="22"/>
      <c r="E118" s="22"/>
      <c r="G118" s="22"/>
      <c r="H118" s="22"/>
      <c r="I118" s="22"/>
      <c r="J118" s="22"/>
      <c r="L118" s="22"/>
      <c r="M118" s="22"/>
      <c r="N118" s="22"/>
      <c r="P118" s="22"/>
      <c r="Q118" s="22"/>
      <c r="R118" s="22"/>
      <c r="S118" s="22"/>
      <c r="U118" s="22"/>
      <c r="V118" s="22"/>
      <c r="W118" s="22"/>
      <c r="Y118" s="22"/>
      <c r="Z118" s="22"/>
      <c r="AA118" s="22"/>
      <c r="AB118" s="22"/>
      <c r="AD118" s="22"/>
      <c r="AE118" s="22"/>
      <c r="AF118" s="22"/>
      <c r="AG118" s="22"/>
      <c r="AH118" s="24"/>
      <c r="AI118" s="24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6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</row>
    <row r="119" spans="1:152" s="23" customFormat="1" ht="14.25" customHeight="1" x14ac:dyDescent="0.2">
      <c r="A119" s="20"/>
      <c r="B119" s="21"/>
      <c r="C119" s="22"/>
      <c r="D119" s="22"/>
      <c r="E119" s="22"/>
      <c r="G119" s="22"/>
      <c r="H119" s="22"/>
      <c r="I119" s="22"/>
      <c r="J119" s="22"/>
      <c r="L119" s="22"/>
      <c r="M119" s="22"/>
      <c r="N119" s="22"/>
      <c r="P119" s="22"/>
      <c r="Q119" s="22"/>
      <c r="R119" s="22"/>
      <c r="S119" s="22"/>
      <c r="U119" s="22"/>
      <c r="V119" s="22"/>
      <c r="W119" s="22"/>
      <c r="Y119" s="22"/>
      <c r="Z119" s="22"/>
      <c r="AA119" s="22"/>
      <c r="AB119" s="22"/>
      <c r="AD119" s="22"/>
      <c r="AE119" s="22"/>
      <c r="AF119" s="22"/>
      <c r="AG119" s="22"/>
      <c r="AH119" s="24"/>
      <c r="AI119" s="24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6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</row>
    <row r="120" spans="1:152" s="23" customFormat="1" ht="14.25" customHeight="1" x14ac:dyDescent="0.2">
      <c r="A120" s="20"/>
      <c r="B120" s="21"/>
      <c r="C120" s="22"/>
      <c r="D120" s="22"/>
      <c r="E120" s="22"/>
      <c r="G120" s="22"/>
      <c r="H120" s="22"/>
      <c r="I120" s="22"/>
      <c r="J120" s="22"/>
      <c r="L120" s="22"/>
      <c r="M120" s="22"/>
      <c r="N120" s="22"/>
      <c r="P120" s="22"/>
      <c r="Q120" s="22"/>
      <c r="R120" s="22"/>
      <c r="S120" s="22"/>
      <c r="U120" s="22"/>
      <c r="V120" s="22"/>
      <c r="W120" s="22"/>
      <c r="Y120" s="22"/>
      <c r="Z120" s="22"/>
      <c r="AA120" s="22"/>
      <c r="AB120" s="22"/>
      <c r="AD120" s="22"/>
      <c r="AE120" s="22"/>
      <c r="AF120" s="22"/>
      <c r="AG120" s="22"/>
      <c r="AH120" s="24"/>
      <c r="AI120" s="24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6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</row>
    <row r="121" spans="1:152" s="23" customFormat="1" ht="14.25" customHeight="1" x14ac:dyDescent="0.2">
      <c r="A121" s="20"/>
      <c r="B121" s="21"/>
      <c r="C121" s="22"/>
      <c r="D121" s="22"/>
      <c r="E121" s="22"/>
      <c r="G121" s="22"/>
      <c r="H121" s="22"/>
      <c r="I121" s="22"/>
      <c r="J121" s="22"/>
      <c r="L121" s="22"/>
      <c r="M121" s="22"/>
      <c r="N121" s="22"/>
      <c r="P121" s="22"/>
      <c r="Q121" s="22"/>
      <c r="R121" s="22"/>
      <c r="S121" s="22"/>
      <c r="U121" s="22"/>
      <c r="V121" s="22"/>
      <c r="W121" s="22"/>
      <c r="Y121" s="22"/>
      <c r="Z121" s="22"/>
      <c r="AA121" s="22"/>
      <c r="AB121" s="22"/>
      <c r="AD121" s="22"/>
      <c r="AE121" s="22"/>
      <c r="AF121" s="22"/>
      <c r="AG121" s="22"/>
      <c r="AH121" s="24"/>
      <c r="AI121" s="24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6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</row>
    <row r="122" spans="1:152" s="23" customFormat="1" ht="14.25" customHeight="1" x14ac:dyDescent="0.2">
      <c r="A122" s="20"/>
      <c r="B122" s="21"/>
      <c r="C122" s="22"/>
      <c r="D122" s="22"/>
      <c r="E122" s="22"/>
      <c r="G122" s="22"/>
      <c r="H122" s="22"/>
      <c r="I122" s="22"/>
      <c r="J122" s="22"/>
      <c r="L122" s="22"/>
      <c r="M122" s="22"/>
      <c r="N122" s="22"/>
      <c r="P122" s="22"/>
      <c r="Q122" s="22"/>
      <c r="R122" s="22"/>
      <c r="S122" s="22"/>
      <c r="U122" s="22"/>
      <c r="V122" s="22"/>
      <c r="W122" s="22"/>
      <c r="Y122" s="22"/>
      <c r="Z122" s="22"/>
      <c r="AA122" s="22"/>
      <c r="AB122" s="22"/>
      <c r="AD122" s="22"/>
      <c r="AE122" s="22"/>
      <c r="AF122" s="22"/>
      <c r="AG122" s="22"/>
      <c r="AH122" s="24"/>
      <c r="AI122" s="24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6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</row>
    <row r="123" spans="1:152" s="23" customFormat="1" ht="14.25" customHeight="1" x14ac:dyDescent="0.2">
      <c r="A123" s="20"/>
      <c r="B123" s="21"/>
      <c r="C123" s="22"/>
      <c r="D123" s="22"/>
      <c r="E123" s="22"/>
      <c r="G123" s="22"/>
      <c r="H123" s="22"/>
      <c r="I123" s="22"/>
      <c r="J123" s="22"/>
      <c r="L123" s="22"/>
      <c r="M123" s="22"/>
      <c r="N123" s="22"/>
      <c r="P123" s="22"/>
      <c r="Q123" s="22"/>
      <c r="R123" s="22"/>
      <c r="S123" s="22"/>
      <c r="U123" s="22"/>
      <c r="V123" s="22"/>
      <c r="W123" s="22"/>
      <c r="Y123" s="22"/>
      <c r="Z123" s="22"/>
      <c r="AA123" s="22"/>
      <c r="AB123" s="22"/>
      <c r="AD123" s="22"/>
      <c r="AE123" s="22"/>
      <c r="AF123" s="22"/>
      <c r="AG123" s="22"/>
      <c r="AH123" s="24"/>
      <c r="AI123" s="24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6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</row>
    <row r="124" spans="1:152" s="23" customFormat="1" ht="14.25" customHeight="1" x14ac:dyDescent="0.2">
      <c r="A124" s="20"/>
      <c r="B124" s="21"/>
      <c r="C124" s="22"/>
      <c r="D124" s="22"/>
      <c r="E124" s="22"/>
      <c r="G124" s="22"/>
      <c r="H124" s="22"/>
      <c r="I124" s="22"/>
      <c r="J124" s="22"/>
      <c r="L124" s="22"/>
      <c r="M124" s="22"/>
      <c r="N124" s="22"/>
      <c r="P124" s="22"/>
      <c r="Q124" s="22"/>
      <c r="R124" s="22"/>
      <c r="S124" s="22"/>
      <c r="U124" s="22"/>
      <c r="V124" s="22"/>
      <c r="W124" s="22"/>
      <c r="Y124" s="22"/>
      <c r="Z124" s="22"/>
      <c r="AA124" s="22"/>
      <c r="AB124" s="22"/>
      <c r="AD124" s="22"/>
      <c r="AE124" s="22"/>
      <c r="AF124" s="22"/>
      <c r="AG124" s="22"/>
      <c r="AH124" s="24"/>
      <c r="AI124" s="24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6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</row>
    <row r="125" spans="1:152" s="23" customFormat="1" ht="14.25" customHeight="1" x14ac:dyDescent="0.2">
      <c r="A125" s="20"/>
      <c r="B125" s="21"/>
      <c r="C125" s="22"/>
      <c r="D125" s="22"/>
      <c r="E125" s="22"/>
      <c r="G125" s="22"/>
      <c r="H125" s="22"/>
      <c r="I125" s="22"/>
      <c r="J125" s="22"/>
      <c r="L125" s="22"/>
      <c r="M125" s="22"/>
      <c r="N125" s="22"/>
      <c r="P125" s="22"/>
      <c r="Q125" s="22"/>
      <c r="R125" s="22"/>
      <c r="S125" s="22"/>
      <c r="U125" s="22"/>
      <c r="V125" s="22"/>
      <c r="W125" s="22"/>
      <c r="Y125" s="22"/>
      <c r="Z125" s="22"/>
      <c r="AA125" s="22"/>
      <c r="AB125" s="22"/>
      <c r="AD125" s="22"/>
      <c r="AE125" s="22"/>
      <c r="AF125" s="22"/>
      <c r="AG125" s="22"/>
      <c r="AH125" s="24"/>
      <c r="AI125" s="24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6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</row>
    <row r="126" spans="1:152" s="23" customFormat="1" ht="14.25" customHeight="1" x14ac:dyDescent="0.2">
      <c r="A126" s="20"/>
      <c r="B126" s="21"/>
      <c r="C126" s="22"/>
      <c r="D126" s="22"/>
      <c r="E126" s="22"/>
      <c r="G126" s="22"/>
      <c r="H126" s="22"/>
      <c r="I126" s="22"/>
      <c r="J126" s="22"/>
      <c r="L126" s="22"/>
      <c r="M126" s="22"/>
      <c r="N126" s="22"/>
      <c r="P126" s="22"/>
      <c r="Q126" s="22"/>
      <c r="R126" s="22"/>
      <c r="S126" s="22"/>
      <c r="U126" s="22"/>
      <c r="V126" s="22"/>
      <c r="W126" s="22"/>
      <c r="Y126" s="22"/>
      <c r="Z126" s="22"/>
      <c r="AA126" s="22"/>
      <c r="AB126" s="22"/>
      <c r="AD126" s="22"/>
      <c r="AE126" s="22"/>
      <c r="AF126" s="22"/>
      <c r="AG126" s="22"/>
      <c r="AH126" s="24"/>
      <c r="AI126" s="24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6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</row>
    <row r="127" spans="1:152" s="23" customFormat="1" ht="14.25" customHeight="1" x14ac:dyDescent="0.2">
      <c r="A127" s="20"/>
      <c r="B127" s="21"/>
      <c r="C127" s="22"/>
      <c r="D127" s="22"/>
      <c r="E127" s="22"/>
      <c r="G127" s="22"/>
      <c r="H127" s="22"/>
      <c r="I127" s="22"/>
      <c r="J127" s="22"/>
      <c r="L127" s="22"/>
      <c r="M127" s="22"/>
      <c r="N127" s="22"/>
      <c r="P127" s="22"/>
      <c r="Q127" s="22"/>
      <c r="R127" s="22"/>
      <c r="S127" s="22"/>
      <c r="U127" s="22"/>
      <c r="V127" s="22"/>
      <c r="W127" s="22"/>
      <c r="Y127" s="22"/>
      <c r="Z127" s="22"/>
      <c r="AA127" s="22"/>
      <c r="AB127" s="22"/>
      <c r="AD127" s="22"/>
      <c r="AE127" s="22"/>
      <c r="AF127" s="22"/>
      <c r="AG127" s="22"/>
      <c r="AH127" s="24"/>
      <c r="AI127" s="24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6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</row>
    <row r="128" spans="1:152" s="23" customFormat="1" ht="14.25" customHeight="1" x14ac:dyDescent="0.2">
      <c r="A128" s="20"/>
      <c r="B128" s="21"/>
      <c r="C128" s="22"/>
      <c r="D128" s="22"/>
      <c r="E128" s="22"/>
      <c r="G128" s="22"/>
      <c r="H128" s="22"/>
      <c r="I128" s="22"/>
      <c r="J128" s="22"/>
      <c r="L128" s="22"/>
      <c r="M128" s="22"/>
      <c r="N128" s="22"/>
      <c r="P128" s="22"/>
      <c r="Q128" s="22"/>
      <c r="R128" s="22"/>
      <c r="S128" s="22"/>
      <c r="U128" s="22"/>
      <c r="V128" s="22"/>
      <c r="W128" s="22"/>
      <c r="Y128" s="22"/>
      <c r="Z128" s="22"/>
      <c r="AA128" s="22"/>
      <c r="AB128" s="22"/>
      <c r="AD128" s="22"/>
      <c r="AE128" s="22"/>
      <c r="AF128" s="22"/>
      <c r="AG128" s="22"/>
      <c r="AH128" s="24"/>
      <c r="AI128" s="24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6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</row>
    <row r="129" spans="1:152" s="23" customFormat="1" ht="14.25" customHeight="1" x14ac:dyDescent="0.2">
      <c r="A129" s="20"/>
      <c r="B129" s="21"/>
      <c r="C129" s="22"/>
      <c r="D129" s="22"/>
      <c r="E129" s="22"/>
      <c r="G129" s="22"/>
      <c r="H129" s="22"/>
      <c r="I129" s="22"/>
      <c r="J129" s="22"/>
      <c r="L129" s="22"/>
      <c r="M129" s="22"/>
      <c r="N129" s="22"/>
      <c r="P129" s="22"/>
      <c r="Q129" s="22"/>
      <c r="R129" s="22"/>
      <c r="S129" s="22"/>
      <c r="U129" s="22"/>
      <c r="V129" s="22"/>
      <c r="W129" s="22"/>
      <c r="Y129" s="22"/>
      <c r="Z129" s="22"/>
      <c r="AA129" s="22"/>
      <c r="AB129" s="22"/>
      <c r="AD129" s="22"/>
      <c r="AE129" s="22"/>
      <c r="AF129" s="22"/>
      <c r="AG129" s="22"/>
      <c r="AH129" s="24"/>
      <c r="AI129" s="24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6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</row>
    <row r="130" spans="1:152" s="23" customFormat="1" ht="14.25" customHeight="1" x14ac:dyDescent="0.2">
      <c r="A130" s="20"/>
      <c r="B130" s="21"/>
      <c r="C130" s="22"/>
      <c r="D130" s="22"/>
      <c r="E130" s="22"/>
      <c r="G130" s="22"/>
      <c r="H130" s="22"/>
      <c r="I130" s="22"/>
      <c r="J130" s="22"/>
      <c r="L130" s="22"/>
      <c r="M130" s="22"/>
      <c r="N130" s="22"/>
      <c r="P130" s="22"/>
      <c r="Q130" s="22"/>
      <c r="R130" s="22"/>
      <c r="S130" s="22"/>
      <c r="U130" s="22"/>
      <c r="V130" s="22"/>
      <c r="W130" s="22"/>
      <c r="Y130" s="22"/>
      <c r="Z130" s="22"/>
      <c r="AA130" s="22"/>
      <c r="AB130" s="22"/>
      <c r="AD130" s="22"/>
      <c r="AE130" s="22"/>
      <c r="AF130" s="22"/>
      <c r="AG130" s="22"/>
      <c r="AH130" s="24"/>
      <c r="AI130" s="24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6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</row>
    <row r="131" spans="1:152" s="23" customFormat="1" ht="14.25" customHeight="1" x14ac:dyDescent="0.2">
      <c r="A131" s="20"/>
      <c r="B131" s="21"/>
      <c r="C131" s="22"/>
      <c r="D131" s="22"/>
      <c r="E131" s="22"/>
      <c r="G131" s="22"/>
      <c r="H131" s="22"/>
      <c r="I131" s="22"/>
      <c r="J131" s="22"/>
      <c r="L131" s="22"/>
      <c r="M131" s="22"/>
      <c r="N131" s="22"/>
      <c r="P131" s="22"/>
      <c r="Q131" s="22"/>
      <c r="R131" s="22"/>
      <c r="S131" s="22"/>
      <c r="U131" s="22"/>
      <c r="V131" s="22"/>
      <c r="W131" s="22"/>
      <c r="Y131" s="22"/>
      <c r="Z131" s="22"/>
      <c r="AA131" s="22"/>
      <c r="AB131" s="22"/>
      <c r="AD131" s="22"/>
      <c r="AE131" s="22"/>
      <c r="AF131" s="22"/>
      <c r="AG131" s="22"/>
      <c r="AH131" s="24"/>
      <c r="AI131" s="24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6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</row>
    <row r="132" spans="1:152" s="23" customFormat="1" ht="14.25" customHeight="1" x14ac:dyDescent="0.2">
      <c r="A132" s="20"/>
      <c r="B132" s="21"/>
      <c r="C132" s="22"/>
      <c r="D132" s="22"/>
      <c r="E132" s="22"/>
      <c r="G132" s="22"/>
      <c r="H132" s="22"/>
      <c r="I132" s="22"/>
      <c r="J132" s="22"/>
      <c r="L132" s="22"/>
      <c r="M132" s="22"/>
      <c r="N132" s="22"/>
      <c r="P132" s="22"/>
      <c r="Q132" s="22"/>
      <c r="R132" s="22"/>
      <c r="S132" s="22"/>
      <c r="U132" s="22"/>
      <c r="V132" s="22"/>
      <c r="W132" s="22"/>
      <c r="Y132" s="22"/>
      <c r="Z132" s="22"/>
      <c r="AA132" s="22"/>
      <c r="AB132" s="22"/>
      <c r="AD132" s="22"/>
      <c r="AE132" s="22"/>
      <c r="AF132" s="22"/>
      <c r="AG132" s="22"/>
      <c r="AH132" s="24"/>
      <c r="AI132" s="24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6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</row>
    <row r="133" spans="1:152" s="23" customFormat="1" ht="14.25" customHeight="1" x14ac:dyDescent="0.2">
      <c r="A133" s="20"/>
      <c r="B133" s="21"/>
      <c r="C133" s="22"/>
      <c r="D133" s="22"/>
      <c r="E133" s="22"/>
      <c r="G133" s="22"/>
      <c r="H133" s="22"/>
      <c r="I133" s="22"/>
      <c r="J133" s="22"/>
      <c r="L133" s="22"/>
      <c r="M133" s="22"/>
      <c r="N133" s="22"/>
      <c r="P133" s="22"/>
      <c r="Q133" s="22"/>
      <c r="R133" s="22"/>
      <c r="S133" s="22"/>
      <c r="U133" s="22"/>
      <c r="V133" s="22"/>
      <c r="W133" s="22"/>
      <c r="Y133" s="22"/>
      <c r="Z133" s="22"/>
      <c r="AA133" s="22"/>
      <c r="AB133" s="22"/>
      <c r="AD133" s="22"/>
      <c r="AE133" s="22"/>
      <c r="AF133" s="22"/>
      <c r="AG133" s="22"/>
      <c r="AH133" s="24"/>
      <c r="AI133" s="24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6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</row>
    <row r="134" spans="1:152" s="23" customFormat="1" ht="14.25" customHeight="1" x14ac:dyDescent="0.2">
      <c r="A134" s="20"/>
      <c r="B134" s="21"/>
      <c r="C134" s="22"/>
      <c r="D134" s="22"/>
      <c r="E134" s="22"/>
      <c r="G134" s="22"/>
      <c r="H134" s="22"/>
      <c r="I134" s="22"/>
      <c r="J134" s="22"/>
      <c r="L134" s="22"/>
      <c r="M134" s="22"/>
      <c r="N134" s="22"/>
      <c r="P134" s="22"/>
      <c r="Q134" s="22"/>
      <c r="R134" s="22"/>
      <c r="S134" s="22"/>
      <c r="U134" s="22"/>
      <c r="V134" s="22"/>
      <c r="W134" s="22"/>
      <c r="Y134" s="22"/>
      <c r="Z134" s="22"/>
      <c r="AA134" s="22"/>
      <c r="AB134" s="22"/>
      <c r="AD134" s="22"/>
      <c r="AE134" s="22"/>
      <c r="AF134" s="22"/>
      <c r="AG134" s="22"/>
      <c r="AH134" s="24"/>
      <c r="AI134" s="24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6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</row>
    <row r="135" spans="1:152" s="23" customFormat="1" ht="14.25" customHeight="1" x14ac:dyDescent="0.2">
      <c r="A135" s="20"/>
      <c r="B135" s="21"/>
      <c r="C135" s="22"/>
      <c r="D135" s="22"/>
      <c r="E135" s="22"/>
      <c r="G135" s="22"/>
      <c r="H135" s="22"/>
      <c r="I135" s="22"/>
      <c r="J135" s="22"/>
      <c r="L135" s="22"/>
      <c r="M135" s="22"/>
      <c r="N135" s="22"/>
      <c r="P135" s="22"/>
      <c r="Q135" s="22"/>
      <c r="R135" s="22"/>
      <c r="S135" s="22"/>
      <c r="U135" s="22"/>
      <c r="V135" s="22"/>
      <c r="W135" s="22"/>
      <c r="Y135" s="22"/>
      <c r="Z135" s="22"/>
      <c r="AA135" s="22"/>
      <c r="AB135" s="22"/>
      <c r="AD135" s="22"/>
      <c r="AE135" s="22"/>
      <c r="AF135" s="22"/>
      <c r="AG135" s="22"/>
      <c r="AH135" s="24"/>
      <c r="AI135" s="24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6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</row>
    <row r="136" spans="1:152" s="23" customFormat="1" ht="14.25" customHeight="1" x14ac:dyDescent="0.2">
      <c r="A136" s="20"/>
      <c r="B136" s="21"/>
      <c r="C136" s="22"/>
      <c r="D136" s="22"/>
      <c r="E136" s="22"/>
      <c r="G136" s="22"/>
      <c r="H136" s="22"/>
      <c r="I136" s="22"/>
      <c r="J136" s="22"/>
      <c r="L136" s="22"/>
      <c r="M136" s="22"/>
      <c r="N136" s="22"/>
      <c r="P136" s="22"/>
      <c r="Q136" s="22"/>
      <c r="R136" s="22"/>
      <c r="S136" s="22"/>
      <c r="U136" s="22"/>
      <c r="V136" s="22"/>
      <c r="W136" s="22"/>
      <c r="Y136" s="22"/>
      <c r="Z136" s="22"/>
      <c r="AA136" s="22"/>
      <c r="AB136" s="22"/>
      <c r="AD136" s="22"/>
      <c r="AE136" s="22"/>
      <c r="AF136" s="22"/>
      <c r="AG136" s="22"/>
      <c r="AH136" s="24"/>
      <c r="AI136" s="24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6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</row>
    <row r="137" spans="1:152" s="23" customFormat="1" ht="14.25" customHeight="1" x14ac:dyDescent="0.2">
      <c r="A137" s="20"/>
      <c r="B137" s="21"/>
      <c r="C137" s="22"/>
      <c r="D137" s="22"/>
      <c r="E137" s="22"/>
      <c r="G137" s="22"/>
      <c r="H137" s="22"/>
      <c r="I137" s="22"/>
      <c r="J137" s="22"/>
      <c r="L137" s="22"/>
      <c r="M137" s="22"/>
      <c r="N137" s="22"/>
      <c r="P137" s="22"/>
      <c r="Q137" s="22"/>
      <c r="R137" s="22"/>
      <c r="S137" s="22"/>
      <c r="U137" s="22"/>
      <c r="V137" s="22"/>
      <c r="W137" s="22"/>
      <c r="Y137" s="22"/>
      <c r="Z137" s="22"/>
      <c r="AA137" s="22"/>
      <c r="AB137" s="22"/>
      <c r="AD137" s="22"/>
      <c r="AE137" s="22"/>
      <c r="AF137" s="22"/>
      <c r="AG137" s="22"/>
      <c r="AH137" s="24"/>
      <c r="AI137" s="24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6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</row>
    <row r="138" spans="1:152" s="23" customFormat="1" ht="14.25" customHeight="1" x14ac:dyDescent="0.2">
      <c r="A138" s="20"/>
      <c r="B138" s="21"/>
      <c r="C138" s="22"/>
      <c r="D138" s="22"/>
      <c r="E138" s="22"/>
      <c r="G138" s="22"/>
      <c r="H138" s="22"/>
      <c r="I138" s="22"/>
      <c r="J138" s="22"/>
      <c r="L138" s="22"/>
      <c r="M138" s="22"/>
      <c r="N138" s="22"/>
      <c r="P138" s="22"/>
      <c r="Q138" s="22"/>
      <c r="R138" s="22"/>
      <c r="S138" s="22"/>
      <c r="U138" s="22"/>
      <c r="V138" s="22"/>
      <c r="W138" s="22"/>
      <c r="Y138" s="22"/>
      <c r="Z138" s="22"/>
      <c r="AA138" s="22"/>
      <c r="AB138" s="22"/>
      <c r="AD138" s="22"/>
      <c r="AE138" s="22"/>
      <c r="AF138" s="22"/>
      <c r="AG138" s="22"/>
      <c r="AH138" s="24"/>
      <c r="AI138" s="24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6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</row>
    <row r="139" spans="1:152" s="23" customFormat="1" ht="14.25" customHeight="1" x14ac:dyDescent="0.2">
      <c r="A139" s="20"/>
      <c r="B139" s="21"/>
      <c r="C139" s="22"/>
      <c r="D139" s="22"/>
      <c r="E139" s="22"/>
      <c r="G139" s="22"/>
      <c r="H139" s="22"/>
      <c r="I139" s="22"/>
      <c r="J139" s="22"/>
      <c r="L139" s="22"/>
      <c r="M139" s="22"/>
      <c r="N139" s="22"/>
      <c r="P139" s="22"/>
      <c r="Q139" s="22"/>
      <c r="R139" s="22"/>
      <c r="S139" s="22"/>
      <c r="U139" s="22"/>
      <c r="V139" s="22"/>
      <c r="W139" s="22"/>
      <c r="Y139" s="22"/>
      <c r="Z139" s="22"/>
      <c r="AA139" s="22"/>
      <c r="AB139" s="22"/>
      <c r="AD139" s="22"/>
      <c r="AE139" s="22"/>
      <c r="AF139" s="22"/>
      <c r="AG139" s="22"/>
      <c r="AH139" s="24"/>
      <c r="AI139" s="24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6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</row>
    <row r="140" spans="1:152" s="23" customFormat="1" ht="14.25" customHeight="1" x14ac:dyDescent="0.2">
      <c r="A140" s="20"/>
      <c r="B140" s="21"/>
      <c r="C140" s="22"/>
      <c r="D140" s="22"/>
      <c r="E140" s="22"/>
      <c r="G140" s="22"/>
      <c r="H140" s="22"/>
      <c r="I140" s="22"/>
      <c r="J140" s="22"/>
      <c r="L140" s="22"/>
      <c r="M140" s="22"/>
      <c r="N140" s="22"/>
      <c r="P140" s="22"/>
      <c r="Q140" s="22"/>
      <c r="R140" s="22"/>
      <c r="S140" s="22"/>
      <c r="U140" s="22"/>
      <c r="V140" s="22"/>
      <c r="W140" s="22"/>
      <c r="Y140" s="22"/>
      <c r="Z140" s="22"/>
      <c r="AA140" s="22"/>
      <c r="AB140" s="22"/>
      <c r="AD140" s="22"/>
      <c r="AE140" s="22"/>
      <c r="AF140" s="22"/>
      <c r="AG140" s="22"/>
      <c r="AH140" s="24"/>
      <c r="AI140" s="24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6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</row>
    <row r="141" spans="1:152" s="23" customFormat="1" ht="14.25" customHeight="1" x14ac:dyDescent="0.2">
      <c r="A141" s="20"/>
      <c r="B141" s="21"/>
      <c r="C141" s="22"/>
      <c r="D141" s="22"/>
      <c r="E141" s="22"/>
      <c r="G141" s="22"/>
      <c r="H141" s="22"/>
      <c r="I141" s="22"/>
      <c r="J141" s="22"/>
      <c r="L141" s="22"/>
      <c r="M141" s="22"/>
      <c r="N141" s="22"/>
      <c r="P141" s="22"/>
      <c r="Q141" s="22"/>
      <c r="R141" s="22"/>
      <c r="S141" s="22"/>
      <c r="U141" s="22"/>
      <c r="V141" s="22"/>
      <c r="W141" s="22"/>
      <c r="Y141" s="22"/>
      <c r="Z141" s="22"/>
      <c r="AA141" s="22"/>
      <c r="AB141" s="22"/>
      <c r="AD141" s="22"/>
      <c r="AE141" s="22"/>
      <c r="AF141" s="22"/>
      <c r="AG141" s="22"/>
      <c r="AH141" s="24"/>
      <c r="AI141" s="24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6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</row>
    <row r="142" spans="1:152" s="23" customFormat="1" ht="14.25" customHeight="1" x14ac:dyDescent="0.2">
      <c r="A142" s="20"/>
      <c r="B142" s="21"/>
      <c r="C142" s="22"/>
      <c r="D142" s="22"/>
      <c r="E142" s="22"/>
      <c r="G142" s="22"/>
      <c r="H142" s="22"/>
      <c r="I142" s="22"/>
      <c r="J142" s="22"/>
      <c r="L142" s="22"/>
      <c r="M142" s="22"/>
      <c r="N142" s="22"/>
      <c r="P142" s="22"/>
      <c r="Q142" s="22"/>
      <c r="R142" s="22"/>
      <c r="S142" s="22"/>
      <c r="U142" s="22"/>
      <c r="V142" s="22"/>
      <c r="W142" s="22"/>
      <c r="Y142" s="22"/>
      <c r="Z142" s="22"/>
      <c r="AA142" s="22"/>
      <c r="AB142" s="22"/>
      <c r="AD142" s="22"/>
      <c r="AE142" s="22"/>
      <c r="AF142" s="22"/>
      <c r="AG142" s="22"/>
      <c r="AH142" s="24"/>
      <c r="AI142" s="24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6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</row>
    <row r="143" spans="1:152" s="23" customFormat="1" ht="14.25" customHeight="1" x14ac:dyDescent="0.2">
      <c r="A143" s="20"/>
      <c r="B143" s="21"/>
      <c r="C143" s="22"/>
      <c r="D143" s="22"/>
      <c r="E143" s="22"/>
      <c r="G143" s="22"/>
      <c r="H143" s="22"/>
      <c r="I143" s="22"/>
      <c r="J143" s="22"/>
      <c r="L143" s="22"/>
      <c r="M143" s="22"/>
      <c r="N143" s="22"/>
      <c r="P143" s="22"/>
      <c r="Q143" s="22"/>
      <c r="R143" s="22"/>
      <c r="S143" s="22"/>
      <c r="U143" s="22"/>
      <c r="V143" s="22"/>
      <c r="W143" s="22"/>
      <c r="Y143" s="22"/>
      <c r="Z143" s="22"/>
      <c r="AA143" s="22"/>
      <c r="AB143" s="22"/>
      <c r="AD143" s="22"/>
      <c r="AE143" s="22"/>
      <c r="AF143" s="22"/>
      <c r="AG143" s="22"/>
      <c r="AH143" s="24"/>
      <c r="AI143" s="24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6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</row>
    <row r="144" spans="1:152" s="23" customFormat="1" ht="14.25" customHeight="1" x14ac:dyDescent="0.2">
      <c r="A144" s="20"/>
      <c r="B144" s="21"/>
      <c r="C144" s="22"/>
      <c r="D144" s="22"/>
      <c r="E144" s="22"/>
      <c r="G144" s="22"/>
      <c r="H144" s="22"/>
      <c r="I144" s="22"/>
      <c r="J144" s="22"/>
      <c r="L144" s="22"/>
      <c r="M144" s="22"/>
      <c r="N144" s="22"/>
      <c r="P144" s="22"/>
      <c r="Q144" s="22"/>
      <c r="R144" s="22"/>
      <c r="S144" s="22"/>
      <c r="U144" s="22"/>
      <c r="V144" s="22"/>
      <c r="W144" s="22"/>
      <c r="Y144" s="22"/>
      <c r="Z144" s="22"/>
      <c r="AA144" s="22"/>
      <c r="AB144" s="22"/>
      <c r="AD144" s="22"/>
      <c r="AE144" s="22"/>
      <c r="AF144" s="22"/>
      <c r="AG144" s="22"/>
      <c r="AH144" s="24"/>
      <c r="AI144" s="24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6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</row>
    <row r="145" spans="1:152" s="23" customFormat="1" ht="14.25" customHeight="1" x14ac:dyDescent="0.2">
      <c r="A145" s="20"/>
      <c r="B145" s="21"/>
      <c r="C145" s="22"/>
      <c r="D145" s="22"/>
      <c r="E145" s="22"/>
      <c r="G145" s="22"/>
      <c r="H145" s="22"/>
      <c r="I145" s="22"/>
      <c r="J145" s="22"/>
      <c r="L145" s="22"/>
      <c r="M145" s="22"/>
      <c r="N145" s="22"/>
      <c r="P145" s="22"/>
      <c r="Q145" s="22"/>
      <c r="R145" s="22"/>
      <c r="S145" s="22"/>
      <c r="U145" s="22"/>
      <c r="V145" s="22"/>
      <c r="W145" s="22"/>
      <c r="Y145" s="22"/>
      <c r="Z145" s="22"/>
      <c r="AA145" s="22"/>
      <c r="AB145" s="22"/>
      <c r="AD145" s="22"/>
      <c r="AE145" s="22"/>
      <c r="AF145" s="22"/>
      <c r="AG145" s="22"/>
      <c r="AH145" s="24"/>
      <c r="AI145" s="24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6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</row>
    <row r="146" spans="1:152" s="23" customFormat="1" ht="14.25" customHeight="1" x14ac:dyDescent="0.2">
      <c r="A146" s="20"/>
      <c r="B146" s="21"/>
      <c r="C146" s="22"/>
      <c r="D146" s="22"/>
      <c r="E146" s="22"/>
      <c r="G146" s="22"/>
      <c r="H146" s="22"/>
      <c r="I146" s="22"/>
      <c r="J146" s="22"/>
      <c r="L146" s="22"/>
      <c r="M146" s="22"/>
      <c r="N146" s="22"/>
      <c r="P146" s="22"/>
      <c r="Q146" s="22"/>
      <c r="R146" s="22"/>
      <c r="S146" s="22"/>
      <c r="U146" s="22"/>
      <c r="V146" s="22"/>
      <c r="W146" s="22"/>
      <c r="Y146" s="22"/>
      <c r="Z146" s="22"/>
      <c r="AA146" s="22"/>
      <c r="AB146" s="22"/>
      <c r="AD146" s="22"/>
      <c r="AE146" s="22"/>
      <c r="AF146" s="22"/>
      <c r="AG146" s="22"/>
      <c r="AH146" s="24"/>
      <c r="AI146" s="24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6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</row>
    <row r="147" spans="1:152" s="23" customFormat="1" ht="14.25" customHeight="1" x14ac:dyDescent="0.2">
      <c r="A147" s="20"/>
      <c r="B147" s="21"/>
      <c r="C147" s="22"/>
      <c r="D147" s="22"/>
      <c r="E147" s="22"/>
      <c r="G147" s="22"/>
      <c r="H147" s="22"/>
      <c r="I147" s="22"/>
      <c r="J147" s="22"/>
      <c r="L147" s="22"/>
      <c r="M147" s="22"/>
      <c r="N147" s="22"/>
      <c r="P147" s="22"/>
      <c r="Q147" s="22"/>
      <c r="R147" s="22"/>
      <c r="S147" s="22"/>
      <c r="U147" s="22"/>
      <c r="V147" s="22"/>
      <c r="W147" s="22"/>
      <c r="Y147" s="22"/>
      <c r="Z147" s="22"/>
      <c r="AA147" s="22"/>
      <c r="AB147" s="22"/>
      <c r="AD147" s="22"/>
      <c r="AE147" s="22"/>
      <c r="AF147" s="22"/>
      <c r="AG147" s="22"/>
      <c r="AH147" s="24"/>
      <c r="AI147" s="24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6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</row>
    <row r="148" spans="1:152" s="23" customFormat="1" ht="14.25" customHeight="1" x14ac:dyDescent="0.2">
      <c r="A148" s="20"/>
      <c r="B148" s="21"/>
      <c r="C148" s="22"/>
      <c r="D148" s="22"/>
      <c r="E148" s="22"/>
      <c r="G148" s="22"/>
      <c r="H148" s="22"/>
      <c r="I148" s="22"/>
      <c r="J148" s="22"/>
      <c r="L148" s="22"/>
      <c r="M148" s="22"/>
      <c r="N148" s="22"/>
      <c r="P148" s="22"/>
      <c r="Q148" s="22"/>
      <c r="R148" s="22"/>
      <c r="S148" s="22"/>
      <c r="U148" s="22"/>
      <c r="V148" s="22"/>
      <c r="W148" s="22"/>
      <c r="Y148" s="22"/>
      <c r="Z148" s="22"/>
      <c r="AA148" s="22"/>
      <c r="AB148" s="22"/>
      <c r="AD148" s="22"/>
      <c r="AE148" s="22"/>
      <c r="AF148" s="22"/>
      <c r="AG148" s="22"/>
      <c r="AH148" s="24"/>
      <c r="AI148" s="24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6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</row>
    <row r="149" spans="1:152" s="23" customFormat="1" ht="14.25" customHeight="1" x14ac:dyDescent="0.2">
      <c r="A149" s="20"/>
      <c r="B149" s="21"/>
      <c r="C149" s="22"/>
      <c r="D149" s="22"/>
      <c r="E149" s="22"/>
      <c r="G149" s="22"/>
      <c r="H149" s="22"/>
      <c r="I149" s="22"/>
      <c r="J149" s="22"/>
      <c r="L149" s="22"/>
      <c r="M149" s="22"/>
      <c r="N149" s="22"/>
      <c r="P149" s="22"/>
      <c r="Q149" s="22"/>
      <c r="R149" s="22"/>
      <c r="S149" s="22"/>
      <c r="U149" s="22"/>
      <c r="V149" s="22"/>
      <c r="W149" s="22"/>
      <c r="Y149" s="22"/>
      <c r="Z149" s="22"/>
      <c r="AA149" s="22"/>
      <c r="AB149" s="22"/>
      <c r="AD149" s="22"/>
      <c r="AE149" s="22"/>
      <c r="AF149" s="22"/>
      <c r="AG149" s="22"/>
      <c r="AH149" s="24"/>
      <c r="AI149" s="24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6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</row>
    <row r="150" spans="1:152" s="23" customFormat="1" ht="14.25" customHeight="1" x14ac:dyDescent="0.2">
      <c r="A150" s="20"/>
      <c r="B150" s="21"/>
      <c r="C150" s="22"/>
      <c r="D150" s="22"/>
      <c r="E150" s="22"/>
      <c r="G150" s="22"/>
      <c r="H150" s="22"/>
      <c r="I150" s="22"/>
      <c r="J150" s="22"/>
      <c r="L150" s="22"/>
      <c r="M150" s="22"/>
      <c r="N150" s="22"/>
      <c r="P150" s="22"/>
      <c r="Q150" s="22"/>
      <c r="R150" s="22"/>
      <c r="S150" s="22"/>
      <c r="U150" s="22"/>
      <c r="V150" s="22"/>
      <c r="W150" s="22"/>
      <c r="Y150" s="22"/>
      <c r="Z150" s="22"/>
      <c r="AA150" s="22"/>
      <c r="AB150" s="22"/>
      <c r="AD150" s="22"/>
      <c r="AE150" s="22"/>
      <c r="AF150" s="22"/>
      <c r="AG150" s="22"/>
      <c r="AH150" s="24"/>
      <c r="AI150" s="24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6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</row>
    <row r="151" spans="1:152" s="23" customFormat="1" ht="14.25" customHeight="1" x14ac:dyDescent="0.2">
      <c r="A151" s="20"/>
      <c r="B151" s="21"/>
      <c r="C151" s="22"/>
      <c r="D151" s="22"/>
      <c r="E151" s="22"/>
      <c r="G151" s="22"/>
      <c r="H151" s="22"/>
      <c r="I151" s="22"/>
      <c r="J151" s="22"/>
      <c r="L151" s="22"/>
      <c r="M151" s="22"/>
      <c r="N151" s="22"/>
      <c r="P151" s="22"/>
      <c r="Q151" s="22"/>
      <c r="R151" s="22"/>
      <c r="S151" s="22"/>
      <c r="U151" s="22"/>
      <c r="V151" s="22"/>
      <c r="W151" s="22"/>
      <c r="Y151" s="22"/>
      <c r="Z151" s="22"/>
      <c r="AA151" s="22"/>
      <c r="AB151" s="22"/>
      <c r="AD151" s="22"/>
      <c r="AE151" s="22"/>
      <c r="AF151" s="22"/>
      <c r="AG151" s="22"/>
      <c r="AH151" s="24"/>
      <c r="AI151" s="24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6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</row>
    <row r="152" spans="1:152" s="23" customFormat="1" ht="14.25" customHeight="1" x14ac:dyDescent="0.2">
      <c r="A152" s="20"/>
      <c r="B152" s="21"/>
      <c r="C152" s="22"/>
      <c r="D152" s="22"/>
      <c r="E152" s="22"/>
      <c r="G152" s="22"/>
      <c r="H152" s="22"/>
      <c r="I152" s="22"/>
      <c r="J152" s="22"/>
      <c r="L152" s="22"/>
      <c r="M152" s="22"/>
      <c r="N152" s="22"/>
      <c r="P152" s="22"/>
      <c r="Q152" s="22"/>
      <c r="R152" s="22"/>
      <c r="S152" s="22"/>
      <c r="U152" s="22"/>
      <c r="V152" s="22"/>
      <c r="W152" s="22"/>
      <c r="Y152" s="22"/>
      <c r="Z152" s="22"/>
      <c r="AA152" s="22"/>
      <c r="AB152" s="22"/>
      <c r="AD152" s="22"/>
      <c r="AE152" s="22"/>
      <c r="AF152" s="22"/>
      <c r="AG152" s="22"/>
      <c r="AH152" s="24"/>
      <c r="AI152" s="24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6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</row>
    <row r="153" spans="1:152" s="23" customFormat="1" ht="14.25" customHeight="1" x14ac:dyDescent="0.2">
      <c r="A153" s="20"/>
      <c r="B153" s="21"/>
      <c r="C153" s="22"/>
      <c r="D153" s="22"/>
      <c r="E153" s="22"/>
      <c r="G153" s="22"/>
      <c r="H153" s="22"/>
      <c r="I153" s="22"/>
      <c r="J153" s="22"/>
      <c r="L153" s="22"/>
      <c r="M153" s="22"/>
      <c r="N153" s="22"/>
      <c r="P153" s="22"/>
      <c r="Q153" s="22"/>
      <c r="R153" s="22"/>
      <c r="S153" s="22"/>
      <c r="U153" s="22"/>
      <c r="V153" s="22"/>
      <c r="W153" s="22"/>
      <c r="Y153" s="22"/>
      <c r="Z153" s="22"/>
      <c r="AA153" s="22"/>
      <c r="AB153" s="22"/>
      <c r="AD153" s="22"/>
      <c r="AE153" s="22"/>
      <c r="AF153" s="22"/>
      <c r="AG153" s="22"/>
      <c r="AH153" s="24"/>
      <c r="AI153" s="24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6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</row>
    <row r="154" spans="1:152" s="23" customFormat="1" ht="14.25" customHeight="1" x14ac:dyDescent="0.2">
      <c r="A154" s="20"/>
      <c r="B154" s="21"/>
      <c r="C154" s="22"/>
      <c r="D154" s="22"/>
      <c r="E154" s="22"/>
      <c r="G154" s="22"/>
      <c r="H154" s="22"/>
      <c r="I154" s="22"/>
      <c r="J154" s="22"/>
      <c r="L154" s="22"/>
      <c r="M154" s="22"/>
      <c r="N154" s="22"/>
      <c r="P154" s="22"/>
      <c r="Q154" s="22"/>
      <c r="R154" s="22"/>
      <c r="S154" s="22"/>
      <c r="U154" s="22"/>
      <c r="V154" s="22"/>
      <c r="W154" s="22"/>
      <c r="Y154" s="22"/>
      <c r="Z154" s="22"/>
      <c r="AA154" s="22"/>
      <c r="AB154" s="22"/>
      <c r="AD154" s="22"/>
      <c r="AE154" s="22"/>
      <c r="AF154" s="22"/>
      <c r="AG154" s="22"/>
      <c r="AH154" s="24"/>
      <c r="AI154" s="24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6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</row>
    <row r="155" spans="1:152" s="23" customFormat="1" ht="14.25" customHeight="1" x14ac:dyDescent="0.2">
      <c r="A155" s="20"/>
      <c r="B155" s="21"/>
      <c r="C155" s="22"/>
      <c r="D155" s="22"/>
      <c r="E155" s="22"/>
      <c r="G155" s="22"/>
      <c r="H155" s="22"/>
      <c r="I155" s="22"/>
      <c r="J155" s="22"/>
      <c r="L155" s="22"/>
      <c r="M155" s="22"/>
      <c r="N155" s="22"/>
      <c r="P155" s="22"/>
      <c r="Q155" s="22"/>
      <c r="R155" s="22"/>
      <c r="S155" s="22"/>
      <c r="U155" s="22"/>
      <c r="V155" s="22"/>
      <c r="W155" s="22"/>
      <c r="Y155" s="22"/>
      <c r="Z155" s="22"/>
      <c r="AA155" s="22"/>
      <c r="AB155" s="22"/>
      <c r="AD155" s="22"/>
      <c r="AE155" s="22"/>
      <c r="AF155" s="22"/>
      <c r="AG155" s="22"/>
      <c r="AH155" s="24"/>
      <c r="AI155" s="24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6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</row>
    <row r="156" spans="1:152" s="23" customFormat="1" ht="14.25" customHeight="1" x14ac:dyDescent="0.2">
      <c r="A156" s="20"/>
      <c r="B156" s="21"/>
      <c r="C156" s="22"/>
      <c r="D156" s="22"/>
      <c r="E156" s="22"/>
      <c r="G156" s="22"/>
      <c r="H156" s="22"/>
      <c r="I156" s="22"/>
      <c r="J156" s="22"/>
      <c r="L156" s="22"/>
      <c r="M156" s="22"/>
      <c r="N156" s="22"/>
      <c r="P156" s="22"/>
      <c r="Q156" s="22"/>
      <c r="R156" s="22"/>
      <c r="S156" s="22"/>
      <c r="U156" s="22"/>
      <c r="V156" s="22"/>
      <c r="W156" s="22"/>
      <c r="Y156" s="22"/>
      <c r="Z156" s="22"/>
      <c r="AA156" s="22"/>
      <c r="AB156" s="22"/>
      <c r="AD156" s="22"/>
      <c r="AE156" s="22"/>
      <c r="AF156" s="22"/>
      <c r="AG156" s="22"/>
      <c r="AH156" s="24"/>
      <c r="AI156" s="24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6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</row>
    <row r="157" spans="1:152" s="23" customFormat="1" ht="14.25" customHeight="1" x14ac:dyDescent="0.2">
      <c r="A157" s="20"/>
      <c r="B157" s="21"/>
      <c r="C157" s="22"/>
      <c r="D157" s="22"/>
      <c r="E157" s="22"/>
      <c r="G157" s="22"/>
      <c r="H157" s="22"/>
      <c r="I157" s="22"/>
      <c r="J157" s="22"/>
      <c r="L157" s="22"/>
      <c r="M157" s="22"/>
      <c r="N157" s="22"/>
      <c r="P157" s="22"/>
      <c r="Q157" s="22"/>
      <c r="R157" s="22"/>
      <c r="S157" s="22"/>
      <c r="U157" s="22"/>
      <c r="V157" s="22"/>
      <c r="W157" s="22"/>
      <c r="Y157" s="22"/>
      <c r="Z157" s="22"/>
      <c r="AA157" s="22"/>
      <c r="AB157" s="22"/>
      <c r="AD157" s="22"/>
      <c r="AE157" s="22"/>
      <c r="AF157" s="22"/>
      <c r="AG157" s="22"/>
      <c r="AH157" s="24"/>
      <c r="AI157" s="24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6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</row>
    <row r="158" spans="1:152" s="23" customFormat="1" ht="14.25" customHeight="1" x14ac:dyDescent="0.2">
      <c r="A158" s="20"/>
      <c r="B158" s="21"/>
      <c r="C158" s="22"/>
      <c r="D158" s="22"/>
      <c r="E158" s="22"/>
      <c r="G158" s="22"/>
      <c r="H158" s="22"/>
      <c r="I158" s="22"/>
      <c r="J158" s="22"/>
      <c r="L158" s="22"/>
      <c r="M158" s="22"/>
      <c r="N158" s="22"/>
      <c r="P158" s="22"/>
      <c r="Q158" s="22"/>
      <c r="R158" s="22"/>
      <c r="S158" s="22"/>
      <c r="U158" s="22"/>
      <c r="V158" s="22"/>
      <c r="W158" s="22"/>
      <c r="Y158" s="22"/>
      <c r="Z158" s="22"/>
      <c r="AA158" s="22"/>
      <c r="AB158" s="22"/>
      <c r="AD158" s="22"/>
      <c r="AE158" s="22"/>
      <c r="AF158" s="22"/>
      <c r="AG158" s="22"/>
      <c r="AH158" s="24"/>
      <c r="AI158" s="24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6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</row>
    <row r="159" spans="1:152" s="23" customFormat="1" ht="14.25" customHeight="1" x14ac:dyDescent="0.2">
      <c r="A159" s="20"/>
      <c r="B159" s="21"/>
      <c r="C159" s="22"/>
      <c r="D159" s="22"/>
      <c r="E159" s="22"/>
      <c r="G159" s="22"/>
      <c r="H159" s="22"/>
      <c r="I159" s="22"/>
      <c r="J159" s="22"/>
      <c r="L159" s="22"/>
      <c r="M159" s="22"/>
      <c r="N159" s="22"/>
      <c r="P159" s="22"/>
      <c r="Q159" s="22"/>
      <c r="R159" s="22"/>
      <c r="S159" s="22"/>
      <c r="U159" s="22"/>
      <c r="V159" s="22"/>
      <c r="W159" s="22"/>
      <c r="Y159" s="22"/>
      <c r="Z159" s="22"/>
      <c r="AA159" s="22"/>
      <c r="AB159" s="22"/>
      <c r="AD159" s="22"/>
      <c r="AE159" s="22"/>
      <c r="AF159" s="22"/>
      <c r="AG159" s="22"/>
      <c r="AH159" s="24"/>
      <c r="AI159" s="24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6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</row>
    <row r="160" spans="1:152" s="23" customFormat="1" ht="14.25" customHeight="1" x14ac:dyDescent="0.2">
      <c r="A160" s="20"/>
      <c r="B160" s="21"/>
      <c r="C160" s="22"/>
      <c r="D160" s="22"/>
      <c r="E160" s="22"/>
      <c r="G160" s="22"/>
      <c r="H160" s="22"/>
      <c r="I160" s="22"/>
      <c r="J160" s="22"/>
      <c r="L160" s="22"/>
      <c r="M160" s="22"/>
      <c r="N160" s="22"/>
      <c r="P160" s="22"/>
      <c r="Q160" s="22"/>
      <c r="R160" s="22"/>
      <c r="S160" s="22"/>
      <c r="U160" s="22"/>
      <c r="V160" s="22"/>
      <c r="W160" s="22"/>
      <c r="Y160" s="22"/>
      <c r="Z160" s="22"/>
      <c r="AA160" s="22"/>
      <c r="AB160" s="22"/>
      <c r="AD160" s="22"/>
      <c r="AE160" s="22"/>
      <c r="AF160" s="22"/>
      <c r="AG160" s="22"/>
      <c r="AH160" s="24"/>
      <c r="AI160" s="24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6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</row>
    <row r="161" spans="1:152" s="23" customFormat="1" ht="14.25" customHeight="1" x14ac:dyDescent="0.2">
      <c r="A161" s="20"/>
      <c r="B161" s="21"/>
      <c r="C161" s="22"/>
      <c r="D161" s="22"/>
      <c r="E161" s="22"/>
      <c r="G161" s="22"/>
      <c r="H161" s="22"/>
      <c r="I161" s="22"/>
      <c r="J161" s="22"/>
      <c r="L161" s="22"/>
      <c r="M161" s="22"/>
      <c r="N161" s="22"/>
      <c r="P161" s="22"/>
      <c r="Q161" s="22"/>
      <c r="R161" s="22"/>
      <c r="S161" s="22"/>
      <c r="U161" s="22"/>
      <c r="V161" s="22"/>
      <c r="W161" s="22"/>
      <c r="Y161" s="22"/>
      <c r="Z161" s="22"/>
      <c r="AA161" s="22"/>
      <c r="AB161" s="22"/>
      <c r="AD161" s="22"/>
      <c r="AE161" s="22"/>
      <c r="AF161" s="22"/>
      <c r="AG161" s="22"/>
      <c r="AH161" s="24"/>
      <c r="AI161" s="24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6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</row>
    <row r="162" spans="1:152" s="23" customFormat="1" ht="14.25" customHeight="1" x14ac:dyDescent="0.2">
      <c r="A162" s="20"/>
      <c r="B162" s="21"/>
      <c r="C162" s="22"/>
      <c r="D162" s="22"/>
      <c r="E162" s="22"/>
      <c r="G162" s="22"/>
      <c r="H162" s="22"/>
      <c r="I162" s="22"/>
      <c r="J162" s="22"/>
      <c r="L162" s="22"/>
      <c r="M162" s="22"/>
      <c r="N162" s="22"/>
      <c r="P162" s="22"/>
      <c r="Q162" s="22"/>
      <c r="R162" s="22"/>
      <c r="S162" s="22"/>
      <c r="U162" s="22"/>
      <c r="V162" s="22"/>
      <c r="W162" s="22"/>
      <c r="Y162" s="22"/>
      <c r="Z162" s="22"/>
      <c r="AA162" s="22"/>
      <c r="AB162" s="22"/>
      <c r="AD162" s="22"/>
      <c r="AE162" s="22"/>
      <c r="AF162" s="22"/>
      <c r="AG162" s="22"/>
      <c r="AH162" s="24"/>
      <c r="AI162" s="24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6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</row>
    <row r="163" spans="1:152" s="23" customFormat="1" ht="14.25" customHeight="1" x14ac:dyDescent="0.2">
      <c r="A163" s="20"/>
      <c r="B163" s="21"/>
      <c r="C163" s="22"/>
      <c r="D163" s="22"/>
      <c r="E163" s="22"/>
      <c r="G163" s="22"/>
      <c r="H163" s="22"/>
      <c r="I163" s="22"/>
      <c r="J163" s="22"/>
      <c r="L163" s="22"/>
      <c r="M163" s="22"/>
      <c r="N163" s="22"/>
      <c r="P163" s="22"/>
      <c r="Q163" s="22"/>
      <c r="R163" s="22"/>
      <c r="S163" s="22"/>
      <c r="U163" s="22"/>
      <c r="V163" s="22"/>
      <c r="W163" s="22"/>
      <c r="Y163" s="22"/>
      <c r="Z163" s="22"/>
      <c r="AA163" s="22"/>
      <c r="AB163" s="22"/>
      <c r="AD163" s="22"/>
      <c r="AE163" s="22"/>
      <c r="AF163" s="22"/>
      <c r="AG163" s="22"/>
      <c r="AH163" s="24"/>
      <c r="AI163" s="24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6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</row>
    <row r="164" spans="1:152" s="23" customFormat="1" ht="14.25" customHeight="1" x14ac:dyDescent="0.2">
      <c r="A164" s="20"/>
      <c r="B164" s="21"/>
      <c r="C164" s="22"/>
      <c r="D164" s="22"/>
      <c r="E164" s="22"/>
      <c r="G164" s="22"/>
      <c r="H164" s="22"/>
      <c r="I164" s="22"/>
      <c r="J164" s="22"/>
      <c r="L164" s="22"/>
      <c r="M164" s="22"/>
      <c r="N164" s="22"/>
      <c r="P164" s="22"/>
      <c r="Q164" s="22"/>
      <c r="R164" s="22"/>
      <c r="S164" s="22"/>
      <c r="U164" s="22"/>
      <c r="V164" s="22"/>
      <c r="W164" s="22"/>
      <c r="Y164" s="22"/>
      <c r="Z164" s="22"/>
      <c r="AA164" s="22"/>
      <c r="AB164" s="22"/>
      <c r="AD164" s="22"/>
      <c r="AE164" s="22"/>
      <c r="AF164" s="22"/>
      <c r="AG164" s="22"/>
      <c r="AH164" s="24"/>
      <c r="AI164" s="24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6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</row>
    <row r="165" spans="1:152" s="23" customFormat="1" ht="14.25" customHeight="1" x14ac:dyDescent="0.2">
      <c r="A165" s="20"/>
      <c r="B165" s="21"/>
      <c r="C165" s="22"/>
      <c r="D165" s="22"/>
      <c r="E165" s="22"/>
      <c r="G165" s="22"/>
      <c r="H165" s="22"/>
      <c r="I165" s="22"/>
      <c r="J165" s="22"/>
      <c r="L165" s="22"/>
      <c r="M165" s="22"/>
      <c r="N165" s="22"/>
      <c r="P165" s="22"/>
      <c r="Q165" s="22"/>
      <c r="R165" s="22"/>
      <c r="S165" s="22"/>
      <c r="U165" s="22"/>
      <c r="V165" s="22"/>
      <c r="W165" s="22"/>
      <c r="Y165" s="22"/>
      <c r="Z165" s="22"/>
      <c r="AA165" s="22"/>
      <c r="AB165" s="22"/>
      <c r="AD165" s="22"/>
      <c r="AE165" s="22"/>
      <c r="AF165" s="22"/>
      <c r="AG165" s="22"/>
      <c r="AH165" s="24"/>
      <c r="AI165" s="24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6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</row>
    <row r="166" spans="1:152" s="23" customFormat="1" ht="14.25" customHeight="1" x14ac:dyDescent="0.2">
      <c r="A166" s="20"/>
      <c r="B166" s="21"/>
      <c r="C166" s="22"/>
      <c r="D166" s="22"/>
      <c r="E166" s="22"/>
      <c r="G166" s="22"/>
      <c r="H166" s="22"/>
      <c r="I166" s="22"/>
      <c r="J166" s="22"/>
      <c r="L166" s="22"/>
      <c r="M166" s="22"/>
      <c r="N166" s="22"/>
      <c r="P166" s="22"/>
      <c r="Q166" s="22"/>
      <c r="R166" s="22"/>
      <c r="S166" s="22"/>
      <c r="U166" s="22"/>
      <c r="V166" s="22"/>
      <c r="W166" s="22"/>
      <c r="Y166" s="22"/>
      <c r="Z166" s="22"/>
      <c r="AA166" s="22"/>
      <c r="AB166" s="22"/>
      <c r="AD166" s="22"/>
      <c r="AE166" s="22"/>
      <c r="AF166" s="22"/>
      <c r="AG166" s="22"/>
      <c r="AH166" s="24"/>
      <c r="AI166" s="24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6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</row>
    <row r="167" spans="1:152" s="23" customFormat="1" ht="14.25" customHeight="1" x14ac:dyDescent="0.2">
      <c r="A167" s="20"/>
      <c r="B167" s="21"/>
      <c r="C167" s="22"/>
      <c r="D167" s="22"/>
      <c r="E167" s="22"/>
      <c r="G167" s="22"/>
      <c r="H167" s="22"/>
      <c r="I167" s="22"/>
      <c r="J167" s="22"/>
      <c r="L167" s="22"/>
      <c r="M167" s="22"/>
      <c r="N167" s="22"/>
      <c r="P167" s="22"/>
      <c r="Q167" s="22"/>
      <c r="R167" s="22"/>
      <c r="S167" s="22"/>
      <c r="U167" s="22"/>
      <c r="V167" s="22"/>
      <c r="W167" s="22"/>
      <c r="Y167" s="22"/>
      <c r="Z167" s="22"/>
      <c r="AA167" s="22"/>
      <c r="AB167" s="22"/>
      <c r="AD167" s="22"/>
      <c r="AE167" s="22"/>
      <c r="AF167" s="22"/>
      <c r="AG167" s="22"/>
      <c r="AH167" s="24"/>
      <c r="AI167" s="24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6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</row>
    <row r="168" spans="1:152" s="23" customFormat="1" ht="14.25" customHeight="1" x14ac:dyDescent="0.2">
      <c r="A168" s="20"/>
      <c r="B168" s="21"/>
      <c r="C168" s="22"/>
      <c r="D168" s="22"/>
      <c r="E168" s="22"/>
      <c r="G168" s="22"/>
      <c r="H168" s="22"/>
      <c r="I168" s="22"/>
      <c r="J168" s="22"/>
      <c r="L168" s="22"/>
      <c r="M168" s="22"/>
      <c r="N168" s="22"/>
      <c r="P168" s="22"/>
      <c r="Q168" s="22"/>
      <c r="R168" s="22"/>
      <c r="S168" s="22"/>
      <c r="U168" s="22"/>
      <c r="V168" s="22"/>
      <c r="W168" s="22"/>
      <c r="Y168" s="22"/>
      <c r="Z168" s="22"/>
      <c r="AA168" s="22"/>
      <c r="AB168" s="22"/>
      <c r="AD168" s="22"/>
      <c r="AE168" s="22"/>
      <c r="AF168" s="22"/>
      <c r="AG168" s="22"/>
      <c r="AH168" s="24"/>
      <c r="AI168" s="24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6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</row>
    <row r="169" spans="1:152" s="23" customFormat="1" ht="14.25" customHeight="1" x14ac:dyDescent="0.2">
      <c r="A169" s="20"/>
      <c r="B169" s="21"/>
      <c r="C169" s="22"/>
      <c r="D169" s="22"/>
      <c r="E169" s="22"/>
      <c r="G169" s="22"/>
      <c r="H169" s="22"/>
      <c r="I169" s="22"/>
      <c r="J169" s="22"/>
      <c r="L169" s="22"/>
      <c r="M169" s="22"/>
      <c r="N169" s="22"/>
      <c r="P169" s="22"/>
      <c r="Q169" s="22"/>
      <c r="R169" s="22"/>
      <c r="S169" s="22"/>
      <c r="U169" s="22"/>
      <c r="V169" s="22"/>
      <c r="W169" s="22"/>
      <c r="Y169" s="22"/>
      <c r="Z169" s="22"/>
      <c r="AA169" s="22"/>
      <c r="AB169" s="22"/>
      <c r="AD169" s="22"/>
      <c r="AE169" s="22"/>
      <c r="AF169" s="22"/>
      <c r="AG169" s="22"/>
      <c r="AH169" s="24"/>
      <c r="AI169" s="24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6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</row>
    <row r="170" spans="1:152" s="23" customFormat="1" ht="14.25" customHeight="1" x14ac:dyDescent="0.2">
      <c r="A170" s="20"/>
      <c r="B170" s="21"/>
      <c r="C170" s="22"/>
      <c r="D170" s="22"/>
      <c r="E170" s="22"/>
      <c r="G170" s="22"/>
      <c r="H170" s="22"/>
      <c r="I170" s="22"/>
      <c r="J170" s="22"/>
      <c r="L170" s="22"/>
      <c r="M170" s="22"/>
      <c r="N170" s="22"/>
      <c r="P170" s="22"/>
      <c r="Q170" s="22"/>
      <c r="R170" s="22"/>
      <c r="S170" s="22"/>
      <c r="U170" s="22"/>
      <c r="V170" s="22"/>
      <c r="W170" s="22"/>
      <c r="Y170" s="22"/>
      <c r="Z170" s="22"/>
      <c r="AA170" s="22"/>
      <c r="AB170" s="22"/>
      <c r="AD170" s="22"/>
      <c r="AE170" s="22"/>
      <c r="AF170" s="22"/>
      <c r="AG170" s="22"/>
      <c r="AH170" s="24"/>
      <c r="AI170" s="24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6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</row>
    <row r="171" spans="1:152" s="23" customFormat="1" ht="14.25" customHeight="1" x14ac:dyDescent="0.2">
      <c r="A171" s="20"/>
      <c r="B171" s="21"/>
      <c r="C171" s="22"/>
      <c r="D171" s="22"/>
      <c r="E171" s="22"/>
      <c r="G171" s="22"/>
      <c r="H171" s="22"/>
      <c r="I171" s="22"/>
      <c r="J171" s="22"/>
      <c r="L171" s="22"/>
      <c r="M171" s="22"/>
      <c r="N171" s="22"/>
      <c r="P171" s="22"/>
      <c r="Q171" s="22"/>
      <c r="R171" s="22"/>
      <c r="S171" s="22"/>
      <c r="U171" s="22"/>
      <c r="V171" s="22"/>
      <c r="W171" s="22"/>
      <c r="Y171" s="22"/>
      <c r="Z171" s="22"/>
      <c r="AA171" s="22"/>
      <c r="AB171" s="22"/>
      <c r="AD171" s="22"/>
      <c r="AE171" s="22"/>
      <c r="AF171" s="22"/>
      <c r="AG171" s="22"/>
      <c r="AH171" s="24"/>
      <c r="AI171" s="24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6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</row>
    <row r="172" spans="1:152" s="23" customFormat="1" ht="14.25" customHeight="1" x14ac:dyDescent="0.2">
      <c r="A172" s="20"/>
      <c r="B172" s="21"/>
      <c r="C172" s="22"/>
      <c r="D172" s="22"/>
      <c r="E172" s="22"/>
      <c r="G172" s="22"/>
      <c r="H172" s="22"/>
      <c r="I172" s="22"/>
      <c r="J172" s="22"/>
      <c r="L172" s="22"/>
      <c r="M172" s="22"/>
      <c r="N172" s="22"/>
      <c r="P172" s="22"/>
      <c r="Q172" s="22"/>
      <c r="R172" s="22"/>
      <c r="S172" s="22"/>
      <c r="U172" s="22"/>
      <c r="V172" s="22"/>
      <c r="W172" s="22"/>
      <c r="Y172" s="22"/>
      <c r="Z172" s="22"/>
      <c r="AA172" s="22"/>
      <c r="AB172" s="22"/>
      <c r="AD172" s="22"/>
      <c r="AE172" s="22"/>
      <c r="AF172" s="22"/>
      <c r="AG172" s="22"/>
      <c r="AH172" s="24"/>
      <c r="AI172" s="24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6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</row>
    <row r="173" spans="1:152" s="23" customFormat="1" ht="14.25" customHeight="1" x14ac:dyDescent="0.2">
      <c r="A173" s="20"/>
      <c r="B173" s="21"/>
      <c r="C173" s="22"/>
      <c r="D173" s="22"/>
      <c r="E173" s="22"/>
      <c r="G173" s="22"/>
      <c r="H173" s="22"/>
      <c r="I173" s="22"/>
      <c r="J173" s="22"/>
      <c r="L173" s="22"/>
      <c r="M173" s="22"/>
      <c r="N173" s="22"/>
      <c r="P173" s="22"/>
      <c r="Q173" s="22"/>
      <c r="R173" s="22"/>
      <c r="S173" s="22"/>
      <c r="U173" s="22"/>
      <c r="V173" s="22"/>
      <c r="W173" s="22"/>
      <c r="Y173" s="22"/>
      <c r="Z173" s="22"/>
      <c r="AA173" s="22"/>
      <c r="AB173" s="22"/>
      <c r="AD173" s="22"/>
      <c r="AE173" s="22"/>
      <c r="AF173" s="22"/>
      <c r="AG173" s="22"/>
      <c r="AH173" s="24"/>
      <c r="AI173" s="24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6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</row>
    <row r="174" spans="1:152" s="23" customFormat="1" ht="14.25" customHeight="1" x14ac:dyDescent="0.2">
      <c r="A174" s="20"/>
      <c r="B174" s="21"/>
      <c r="C174" s="22"/>
      <c r="D174" s="22"/>
      <c r="E174" s="22"/>
      <c r="G174" s="22"/>
      <c r="H174" s="22"/>
      <c r="I174" s="22"/>
      <c r="J174" s="22"/>
      <c r="L174" s="22"/>
      <c r="M174" s="22"/>
      <c r="N174" s="22"/>
      <c r="P174" s="22"/>
      <c r="Q174" s="22"/>
      <c r="R174" s="22"/>
      <c r="S174" s="22"/>
      <c r="U174" s="22"/>
      <c r="V174" s="22"/>
      <c r="W174" s="22"/>
      <c r="Y174" s="22"/>
      <c r="Z174" s="22"/>
      <c r="AA174" s="22"/>
      <c r="AB174" s="22"/>
      <c r="AD174" s="22"/>
      <c r="AE174" s="22"/>
      <c r="AF174" s="22"/>
      <c r="AG174" s="22"/>
      <c r="AH174" s="24"/>
      <c r="AI174" s="24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6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</row>
    <row r="175" spans="1:152" s="23" customFormat="1" ht="14.25" customHeight="1" x14ac:dyDescent="0.2">
      <c r="A175" s="20"/>
      <c r="B175" s="21"/>
      <c r="C175" s="22"/>
      <c r="D175" s="22"/>
      <c r="E175" s="22"/>
      <c r="G175" s="22"/>
      <c r="H175" s="22"/>
      <c r="I175" s="22"/>
      <c r="J175" s="22"/>
      <c r="L175" s="22"/>
      <c r="M175" s="22"/>
      <c r="N175" s="22"/>
      <c r="P175" s="22"/>
      <c r="Q175" s="22"/>
      <c r="R175" s="22"/>
      <c r="S175" s="22"/>
      <c r="U175" s="22"/>
      <c r="V175" s="22"/>
      <c r="W175" s="22"/>
      <c r="Y175" s="22"/>
      <c r="Z175" s="22"/>
      <c r="AA175" s="22"/>
      <c r="AB175" s="22"/>
      <c r="AD175" s="22"/>
      <c r="AE175" s="22"/>
      <c r="AF175" s="22"/>
      <c r="AG175" s="22"/>
      <c r="AH175" s="24"/>
      <c r="AI175" s="24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6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</row>
    <row r="176" spans="1:152" s="23" customFormat="1" ht="14.25" customHeight="1" x14ac:dyDescent="0.2">
      <c r="A176" s="20"/>
      <c r="B176" s="21"/>
      <c r="C176" s="22"/>
      <c r="D176" s="22"/>
      <c r="E176" s="22"/>
      <c r="G176" s="22"/>
      <c r="H176" s="22"/>
      <c r="I176" s="22"/>
      <c r="J176" s="22"/>
      <c r="L176" s="22"/>
      <c r="M176" s="22"/>
      <c r="N176" s="22"/>
      <c r="P176" s="22"/>
      <c r="Q176" s="22"/>
      <c r="R176" s="22"/>
      <c r="S176" s="22"/>
      <c r="U176" s="22"/>
      <c r="V176" s="22"/>
      <c r="W176" s="22"/>
      <c r="Y176" s="22"/>
      <c r="Z176" s="22"/>
      <c r="AA176" s="22"/>
      <c r="AB176" s="22"/>
      <c r="AD176" s="22"/>
      <c r="AE176" s="22"/>
      <c r="AF176" s="22"/>
      <c r="AG176" s="22"/>
      <c r="AH176" s="24"/>
      <c r="AI176" s="24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6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</row>
    <row r="177" spans="1:152" s="23" customFormat="1" ht="14.25" customHeight="1" x14ac:dyDescent="0.2">
      <c r="A177" s="20"/>
      <c r="B177" s="21"/>
      <c r="C177" s="22"/>
      <c r="D177" s="22"/>
      <c r="E177" s="22"/>
      <c r="G177" s="22"/>
      <c r="H177" s="22"/>
      <c r="I177" s="22"/>
      <c r="J177" s="22"/>
      <c r="L177" s="22"/>
      <c r="M177" s="22"/>
      <c r="N177" s="22"/>
      <c r="P177" s="22"/>
      <c r="Q177" s="22"/>
      <c r="R177" s="22"/>
      <c r="S177" s="22"/>
      <c r="U177" s="22"/>
      <c r="V177" s="22"/>
      <c r="W177" s="22"/>
      <c r="Y177" s="22"/>
      <c r="Z177" s="22"/>
      <c r="AA177" s="22"/>
      <c r="AB177" s="22"/>
      <c r="AD177" s="22"/>
      <c r="AE177" s="22"/>
      <c r="AF177" s="22"/>
      <c r="AG177" s="22"/>
      <c r="AH177" s="24"/>
      <c r="AI177" s="24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6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</row>
    <row r="178" spans="1:152" s="23" customFormat="1" ht="14.25" customHeight="1" x14ac:dyDescent="0.2">
      <c r="A178" s="20"/>
      <c r="B178" s="21"/>
      <c r="C178" s="22"/>
      <c r="D178" s="22"/>
      <c r="E178" s="22"/>
      <c r="G178" s="22"/>
      <c r="H178" s="22"/>
      <c r="I178" s="22"/>
      <c r="J178" s="22"/>
      <c r="L178" s="22"/>
      <c r="M178" s="22"/>
      <c r="N178" s="22"/>
      <c r="P178" s="22"/>
      <c r="Q178" s="22"/>
      <c r="R178" s="22"/>
      <c r="S178" s="22"/>
      <c r="U178" s="22"/>
      <c r="V178" s="22"/>
      <c r="W178" s="22"/>
      <c r="Y178" s="22"/>
      <c r="Z178" s="22"/>
      <c r="AA178" s="22"/>
      <c r="AB178" s="22"/>
      <c r="AD178" s="22"/>
      <c r="AE178" s="22"/>
      <c r="AF178" s="22"/>
      <c r="AG178" s="22"/>
      <c r="AH178" s="24"/>
      <c r="AI178" s="24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6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</row>
    <row r="179" spans="1:152" s="23" customFormat="1" ht="14.25" customHeight="1" x14ac:dyDescent="0.2">
      <c r="A179" s="20"/>
      <c r="B179" s="21"/>
      <c r="C179" s="22"/>
      <c r="D179" s="22"/>
      <c r="E179" s="22"/>
      <c r="G179" s="22"/>
      <c r="H179" s="22"/>
      <c r="I179" s="22"/>
      <c r="J179" s="22"/>
      <c r="L179" s="22"/>
      <c r="M179" s="22"/>
      <c r="N179" s="22"/>
      <c r="P179" s="22"/>
      <c r="Q179" s="22"/>
      <c r="R179" s="22"/>
      <c r="S179" s="22"/>
      <c r="U179" s="22"/>
      <c r="V179" s="22"/>
      <c r="W179" s="22"/>
      <c r="Y179" s="22"/>
      <c r="Z179" s="22"/>
      <c r="AA179" s="22"/>
      <c r="AB179" s="22"/>
      <c r="AD179" s="22"/>
      <c r="AE179" s="22"/>
      <c r="AF179" s="22"/>
      <c r="AG179" s="22"/>
      <c r="AH179" s="24"/>
      <c r="AI179" s="24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6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</row>
    <row r="180" spans="1:152" s="23" customFormat="1" ht="14.25" customHeight="1" x14ac:dyDescent="0.2">
      <c r="A180" s="20"/>
      <c r="B180" s="21"/>
      <c r="C180" s="22"/>
      <c r="D180" s="22"/>
      <c r="E180" s="22"/>
      <c r="G180" s="22"/>
      <c r="H180" s="22"/>
      <c r="I180" s="22"/>
      <c r="J180" s="22"/>
      <c r="L180" s="22"/>
      <c r="M180" s="22"/>
      <c r="N180" s="22"/>
      <c r="P180" s="22"/>
      <c r="Q180" s="22"/>
      <c r="R180" s="22"/>
      <c r="S180" s="22"/>
      <c r="U180" s="22"/>
      <c r="V180" s="22"/>
      <c r="W180" s="22"/>
      <c r="Y180" s="22"/>
      <c r="Z180" s="22"/>
      <c r="AA180" s="22"/>
      <c r="AB180" s="22"/>
      <c r="AD180" s="22"/>
      <c r="AE180" s="22"/>
      <c r="AF180" s="22"/>
      <c r="AG180" s="22"/>
      <c r="AH180" s="24"/>
      <c r="AI180" s="24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6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</row>
    <row r="181" spans="1:152" s="23" customFormat="1" ht="14.25" customHeight="1" x14ac:dyDescent="0.2">
      <c r="A181" s="20"/>
      <c r="B181" s="21"/>
      <c r="C181" s="22"/>
      <c r="D181" s="22"/>
      <c r="E181" s="22"/>
      <c r="G181" s="22"/>
      <c r="H181" s="22"/>
      <c r="I181" s="22"/>
      <c r="J181" s="22"/>
      <c r="L181" s="22"/>
      <c r="M181" s="22"/>
      <c r="N181" s="22"/>
      <c r="P181" s="22"/>
      <c r="Q181" s="22"/>
      <c r="R181" s="22"/>
      <c r="S181" s="22"/>
      <c r="U181" s="22"/>
      <c r="V181" s="22"/>
      <c r="W181" s="22"/>
      <c r="Y181" s="22"/>
      <c r="Z181" s="22"/>
      <c r="AA181" s="22"/>
      <c r="AB181" s="22"/>
      <c r="AD181" s="22"/>
      <c r="AE181" s="22"/>
      <c r="AF181" s="22"/>
      <c r="AG181" s="22"/>
      <c r="AH181" s="24"/>
      <c r="AI181" s="24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6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</row>
    <row r="182" spans="1:152" s="23" customFormat="1" ht="14.25" customHeight="1" x14ac:dyDescent="0.2">
      <c r="A182" s="20"/>
      <c r="B182" s="21"/>
      <c r="C182" s="22"/>
      <c r="D182" s="22"/>
      <c r="E182" s="22"/>
      <c r="G182" s="22"/>
      <c r="H182" s="22"/>
      <c r="I182" s="22"/>
      <c r="J182" s="22"/>
      <c r="L182" s="22"/>
      <c r="M182" s="22"/>
      <c r="N182" s="22"/>
      <c r="P182" s="22"/>
      <c r="Q182" s="22"/>
      <c r="R182" s="22"/>
      <c r="S182" s="22"/>
      <c r="U182" s="22"/>
      <c r="V182" s="22"/>
      <c r="W182" s="22"/>
      <c r="Y182" s="22"/>
      <c r="Z182" s="22"/>
      <c r="AA182" s="22"/>
      <c r="AB182" s="22"/>
      <c r="AD182" s="22"/>
      <c r="AE182" s="22"/>
      <c r="AF182" s="22"/>
      <c r="AG182" s="22"/>
      <c r="AH182" s="24"/>
      <c r="AI182" s="24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6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</row>
    <row r="183" spans="1:152" s="23" customFormat="1" ht="14.25" customHeight="1" x14ac:dyDescent="0.2">
      <c r="A183" s="20"/>
      <c r="B183" s="21"/>
      <c r="C183" s="22"/>
      <c r="D183" s="22"/>
      <c r="E183" s="22"/>
      <c r="G183" s="22"/>
      <c r="H183" s="22"/>
      <c r="I183" s="22"/>
      <c r="J183" s="22"/>
      <c r="L183" s="22"/>
      <c r="M183" s="22"/>
      <c r="N183" s="22"/>
      <c r="P183" s="22"/>
      <c r="Q183" s="22"/>
      <c r="R183" s="22"/>
      <c r="S183" s="22"/>
      <c r="U183" s="22"/>
      <c r="V183" s="22"/>
      <c r="W183" s="22"/>
      <c r="Y183" s="22"/>
      <c r="Z183" s="22"/>
      <c r="AA183" s="22"/>
      <c r="AB183" s="22"/>
      <c r="AD183" s="22"/>
      <c r="AE183" s="22"/>
      <c r="AF183" s="22"/>
      <c r="AG183" s="22"/>
      <c r="AH183" s="24"/>
      <c r="AI183" s="24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6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</row>
    <row r="184" spans="1:152" s="23" customFormat="1" ht="14.25" customHeight="1" x14ac:dyDescent="0.2">
      <c r="A184" s="20"/>
      <c r="B184" s="21"/>
      <c r="C184" s="22"/>
      <c r="D184" s="22"/>
      <c r="E184" s="22"/>
      <c r="G184" s="22"/>
      <c r="H184" s="22"/>
      <c r="I184" s="22"/>
      <c r="J184" s="22"/>
      <c r="L184" s="22"/>
      <c r="M184" s="22"/>
      <c r="N184" s="22"/>
      <c r="P184" s="22"/>
      <c r="Q184" s="22"/>
      <c r="R184" s="22"/>
      <c r="S184" s="22"/>
      <c r="U184" s="22"/>
      <c r="V184" s="22"/>
      <c r="W184" s="22"/>
      <c r="Y184" s="22"/>
      <c r="Z184" s="22"/>
      <c r="AA184" s="22"/>
      <c r="AB184" s="22"/>
      <c r="AD184" s="22"/>
      <c r="AE184" s="22"/>
      <c r="AF184" s="22"/>
      <c r="AG184" s="22"/>
      <c r="AH184" s="24"/>
      <c r="AI184" s="24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6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</row>
    <row r="185" spans="1:152" s="23" customFormat="1" ht="14.25" customHeight="1" x14ac:dyDescent="0.2">
      <c r="A185" s="20"/>
      <c r="B185" s="21"/>
      <c r="C185" s="22"/>
      <c r="D185" s="22"/>
      <c r="E185" s="22"/>
      <c r="G185" s="22"/>
      <c r="H185" s="22"/>
      <c r="I185" s="22"/>
      <c r="J185" s="22"/>
      <c r="L185" s="22"/>
      <c r="M185" s="22"/>
      <c r="N185" s="22"/>
      <c r="P185" s="22"/>
      <c r="Q185" s="22"/>
      <c r="R185" s="22"/>
      <c r="S185" s="22"/>
      <c r="U185" s="22"/>
      <c r="V185" s="22"/>
      <c r="W185" s="22"/>
      <c r="Y185" s="22"/>
      <c r="Z185" s="22"/>
      <c r="AA185" s="22"/>
      <c r="AB185" s="22"/>
      <c r="AD185" s="22"/>
      <c r="AE185" s="22"/>
      <c r="AF185" s="22"/>
      <c r="AG185" s="22"/>
      <c r="AH185" s="24"/>
      <c r="AI185" s="24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6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</row>
    <row r="186" spans="1:152" s="23" customFormat="1" ht="14.25" customHeight="1" x14ac:dyDescent="0.2">
      <c r="A186" s="20"/>
      <c r="B186" s="21"/>
      <c r="C186" s="22"/>
      <c r="D186" s="22"/>
      <c r="E186" s="22"/>
      <c r="G186" s="22"/>
      <c r="H186" s="22"/>
      <c r="I186" s="22"/>
      <c r="J186" s="22"/>
      <c r="L186" s="22"/>
      <c r="M186" s="22"/>
      <c r="N186" s="22"/>
      <c r="P186" s="22"/>
      <c r="Q186" s="22"/>
      <c r="R186" s="22"/>
      <c r="S186" s="22"/>
      <c r="U186" s="22"/>
      <c r="V186" s="22"/>
      <c r="W186" s="22"/>
      <c r="Y186" s="22"/>
      <c r="Z186" s="22"/>
      <c r="AA186" s="22"/>
      <c r="AB186" s="22"/>
      <c r="AD186" s="22"/>
      <c r="AE186" s="22"/>
      <c r="AF186" s="22"/>
      <c r="AG186" s="22"/>
      <c r="AH186" s="24"/>
      <c r="AI186" s="24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6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</row>
    <row r="187" spans="1:152" s="23" customFormat="1" ht="14.25" customHeight="1" x14ac:dyDescent="0.2">
      <c r="A187" s="20"/>
      <c r="B187" s="21"/>
      <c r="C187" s="22"/>
      <c r="D187" s="22"/>
      <c r="E187" s="22"/>
      <c r="G187" s="22"/>
      <c r="H187" s="22"/>
      <c r="I187" s="22"/>
      <c r="J187" s="22"/>
      <c r="L187" s="22"/>
      <c r="M187" s="22"/>
      <c r="N187" s="22"/>
      <c r="P187" s="22"/>
      <c r="Q187" s="22"/>
      <c r="R187" s="22"/>
      <c r="S187" s="22"/>
      <c r="U187" s="22"/>
      <c r="V187" s="22"/>
      <c r="W187" s="22"/>
      <c r="Y187" s="22"/>
      <c r="Z187" s="22"/>
      <c r="AA187" s="22"/>
      <c r="AB187" s="22"/>
      <c r="AD187" s="22"/>
      <c r="AE187" s="22"/>
      <c r="AF187" s="22"/>
      <c r="AG187" s="22"/>
      <c r="AH187" s="24"/>
      <c r="AI187" s="24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6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</row>
    <row r="188" spans="1:152" s="23" customFormat="1" ht="14.25" customHeight="1" x14ac:dyDescent="0.2">
      <c r="A188" s="20"/>
      <c r="B188" s="21"/>
      <c r="C188" s="22"/>
      <c r="D188" s="22"/>
      <c r="E188" s="22"/>
      <c r="G188" s="22"/>
      <c r="H188" s="22"/>
      <c r="I188" s="22"/>
      <c r="J188" s="22"/>
      <c r="L188" s="22"/>
      <c r="M188" s="22"/>
      <c r="N188" s="22"/>
      <c r="P188" s="22"/>
      <c r="Q188" s="22"/>
      <c r="R188" s="22"/>
      <c r="S188" s="22"/>
      <c r="U188" s="22"/>
      <c r="V188" s="22"/>
      <c r="W188" s="22"/>
      <c r="Y188" s="22"/>
      <c r="Z188" s="22"/>
      <c r="AA188" s="22"/>
      <c r="AB188" s="22"/>
      <c r="AD188" s="22"/>
      <c r="AE188" s="22"/>
      <c r="AF188" s="22"/>
      <c r="AG188" s="22"/>
      <c r="AH188" s="24"/>
      <c r="AI188" s="24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6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</row>
    <row r="189" spans="1:152" s="23" customFormat="1" ht="14.25" customHeight="1" x14ac:dyDescent="0.2">
      <c r="A189" s="20"/>
      <c r="B189" s="21"/>
      <c r="C189" s="22"/>
      <c r="D189" s="22"/>
      <c r="E189" s="22"/>
      <c r="G189" s="22"/>
      <c r="H189" s="22"/>
      <c r="I189" s="22"/>
      <c r="J189" s="22"/>
      <c r="L189" s="22"/>
      <c r="M189" s="22"/>
      <c r="N189" s="22"/>
      <c r="P189" s="22"/>
      <c r="Q189" s="22"/>
      <c r="R189" s="22"/>
      <c r="S189" s="22"/>
      <c r="U189" s="22"/>
      <c r="V189" s="22"/>
      <c r="W189" s="22"/>
      <c r="Y189" s="22"/>
      <c r="Z189" s="22"/>
      <c r="AA189" s="22"/>
      <c r="AB189" s="22"/>
      <c r="AD189" s="22"/>
      <c r="AE189" s="22"/>
      <c r="AF189" s="22"/>
      <c r="AG189" s="22"/>
      <c r="AH189" s="24"/>
      <c r="AI189" s="24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6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</row>
    <row r="190" spans="1:152" s="23" customFormat="1" ht="14.25" customHeight="1" x14ac:dyDescent="0.2">
      <c r="A190" s="20"/>
      <c r="B190" s="21"/>
      <c r="C190" s="22"/>
      <c r="D190" s="22"/>
      <c r="E190" s="22"/>
      <c r="G190" s="22"/>
      <c r="H190" s="22"/>
      <c r="I190" s="22"/>
      <c r="J190" s="22"/>
      <c r="L190" s="22"/>
      <c r="M190" s="22"/>
      <c r="N190" s="22"/>
      <c r="P190" s="22"/>
      <c r="Q190" s="22"/>
      <c r="R190" s="22"/>
      <c r="S190" s="22"/>
      <c r="U190" s="22"/>
      <c r="V190" s="22"/>
      <c r="W190" s="22"/>
      <c r="Y190" s="22"/>
      <c r="Z190" s="22"/>
      <c r="AA190" s="22"/>
      <c r="AB190" s="22"/>
      <c r="AD190" s="22"/>
      <c r="AE190" s="22"/>
      <c r="AF190" s="22"/>
      <c r="AG190" s="22"/>
      <c r="AH190" s="24"/>
      <c r="AI190" s="24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6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</row>
    <row r="191" spans="1:152" s="23" customFormat="1" ht="14.25" customHeight="1" x14ac:dyDescent="0.2">
      <c r="A191" s="20"/>
      <c r="B191" s="21"/>
      <c r="C191" s="22"/>
      <c r="D191" s="22"/>
      <c r="E191" s="22"/>
      <c r="G191" s="22"/>
      <c r="H191" s="22"/>
      <c r="I191" s="22"/>
      <c r="J191" s="22"/>
      <c r="L191" s="22"/>
      <c r="M191" s="22"/>
      <c r="N191" s="22"/>
      <c r="P191" s="22"/>
      <c r="Q191" s="22"/>
      <c r="R191" s="22"/>
      <c r="S191" s="22"/>
      <c r="U191" s="22"/>
      <c r="V191" s="22"/>
      <c r="W191" s="22"/>
      <c r="Y191" s="22"/>
      <c r="Z191" s="22"/>
      <c r="AA191" s="22"/>
      <c r="AB191" s="22"/>
      <c r="AD191" s="22"/>
      <c r="AE191" s="22"/>
      <c r="AF191" s="22"/>
      <c r="AG191" s="22"/>
      <c r="AH191" s="24"/>
      <c r="AI191" s="24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6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</row>
    <row r="192" spans="1:152" s="23" customFormat="1" ht="14.25" customHeight="1" x14ac:dyDescent="0.2">
      <c r="A192" s="20"/>
      <c r="B192" s="21"/>
      <c r="C192" s="22"/>
      <c r="D192" s="22"/>
      <c r="E192" s="22"/>
      <c r="G192" s="22"/>
      <c r="H192" s="22"/>
      <c r="I192" s="22"/>
      <c r="J192" s="22"/>
      <c r="L192" s="22"/>
      <c r="M192" s="22"/>
      <c r="N192" s="22"/>
      <c r="P192" s="22"/>
      <c r="Q192" s="22"/>
      <c r="R192" s="22"/>
      <c r="S192" s="22"/>
      <c r="U192" s="22"/>
      <c r="V192" s="22"/>
      <c r="W192" s="22"/>
      <c r="Y192" s="22"/>
      <c r="Z192" s="22"/>
      <c r="AA192" s="22"/>
      <c r="AB192" s="22"/>
      <c r="AD192" s="22"/>
      <c r="AE192" s="22"/>
      <c r="AF192" s="22"/>
      <c r="AG192" s="22"/>
      <c r="AH192" s="24"/>
      <c r="AI192" s="24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6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</row>
    <row r="193" spans="1:172" s="23" customFormat="1" ht="14.25" customHeight="1" x14ac:dyDescent="0.2">
      <c r="A193" s="20"/>
      <c r="B193" s="21"/>
      <c r="C193" s="22"/>
      <c r="D193" s="22"/>
      <c r="E193" s="22"/>
      <c r="G193" s="22"/>
      <c r="H193" s="22"/>
      <c r="I193" s="22"/>
      <c r="J193" s="22"/>
      <c r="L193" s="22"/>
      <c r="M193" s="22"/>
      <c r="N193" s="22"/>
      <c r="P193" s="22"/>
      <c r="Q193" s="22"/>
      <c r="R193" s="22"/>
      <c r="S193" s="22"/>
      <c r="U193" s="22"/>
      <c r="V193" s="22"/>
      <c r="W193" s="22"/>
      <c r="Y193" s="22"/>
      <c r="Z193" s="22"/>
      <c r="AA193" s="22"/>
      <c r="AB193" s="22"/>
      <c r="AD193" s="22"/>
      <c r="AE193" s="22"/>
      <c r="AF193" s="22"/>
      <c r="AG193" s="22"/>
      <c r="AH193" s="24"/>
      <c r="AI193" s="24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6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</row>
    <row r="194" spans="1:172" s="23" customFormat="1" ht="14.25" customHeight="1" x14ac:dyDescent="0.2">
      <c r="A194" s="20"/>
      <c r="B194" s="21"/>
      <c r="C194" s="22"/>
      <c r="D194" s="22"/>
      <c r="E194" s="22"/>
      <c r="G194" s="22"/>
      <c r="H194" s="22"/>
      <c r="I194" s="22"/>
      <c r="J194" s="22"/>
      <c r="L194" s="22"/>
      <c r="M194" s="22"/>
      <c r="N194" s="22"/>
      <c r="P194" s="22"/>
      <c r="Q194" s="22"/>
      <c r="R194" s="22"/>
      <c r="S194" s="22"/>
      <c r="U194" s="22"/>
      <c r="V194" s="22"/>
      <c r="W194" s="22"/>
      <c r="Y194" s="22"/>
      <c r="Z194" s="22"/>
      <c r="AA194" s="22"/>
      <c r="AB194" s="22"/>
      <c r="AD194" s="22"/>
      <c r="AE194" s="22"/>
      <c r="AF194" s="22"/>
      <c r="AG194" s="22"/>
      <c r="AH194" s="24"/>
      <c r="AI194" s="24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6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</row>
    <row r="195" spans="1:172" s="23" customFormat="1" ht="14.25" customHeight="1" x14ac:dyDescent="0.2">
      <c r="A195" s="20"/>
      <c r="B195" s="21"/>
      <c r="C195" s="22"/>
      <c r="D195" s="22"/>
      <c r="E195" s="22"/>
      <c r="G195" s="22"/>
      <c r="H195" s="22"/>
      <c r="I195" s="22"/>
      <c r="J195" s="22"/>
      <c r="L195" s="22"/>
      <c r="M195" s="22"/>
      <c r="N195" s="22"/>
      <c r="P195" s="22"/>
      <c r="Q195" s="22"/>
      <c r="R195" s="22"/>
      <c r="S195" s="22"/>
      <c r="U195" s="22"/>
      <c r="V195" s="22"/>
      <c r="W195" s="22"/>
      <c r="Y195" s="22"/>
      <c r="Z195" s="22"/>
      <c r="AA195" s="22"/>
      <c r="AB195" s="22"/>
      <c r="AD195" s="22"/>
      <c r="AE195" s="22"/>
      <c r="AF195" s="22"/>
      <c r="AG195" s="22"/>
      <c r="AH195" s="24"/>
      <c r="AI195" s="24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6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</row>
    <row r="196" spans="1:172" s="23" customFormat="1" ht="14.25" customHeight="1" x14ac:dyDescent="0.2">
      <c r="A196" s="20"/>
      <c r="B196" s="21"/>
      <c r="C196" s="22"/>
      <c r="D196" s="22"/>
      <c r="E196" s="22"/>
      <c r="G196" s="22"/>
      <c r="H196" s="22"/>
      <c r="I196" s="22"/>
      <c r="J196" s="22"/>
      <c r="L196" s="22"/>
      <c r="M196" s="22"/>
      <c r="N196" s="22"/>
      <c r="P196" s="22"/>
      <c r="Q196" s="22"/>
      <c r="R196" s="22"/>
      <c r="S196" s="22"/>
      <c r="U196" s="22"/>
      <c r="V196" s="22"/>
      <c r="W196" s="22"/>
      <c r="Y196" s="22"/>
      <c r="Z196" s="22"/>
      <c r="AA196" s="22"/>
      <c r="AB196" s="22"/>
      <c r="AD196" s="22"/>
      <c r="AE196" s="22"/>
      <c r="AF196" s="22"/>
      <c r="AG196" s="22"/>
      <c r="AH196" s="24"/>
      <c r="AI196" s="24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6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</row>
    <row r="197" spans="1:172" s="23" customFormat="1" ht="14.25" customHeight="1" x14ac:dyDescent="0.2">
      <c r="A197" s="20"/>
      <c r="B197" s="21"/>
      <c r="C197" s="22"/>
      <c r="D197" s="22"/>
      <c r="E197" s="22"/>
      <c r="G197" s="22"/>
      <c r="H197" s="22"/>
      <c r="I197" s="22"/>
      <c r="J197" s="22"/>
      <c r="L197" s="22"/>
      <c r="M197" s="22"/>
      <c r="N197" s="22"/>
      <c r="P197" s="22"/>
      <c r="Q197" s="22"/>
      <c r="R197" s="22"/>
      <c r="S197" s="22"/>
      <c r="U197" s="22"/>
      <c r="V197" s="22"/>
      <c r="W197" s="22"/>
      <c r="Y197" s="22"/>
      <c r="Z197" s="22"/>
      <c r="AA197" s="22"/>
      <c r="AB197" s="22"/>
      <c r="AD197" s="22"/>
      <c r="AE197" s="22"/>
      <c r="AF197" s="22"/>
      <c r="AG197" s="22"/>
      <c r="AH197" s="24"/>
      <c r="AI197" s="24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6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</row>
    <row r="198" spans="1:172" s="23" customFormat="1" ht="14.25" customHeight="1" x14ac:dyDescent="0.2">
      <c r="A198" s="20"/>
      <c r="B198" s="21"/>
      <c r="C198" s="22"/>
      <c r="D198" s="22"/>
      <c r="E198" s="22"/>
      <c r="G198" s="22"/>
      <c r="H198" s="22"/>
      <c r="I198" s="22"/>
      <c r="J198" s="22"/>
      <c r="L198" s="22"/>
      <c r="M198" s="22"/>
      <c r="N198" s="22"/>
      <c r="P198" s="22"/>
      <c r="Q198" s="22"/>
      <c r="R198" s="22"/>
      <c r="S198" s="22"/>
      <c r="U198" s="22"/>
      <c r="V198" s="22"/>
      <c r="W198" s="22"/>
      <c r="Y198" s="22"/>
      <c r="Z198" s="22"/>
      <c r="AA198" s="22"/>
      <c r="AB198" s="22"/>
      <c r="AD198" s="22"/>
      <c r="AE198" s="22"/>
      <c r="AF198" s="22"/>
      <c r="AG198" s="22"/>
      <c r="AH198" s="24"/>
      <c r="AI198" s="24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6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</row>
  </sheetData>
  <mergeCells count="59">
    <mergeCell ref="AT31:AU31"/>
    <mergeCell ref="AV31:AW31"/>
    <mergeCell ref="AJ31:AK31"/>
    <mergeCell ref="AL31:AM31"/>
    <mergeCell ref="AN31:AO31"/>
    <mergeCell ref="AP31:AQ31"/>
    <mergeCell ref="AR31:AS31"/>
    <mergeCell ref="AP29:AQ29"/>
    <mergeCell ref="AR29:AS29"/>
    <mergeCell ref="AT29:AU29"/>
    <mergeCell ref="AV29:AW29"/>
    <mergeCell ref="AJ30:AK30"/>
    <mergeCell ref="AL30:AM30"/>
    <mergeCell ref="AN30:AO30"/>
    <mergeCell ref="AP30:AQ30"/>
    <mergeCell ref="AR30:AS30"/>
    <mergeCell ref="AJ29:AK29"/>
    <mergeCell ref="AL29:AM29"/>
    <mergeCell ref="AN29:AO29"/>
    <mergeCell ref="AT30:AU30"/>
    <mergeCell ref="AV30:AW30"/>
    <mergeCell ref="U27:X27"/>
    <mergeCell ref="AD27:AG27"/>
    <mergeCell ref="AJ1:AK1"/>
    <mergeCell ref="AJ2:AK2"/>
    <mergeCell ref="AH3:AH5"/>
    <mergeCell ref="AI3:AI10"/>
    <mergeCell ref="U25:X25"/>
    <mergeCell ref="Y25:AC25"/>
    <mergeCell ref="AD25:AG25"/>
    <mergeCell ref="Y26:AC26"/>
    <mergeCell ref="AD26:AG26"/>
    <mergeCell ref="A1:AG2"/>
    <mergeCell ref="A3:A5"/>
    <mergeCell ref="B3:B5"/>
    <mergeCell ref="AD3:AG3"/>
    <mergeCell ref="D3:T3"/>
    <mergeCell ref="C26:F26"/>
    <mergeCell ref="G26:K26"/>
    <mergeCell ref="L26:O26"/>
    <mergeCell ref="P26:T26"/>
    <mergeCell ref="U26:X26"/>
    <mergeCell ref="A12:A24"/>
    <mergeCell ref="C25:F25"/>
    <mergeCell ref="G25:K25"/>
    <mergeCell ref="L25:O25"/>
    <mergeCell ref="P25:T25"/>
    <mergeCell ref="J6:J24"/>
    <mergeCell ref="U3:AC3"/>
    <mergeCell ref="U5:X5"/>
    <mergeCell ref="Y5:AC5"/>
    <mergeCell ref="AD5:AG5"/>
    <mergeCell ref="R6:R24"/>
    <mergeCell ref="Z6:Z24"/>
    <mergeCell ref="C5:T5"/>
    <mergeCell ref="U4:X4"/>
    <mergeCell ref="Y4:AC4"/>
    <mergeCell ref="AD4:AG4"/>
    <mergeCell ref="C4:T4"/>
  </mergeCells>
  <pageMargins left="0.7" right="0.7" top="0.78740157499999996" bottom="0.78740157499999996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EF69"/>
  <sheetViews>
    <sheetView topLeftCell="A14" zoomScaleNormal="100" workbookViewId="0">
      <selection activeCell="A48" sqref="A48"/>
    </sheetView>
  </sheetViews>
  <sheetFormatPr baseColWidth="10" defaultColWidth="8.85546875" defaultRowHeight="15" x14ac:dyDescent="0.25"/>
  <cols>
    <col min="1" max="1" width="11.28515625" customWidth="1"/>
    <col min="2" max="2" width="9.140625" customWidth="1"/>
    <col min="3" max="4" width="17" customWidth="1"/>
    <col min="5" max="19" width="4.28515625" customWidth="1"/>
    <col min="20" max="22" width="6.140625" customWidth="1"/>
    <col min="23" max="23" width="6.28515625" hidden="1" customWidth="1"/>
    <col min="24" max="24" width="6.140625" customWidth="1"/>
    <col min="25" max="25" width="6.28515625" hidden="1" customWidth="1"/>
    <col min="26" max="26" width="6" customWidth="1"/>
    <col min="27" max="27" width="6.140625" style="87" hidden="1" customWidth="1"/>
    <col min="28" max="28" width="8.140625" customWidth="1"/>
    <col min="29" max="31" width="6.140625" customWidth="1"/>
    <col min="32" max="32" width="6.28515625" hidden="1" customWidth="1"/>
    <col min="33" max="33" width="6.140625" customWidth="1"/>
    <col min="34" max="34" width="6.140625" hidden="1" customWidth="1"/>
    <col min="35" max="35" width="6" customWidth="1"/>
    <col min="36" max="36" width="6.140625" style="87" hidden="1" customWidth="1"/>
    <col min="37" max="37" width="8.140625" customWidth="1"/>
    <col min="38" max="40" width="6.140625" customWidth="1"/>
    <col min="41" max="41" width="6.28515625" hidden="1" customWidth="1"/>
    <col min="42" max="42" width="6.140625" customWidth="1"/>
    <col min="43" max="43" width="6.140625" hidden="1" customWidth="1"/>
    <col min="44" max="44" width="6" customWidth="1"/>
    <col min="45" max="45" width="6.140625" style="87" hidden="1" customWidth="1"/>
    <col min="46" max="46" width="8.140625" customWidth="1"/>
    <col min="47" max="49" width="6.140625" customWidth="1"/>
    <col min="50" max="50" width="6.140625" hidden="1" customWidth="1"/>
    <col min="51" max="51" width="6.140625" customWidth="1"/>
    <col min="52" max="52" width="6.140625" hidden="1" customWidth="1"/>
    <col min="53" max="53" width="6" customWidth="1"/>
    <col min="54" max="54" width="6.140625" style="87" hidden="1" customWidth="1"/>
    <col min="55" max="55" width="8.140625" customWidth="1"/>
    <col min="56" max="58" width="6.140625" customWidth="1"/>
    <col min="59" max="59" width="6.140625" hidden="1" customWidth="1"/>
    <col min="60" max="60" width="6.140625" customWidth="1"/>
    <col min="61" max="61" width="6.140625" hidden="1" customWidth="1"/>
    <col min="62" max="62" width="6" customWidth="1"/>
    <col min="63" max="63" width="6.140625" style="87" hidden="1" customWidth="1"/>
    <col min="64" max="64" width="8.140625" customWidth="1"/>
    <col min="65" max="67" width="6.140625" customWidth="1"/>
    <col min="68" max="68" width="6.140625" hidden="1" customWidth="1"/>
    <col min="69" max="69" width="6.140625" customWidth="1"/>
    <col min="70" max="70" width="6.140625" hidden="1" customWidth="1"/>
    <col min="71" max="71" width="6" customWidth="1"/>
    <col min="72" max="72" width="6.140625" style="87" hidden="1" customWidth="1"/>
    <col min="73" max="73" width="8.140625" customWidth="1"/>
    <col min="74" max="76" width="6.140625" customWidth="1"/>
    <col min="77" max="77" width="6.140625" hidden="1" customWidth="1"/>
    <col min="78" max="78" width="6.140625" customWidth="1"/>
    <col min="79" max="79" width="6.140625" hidden="1" customWidth="1"/>
    <col min="80" max="80" width="6" customWidth="1"/>
    <col min="81" max="81" width="6.140625" style="87" hidden="1" customWidth="1"/>
    <col min="82" max="82" width="8.140625" customWidth="1"/>
    <col min="83" max="85" width="6.140625" customWidth="1"/>
    <col min="86" max="86" width="6.140625" hidden="1" customWidth="1"/>
    <col min="87" max="87" width="6.140625" customWidth="1"/>
    <col min="88" max="88" width="6.140625" hidden="1" customWidth="1"/>
    <col min="89" max="89" width="6" customWidth="1"/>
    <col min="90" max="90" width="6.140625" style="87" hidden="1" customWidth="1"/>
    <col min="91" max="91" width="8.140625" customWidth="1"/>
    <col min="92" max="94" width="6.140625" customWidth="1"/>
    <col min="95" max="95" width="6.140625" hidden="1" customWidth="1"/>
    <col min="96" max="96" width="6.140625" customWidth="1"/>
    <col min="97" max="97" width="6.140625" hidden="1" customWidth="1"/>
    <col min="98" max="98" width="6" customWidth="1"/>
    <col min="99" max="99" width="6.140625" style="87" hidden="1" customWidth="1"/>
    <col min="100" max="100" width="8.140625" customWidth="1"/>
    <col min="101" max="103" width="6.140625" customWidth="1"/>
    <col min="104" max="104" width="6.140625" hidden="1" customWidth="1"/>
    <col min="105" max="105" width="6.140625" customWidth="1"/>
    <col min="106" max="106" width="6.140625" hidden="1" customWidth="1"/>
    <col min="107" max="107" width="6" customWidth="1"/>
    <col min="108" max="108" width="6.140625" style="87" hidden="1" customWidth="1"/>
    <col min="109" max="109" width="8.140625" customWidth="1"/>
    <col min="110" max="112" width="6.140625" customWidth="1"/>
    <col min="113" max="113" width="6.140625" hidden="1" customWidth="1"/>
    <col min="114" max="114" width="6.140625" customWidth="1"/>
    <col min="115" max="115" width="6.140625" hidden="1" customWidth="1"/>
    <col min="116" max="116" width="6" customWidth="1"/>
    <col min="117" max="117" width="6.140625" style="87" hidden="1" customWidth="1"/>
    <col min="118" max="118" width="8.140625" customWidth="1"/>
    <col min="119" max="121" width="6.140625" customWidth="1"/>
    <col min="122" max="122" width="6.140625" hidden="1" customWidth="1"/>
    <col min="123" max="123" width="6.140625" customWidth="1"/>
    <col min="124" max="124" width="6.140625" hidden="1" customWidth="1"/>
    <col min="125" max="125" width="6" customWidth="1"/>
    <col min="126" max="126" width="6.140625" style="87" hidden="1" customWidth="1"/>
    <col min="127" max="127" width="8.140625" customWidth="1"/>
    <col min="128" max="132" width="6.140625" customWidth="1"/>
    <col min="133" max="133" width="12.140625" customWidth="1"/>
    <col min="134" max="1025" width="11.28515625" customWidth="1"/>
  </cols>
  <sheetData>
    <row r="1" spans="1:136" x14ac:dyDescent="0.25">
      <c r="A1" s="540"/>
      <c r="B1" s="540"/>
      <c r="C1" s="540"/>
      <c r="D1" s="540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/>
      <c r="AI1" s="541"/>
      <c r="AJ1" s="541"/>
      <c r="AK1" s="541"/>
      <c r="AL1" s="541"/>
      <c r="AM1" s="541"/>
      <c r="AN1" s="541"/>
      <c r="AO1" s="541"/>
      <c r="AP1" s="541"/>
      <c r="AQ1" s="541"/>
      <c r="AR1" s="541"/>
      <c r="AS1" s="541"/>
      <c r="AT1" s="541"/>
      <c r="AU1" s="541"/>
      <c r="AV1" s="541"/>
      <c r="AW1" s="541"/>
      <c r="AX1" s="541"/>
      <c r="AY1" s="541"/>
      <c r="AZ1" s="541"/>
      <c r="BA1" s="541"/>
      <c r="BB1" s="541"/>
      <c r="BC1" s="541"/>
      <c r="BD1" s="541"/>
      <c r="BE1" s="541"/>
      <c r="BF1" s="541"/>
      <c r="BG1" s="541"/>
      <c r="BH1" s="541"/>
      <c r="BI1" s="541"/>
      <c r="BJ1" s="541"/>
      <c r="BK1" s="541"/>
      <c r="BL1" s="541"/>
      <c r="BM1" s="541"/>
      <c r="BN1" s="541"/>
      <c r="BO1" s="541"/>
      <c r="BP1" s="541"/>
      <c r="BQ1" s="541"/>
      <c r="BR1" s="541"/>
      <c r="BS1" s="541"/>
      <c r="BT1" s="541"/>
      <c r="BU1" s="541"/>
      <c r="BV1" s="541"/>
      <c r="BW1" s="541"/>
      <c r="BX1" s="541"/>
      <c r="BY1" s="541"/>
      <c r="BZ1" s="541"/>
      <c r="CA1" s="541"/>
      <c r="CB1" s="541"/>
      <c r="CC1" s="541"/>
      <c r="CD1" s="541"/>
      <c r="CE1" s="541"/>
      <c r="CF1" s="541"/>
      <c r="CG1" s="541"/>
      <c r="CH1" s="541"/>
      <c r="CI1" s="541"/>
      <c r="CJ1" s="541"/>
      <c r="CK1" s="541"/>
      <c r="CL1" s="541"/>
      <c r="CM1" s="541"/>
      <c r="CN1" s="541"/>
      <c r="CO1" s="541"/>
      <c r="CP1" s="541"/>
      <c r="CQ1" s="541"/>
      <c r="CR1" s="541"/>
      <c r="CS1" s="541"/>
      <c r="CT1" s="541"/>
      <c r="CU1" s="541"/>
      <c r="CV1" s="541"/>
      <c r="CW1" s="541"/>
      <c r="CX1" s="541"/>
      <c r="CY1" s="541"/>
      <c r="CZ1" s="541"/>
      <c r="DA1" s="541"/>
      <c r="DB1" s="541"/>
      <c r="DC1" s="541"/>
      <c r="DD1" s="541"/>
      <c r="DE1" s="541"/>
      <c r="DF1" s="541"/>
      <c r="DG1" s="541"/>
      <c r="DH1" s="541"/>
      <c r="DI1" s="541"/>
      <c r="DJ1" s="541"/>
      <c r="DK1" s="541"/>
      <c r="DL1" s="541"/>
      <c r="DM1" s="541"/>
      <c r="DN1" s="541"/>
      <c r="DO1" s="541"/>
      <c r="DP1" s="541"/>
      <c r="DQ1" s="541"/>
      <c r="DR1" s="541"/>
      <c r="DS1" s="541"/>
      <c r="DT1" s="541"/>
      <c r="DU1" s="541"/>
      <c r="DV1" s="541"/>
      <c r="DW1" s="541"/>
      <c r="DX1" s="541"/>
      <c r="DY1" s="541"/>
      <c r="DZ1" s="541"/>
      <c r="EA1" s="541"/>
      <c r="EB1" s="541"/>
      <c r="EC1" s="541"/>
      <c r="ED1" s="1"/>
      <c r="EE1" s="1"/>
      <c r="EF1" s="1"/>
    </row>
    <row r="2" spans="1:136" ht="15.75" x14ac:dyDescent="0.25">
      <c r="A2" s="542" t="s">
        <v>282</v>
      </c>
      <c r="B2" s="542"/>
      <c r="C2" s="542"/>
      <c r="D2" s="542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1"/>
      <c r="X2" s="541"/>
      <c r="Y2" s="541"/>
      <c r="Z2" s="541"/>
      <c r="AA2" s="541"/>
      <c r="AB2" s="541"/>
      <c r="AC2" s="541"/>
      <c r="AD2" s="541"/>
      <c r="AE2" s="541"/>
      <c r="AF2" s="541"/>
      <c r="AG2" s="541"/>
      <c r="AH2" s="541"/>
      <c r="AI2" s="541"/>
      <c r="AJ2" s="541"/>
      <c r="AK2" s="541"/>
      <c r="AL2" s="541"/>
      <c r="AM2" s="541"/>
      <c r="AN2" s="541"/>
      <c r="AO2" s="541"/>
      <c r="AP2" s="541"/>
      <c r="AQ2" s="541"/>
      <c r="AR2" s="541"/>
      <c r="AS2" s="541"/>
      <c r="AT2" s="541"/>
      <c r="AU2" s="541"/>
      <c r="AV2" s="541"/>
      <c r="AW2" s="541"/>
      <c r="AX2" s="541"/>
      <c r="AY2" s="541"/>
      <c r="AZ2" s="541"/>
      <c r="BA2" s="541"/>
      <c r="BB2" s="541"/>
      <c r="BC2" s="541"/>
      <c r="BD2" s="541"/>
      <c r="BE2" s="541"/>
      <c r="BF2" s="541"/>
      <c r="BG2" s="541"/>
      <c r="BH2" s="541"/>
      <c r="BI2" s="541"/>
      <c r="BJ2" s="541"/>
      <c r="BK2" s="541"/>
      <c r="BL2" s="541"/>
      <c r="BM2" s="541"/>
      <c r="BN2" s="541"/>
      <c r="BO2" s="541"/>
      <c r="BP2" s="541"/>
      <c r="BQ2" s="541"/>
      <c r="BR2" s="541"/>
      <c r="BS2" s="541"/>
      <c r="BT2" s="541"/>
      <c r="BU2" s="541"/>
      <c r="BV2" s="541"/>
      <c r="BW2" s="541"/>
      <c r="BX2" s="541"/>
      <c r="BY2" s="541"/>
      <c r="BZ2" s="541"/>
      <c r="CA2" s="541"/>
      <c r="CB2" s="541"/>
      <c r="CC2" s="541"/>
      <c r="CD2" s="541"/>
      <c r="CE2" s="541"/>
      <c r="CF2" s="541"/>
      <c r="CG2" s="541"/>
      <c r="CH2" s="541"/>
      <c r="CI2" s="541"/>
      <c r="CJ2" s="541"/>
      <c r="CK2" s="541"/>
      <c r="CL2" s="541"/>
      <c r="CM2" s="541"/>
      <c r="CN2" s="541"/>
      <c r="CO2" s="541"/>
      <c r="CP2" s="541"/>
      <c r="CQ2" s="541"/>
      <c r="CR2" s="541"/>
      <c r="CS2" s="541"/>
      <c r="CT2" s="541"/>
      <c r="CU2" s="541"/>
      <c r="CV2" s="541"/>
      <c r="CW2" s="541"/>
      <c r="CX2" s="541"/>
      <c r="CY2" s="541"/>
      <c r="CZ2" s="541"/>
      <c r="DA2" s="541"/>
      <c r="DB2" s="541"/>
      <c r="DC2" s="541"/>
      <c r="DD2" s="541"/>
      <c r="DE2" s="541"/>
      <c r="DF2" s="541"/>
      <c r="DG2" s="541"/>
      <c r="DH2" s="541"/>
      <c r="DI2" s="541"/>
      <c r="DJ2" s="541"/>
      <c r="DK2" s="541"/>
      <c r="DL2" s="541"/>
      <c r="DM2" s="541"/>
      <c r="DN2" s="541"/>
      <c r="DO2" s="541"/>
      <c r="DP2" s="541"/>
      <c r="DQ2" s="541"/>
      <c r="DR2" s="541"/>
      <c r="DS2" s="541"/>
      <c r="DT2" s="541"/>
      <c r="DU2" s="541"/>
      <c r="DV2" s="541"/>
      <c r="DW2" s="541"/>
      <c r="DX2" s="541"/>
      <c r="DY2" s="541"/>
      <c r="DZ2" s="541"/>
      <c r="EA2" s="541"/>
      <c r="EB2" s="541"/>
      <c r="EC2" s="541"/>
      <c r="ED2" s="1"/>
      <c r="EE2" s="1"/>
      <c r="EF2" s="1"/>
    </row>
    <row r="3" spans="1:136" x14ac:dyDescent="0.25">
      <c r="A3" s="543" t="s">
        <v>283</v>
      </c>
      <c r="B3" s="543"/>
      <c r="C3" s="543"/>
      <c r="D3" s="88">
        <f>SUM(A12:A47)</f>
        <v>29</v>
      </c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1"/>
      <c r="S3" s="541"/>
      <c r="T3" s="541"/>
      <c r="U3" s="541"/>
      <c r="V3" s="541"/>
      <c r="W3" s="541"/>
      <c r="X3" s="541"/>
      <c r="Y3" s="541"/>
      <c r="Z3" s="541"/>
      <c r="AA3" s="541"/>
      <c r="AB3" s="541"/>
      <c r="AC3" s="541"/>
      <c r="AD3" s="541"/>
      <c r="AE3" s="541"/>
      <c r="AF3" s="541"/>
      <c r="AG3" s="541"/>
      <c r="AH3" s="541"/>
      <c r="AI3" s="541"/>
      <c r="AJ3" s="541"/>
      <c r="AK3" s="541"/>
      <c r="AL3" s="541"/>
      <c r="AM3" s="541"/>
      <c r="AN3" s="541"/>
      <c r="AO3" s="541"/>
      <c r="AP3" s="541"/>
      <c r="AQ3" s="541"/>
      <c r="AR3" s="541"/>
      <c r="AS3" s="541"/>
      <c r="AT3" s="541"/>
      <c r="AU3" s="541"/>
      <c r="AV3" s="541"/>
      <c r="AW3" s="541"/>
      <c r="AX3" s="541"/>
      <c r="AY3" s="541"/>
      <c r="AZ3" s="541"/>
      <c r="BA3" s="541"/>
      <c r="BB3" s="541"/>
      <c r="BC3" s="541"/>
      <c r="BD3" s="541"/>
      <c r="BE3" s="541"/>
      <c r="BF3" s="541"/>
      <c r="BG3" s="541"/>
      <c r="BH3" s="541"/>
      <c r="BI3" s="541"/>
      <c r="BJ3" s="541"/>
      <c r="BK3" s="541"/>
      <c r="BL3" s="541"/>
      <c r="BM3" s="541"/>
      <c r="BN3" s="541"/>
      <c r="BO3" s="541"/>
      <c r="BP3" s="541"/>
      <c r="BQ3" s="541"/>
      <c r="BR3" s="541"/>
      <c r="BS3" s="541"/>
      <c r="BT3" s="541"/>
      <c r="BU3" s="541"/>
      <c r="BV3" s="541"/>
      <c r="BW3" s="541"/>
      <c r="BX3" s="541"/>
      <c r="BY3" s="541"/>
      <c r="BZ3" s="541"/>
      <c r="CA3" s="541"/>
      <c r="CB3" s="541"/>
      <c r="CC3" s="541"/>
      <c r="CD3" s="541"/>
      <c r="CE3" s="541"/>
      <c r="CF3" s="541"/>
      <c r="CG3" s="541"/>
      <c r="CH3" s="541"/>
      <c r="CI3" s="541"/>
      <c r="CJ3" s="541"/>
      <c r="CK3" s="541"/>
      <c r="CL3" s="541"/>
      <c r="CM3" s="541"/>
      <c r="CN3" s="541"/>
      <c r="CO3" s="541"/>
      <c r="CP3" s="541"/>
      <c r="CQ3" s="541"/>
      <c r="CR3" s="541"/>
      <c r="CS3" s="541"/>
      <c r="CT3" s="541"/>
      <c r="CU3" s="541"/>
      <c r="CV3" s="541"/>
      <c r="CW3" s="541"/>
      <c r="CX3" s="541"/>
      <c r="CY3" s="541"/>
      <c r="CZ3" s="541"/>
      <c r="DA3" s="541"/>
      <c r="DB3" s="541"/>
      <c r="DC3" s="541"/>
      <c r="DD3" s="541"/>
      <c r="DE3" s="541"/>
      <c r="DF3" s="541"/>
      <c r="DG3" s="541"/>
      <c r="DH3" s="541"/>
      <c r="DI3" s="541"/>
      <c r="DJ3" s="541"/>
      <c r="DK3" s="541"/>
      <c r="DL3" s="541"/>
      <c r="DM3" s="541"/>
      <c r="DN3" s="541"/>
      <c r="DO3" s="541"/>
      <c r="DP3" s="541"/>
      <c r="DQ3" s="541"/>
      <c r="DR3" s="541"/>
      <c r="DS3" s="541"/>
      <c r="DT3" s="541"/>
      <c r="DU3" s="541"/>
      <c r="DV3" s="541"/>
      <c r="DW3" s="541"/>
      <c r="DX3" s="541"/>
      <c r="DY3" s="541"/>
      <c r="DZ3" s="541"/>
      <c r="EA3" s="541"/>
      <c r="EB3" s="541"/>
      <c r="EC3" s="541"/>
      <c r="ED3" s="1"/>
      <c r="EE3" s="1"/>
      <c r="EF3" s="1"/>
    </row>
    <row r="4" spans="1:136" ht="15.75" x14ac:dyDescent="0.25">
      <c r="A4" s="544" t="s">
        <v>0</v>
      </c>
      <c r="B4" s="544"/>
      <c r="C4" s="544"/>
      <c r="D4" s="544"/>
      <c r="E4" s="545" t="e">
        <f>#REF!</f>
        <v>#REF!</v>
      </c>
      <c r="F4" s="545"/>
      <c r="G4" s="545"/>
      <c r="H4" s="545"/>
      <c r="I4" s="545"/>
      <c r="J4" s="545"/>
      <c r="K4" s="545"/>
      <c r="L4" s="89"/>
      <c r="M4" s="89"/>
      <c r="N4" s="89"/>
      <c r="O4" s="89"/>
      <c r="P4" s="89"/>
      <c r="Q4" s="89"/>
      <c r="R4" s="89"/>
      <c r="S4" s="90"/>
      <c r="T4" s="91"/>
      <c r="U4" s="91"/>
      <c r="V4" s="91"/>
      <c r="W4" s="91"/>
      <c r="X4" s="91"/>
      <c r="Y4" s="91"/>
      <c r="Z4" s="91"/>
      <c r="AA4" s="92"/>
      <c r="AB4" s="91"/>
      <c r="AC4" s="91"/>
      <c r="AD4" s="91"/>
      <c r="AE4" s="91"/>
      <c r="AF4" s="91"/>
      <c r="AG4" s="91"/>
      <c r="AH4" s="91"/>
      <c r="AI4" s="91"/>
      <c r="AJ4" s="92"/>
      <c r="AK4" s="91"/>
      <c r="AL4" s="91"/>
      <c r="AM4" s="91"/>
      <c r="AN4" s="91"/>
      <c r="AO4" s="91"/>
      <c r="AP4" s="91"/>
      <c r="AQ4" s="91"/>
      <c r="AR4" s="91"/>
      <c r="AS4" s="92"/>
      <c r="AT4" s="91"/>
      <c r="AU4" s="91"/>
      <c r="AV4" s="91"/>
      <c r="AW4" s="91"/>
      <c r="AX4" s="91"/>
      <c r="AY4" s="91"/>
      <c r="AZ4" s="91"/>
      <c r="BA4" s="91"/>
      <c r="BB4" s="92"/>
      <c r="BC4" s="91"/>
      <c r="BD4" s="91"/>
      <c r="BE4" s="91"/>
      <c r="BF4" s="91"/>
      <c r="BG4" s="91"/>
      <c r="BH4" s="91"/>
      <c r="BI4" s="91"/>
      <c r="BJ4" s="91"/>
      <c r="BK4" s="92"/>
      <c r="BL4" s="91"/>
      <c r="BM4" s="91"/>
      <c r="BN4" s="91"/>
      <c r="BO4" s="91"/>
      <c r="BP4" s="91"/>
      <c r="BQ4" s="91"/>
      <c r="BR4" s="91"/>
      <c r="BS4" s="91"/>
      <c r="BT4" s="92"/>
      <c r="BU4" s="91"/>
      <c r="BV4" s="91"/>
      <c r="BW4" s="91"/>
      <c r="BX4" s="91"/>
      <c r="BY4" s="91"/>
      <c r="BZ4" s="91"/>
      <c r="CA4" s="91"/>
      <c r="CB4" s="91"/>
      <c r="CC4" s="92"/>
      <c r="CD4" s="91"/>
      <c r="CE4" s="91"/>
      <c r="CF4" s="91"/>
      <c r="CG4" s="91"/>
      <c r="CH4" s="91"/>
      <c r="CI4" s="91"/>
      <c r="CJ4" s="91"/>
      <c r="CK4" s="91"/>
      <c r="CL4" s="92"/>
      <c r="CM4" s="91"/>
      <c r="CN4" s="91"/>
      <c r="CO4" s="91"/>
      <c r="CP4" s="91"/>
      <c r="CQ4" s="91"/>
      <c r="CR4" s="91"/>
      <c r="CS4" s="91"/>
      <c r="CT4" s="91"/>
      <c r="CU4" s="92"/>
      <c r="CV4" s="91"/>
      <c r="CW4" s="91"/>
      <c r="CX4" s="91"/>
      <c r="CY4" s="91"/>
      <c r="CZ4" s="91"/>
      <c r="DA4" s="91"/>
      <c r="DB4" s="91"/>
      <c r="DC4" s="91"/>
      <c r="DD4" s="92"/>
      <c r="DE4" s="91"/>
      <c r="DF4" s="91"/>
      <c r="DG4" s="91"/>
      <c r="DH4" s="91"/>
      <c r="DI4" s="91"/>
      <c r="DJ4" s="91"/>
      <c r="DK4" s="91"/>
      <c r="DL4" s="91"/>
      <c r="DM4" s="92"/>
      <c r="DN4" s="91"/>
      <c r="DO4" s="91"/>
      <c r="DP4" s="91"/>
      <c r="DQ4" s="91"/>
      <c r="DR4" s="91"/>
      <c r="DS4" s="91"/>
      <c r="DT4" s="91"/>
      <c r="DU4" s="91"/>
      <c r="DV4" s="92"/>
      <c r="DW4" s="91"/>
      <c r="DX4" s="93"/>
      <c r="DY4" s="93"/>
      <c r="DZ4" s="93"/>
      <c r="EA4" s="93"/>
      <c r="EB4" s="93"/>
      <c r="EC4" s="93"/>
      <c r="ED4" s="1"/>
      <c r="EE4" s="1"/>
      <c r="EF4" s="1"/>
    </row>
    <row r="5" spans="1:136" ht="15.75" x14ac:dyDescent="0.25">
      <c r="A5" s="544" t="s">
        <v>284</v>
      </c>
      <c r="B5" s="544"/>
      <c r="C5" s="544"/>
      <c r="D5" s="544"/>
      <c r="E5" s="546"/>
      <c r="F5" s="546"/>
      <c r="G5" s="546"/>
      <c r="H5" s="546"/>
      <c r="I5" s="546"/>
      <c r="J5" s="546"/>
      <c r="K5" s="546"/>
      <c r="L5" s="546"/>
      <c r="M5" s="546"/>
      <c r="N5" s="546"/>
      <c r="O5" s="546"/>
      <c r="P5" s="546"/>
      <c r="Q5" s="546"/>
      <c r="R5" s="546"/>
      <c r="S5" s="546"/>
      <c r="T5" s="94">
        <f>T48</f>
        <v>160.22999999999999</v>
      </c>
      <c r="U5" s="94">
        <f>U48</f>
        <v>8.4</v>
      </c>
      <c r="V5" s="94">
        <f>V48</f>
        <v>5</v>
      </c>
      <c r="W5" s="94"/>
      <c r="X5" s="94">
        <f>X48</f>
        <v>1</v>
      </c>
      <c r="Y5" s="94"/>
      <c r="Z5" s="94">
        <f>Z48</f>
        <v>0</v>
      </c>
      <c r="AA5" s="94"/>
      <c r="AB5" s="94">
        <f>AB48</f>
        <v>219.03</v>
      </c>
      <c r="AC5" s="94">
        <f>AC48</f>
        <v>0</v>
      </c>
      <c r="AD5" s="94">
        <f>AD48</f>
        <v>0</v>
      </c>
      <c r="AE5" s="94">
        <f>AE48</f>
        <v>0</v>
      </c>
      <c r="AF5" s="94"/>
      <c r="AG5" s="94">
        <f>AG48</f>
        <v>0</v>
      </c>
      <c r="AH5" s="94"/>
      <c r="AI5" s="94">
        <f>AI48</f>
        <v>0</v>
      </c>
      <c r="AJ5" s="94"/>
      <c r="AK5" s="94">
        <f>AK48</f>
        <v>219.03</v>
      </c>
      <c r="AL5" s="94">
        <f>AL48</f>
        <v>0</v>
      </c>
      <c r="AM5" s="94">
        <f>AM48</f>
        <v>0</v>
      </c>
      <c r="AN5" s="94">
        <f>AN48</f>
        <v>0</v>
      </c>
      <c r="AO5" s="94"/>
      <c r="AP5" s="94">
        <f>AP48</f>
        <v>0</v>
      </c>
      <c r="AQ5" s="94"/>
      <c r="AR5" s="94">
        <f>AR48</f>
        <v>0</v>
      </c>
      <c r="AS5" s="94"/>
      <c r="AT5" s="94">
        <f>AT48</f>
        <v>219.03</v>
      </c>
      <c r="AU5" s="94">
        <f>AU48</f>
        <v>0</v>
      </c>
      <c r="AV5" s="94">
        <f>AV48</f>
        <v>0</v>
      </c>
      <c r="AW5" s="94">
        <f>AW48</f>
        <v>0</v>
      </c>
      <c r="AX5" s="94"/>
      <c r="AY5" s="94">
        <f>AY48</f>
        <v>0</v>
      </c>
      <c r="AZ5" s="94"/>
      <c r="BA5" s="94">
        <f>BA48</f>
        <v>0</v>
      </c>
      <c r="BB5" s="94"/>
      <c r="BC5" s="94">
        <f>BC48</f>
        <v>219.03</v>
      </c>
      <c r="BD5" s="94">
        <f>BD48</f>
        <v>0</v>
      </c>
      <c r="BE5" s="94">
        <f>BE48</f>
        <v>0</v>
      </c>
      <c r="BF5" s="94">
        <f>BF48</f>
        <v>0</v>
      </c>
      <c r="BG5" s="94"/>
      <c r="BH5" s="94">
        <f>BH48</f>
        <v>0</v>
      </c>
      <c r="BI5" s="94"/>
      <c r="BJ5" s="94">
        <f>BJ48</f>
        <v>0</v>
      </c>
      <c r="BK5" s="94"/>
      <c r="BL5" s="94">
        <f>BL48</f>
        <v>219.03</v>
      </c>
      <c r="BM5" s="94">
        <f>BM48</f>
        <v>0</v>
      </c>
      <c r="BN5" s="94">
        <f>BN48</f>
        <v>0</v>
      </c>
      <c r="BO5" s="94">
        <f>BO48</f>
        <v>0</v>
      </c>
      <c r="BP5" s="94"/>
      <c r="BQ5" s="94">
        <f>BQ48</f>
        <v>0</v>
      </c>
      <c r="BR5" s="94"/>
      <c r="BS5" s="94">
        <f>BS48</f>
        <v>0</v>
      </c>
      <c r="BT5" s="94"/>
      <c r="BU5" s="94">
        <f>BU48</f>
        <v>219.03</v>
      </c>
      <c r="BV5" s="94">
        <f>BV48</f>
        <v>0</v>
      </c>
      <c r="BW5" s="94">
        <f>BW48</f>
        <v>0</v>
      </c>
      <c r="BX5" s="94">
        <f>BX48</f>
        <v>0</v>
      </c>
      <c r="BY5" s="94"/>
      <c r="BZ5" s="94">
        <f>BZ48</f>
        <v>0</v>
      </c>
      <c r="CA5" s="94"/>
      <c r="CB5" s="94">
        <f>CB48</f>
        <v>0</v>
      </c>
      <c r="CC5" s="94"/>
      <c r="CD5" s="94">
        <f>CD48</f>
        <v>219.03</v>
      </c>
      <c r="CE5" s="94">
        <f>CE48</f>
        <v>0</v>
      </c>
      <c r="CF5" s="94">
        <f>CF48</f>
        <v>0</v>
      </c>
      <c r="CG5" s="94">
        <f>CG48</f>
        <v>0</v>
      </c>
      <c r="CH5" s="94"/>
      <c r="CI5" s="94">
        <f>CI48</f>
        <v>0</v>
      </c>
      <c r="CJ5" s="94"/>
      <c r="CK5" s="94">
        <f>CK48</f>
        <v>0</v>
      </c>
      <c r="CL5" s="94"/>
      <c r="CM5" s="94">
        <f>CM48</f>
        <v>379.26</v>
      </c>
      <c r="CN5" s="94">
        <f>CN48</f>
        <v>0</v>
      </c>
      <c r="CO5" s="94">
        <f>CO48</f>
        <v>0</v>
      </c>
      <c r="CP5" s="94">
        <f>CP48</f>
        <v>0</v>
      </c>
      <c r="CQ5" s="94"/>
      <c r="CR5" s="94">
        <f>CR48</f>
        <v>0</v>
      </c>
      <c r="CS5" s="94"/>
      <c r="CT5" s="94">
        <f>CT48</f>
        <v>0</v>
      </c>
      <c r="CU5" s="94"/>
      <c r="CV5" s="94">
        <f>CV48</f>
        <v>379.26</v>
      </c>
      <c r="CW5" s="94">
        <f>CW48</f>
        <v>0</v>
      </c>
      <c r="CX5" s="94">
        <f>CX48</f>
        <v>0</v>
      </c>
      <c r="CY5" s="94">
        <f>CY48</f>
        <v>0</v>
      </c>
      <c r="CZ5" s="94"/>
      <c r="DA5" s="94">
        <f>DA48</f>
        <v>0</v>
      </c>
      <c r="DB5" s="94"/>
      <c r="DC5" s="94">
        <f>DC48</f>
        <v>0</v>
      </c>
      <c r="DD5" s="94"/>
      <c r="DE5" s="94">
        <f>DE48</f>
        <v>379.26</v>
      </c>
      <c r="DF5" s="94">
        <f>DF48</f>
        <v>0</v>
      </c>
      <c r="DG5" s="94">
        <f>DG48</f>
        <v>0</v>
      </c>
      <c r="DH5" s="94">
        <f>DH48</f>
        <v>0</v>
      </c>
      <c r="DI5" s="94"/>
      <c r="DJ5" s="94">
        <f>DJ48</f>
        <v>0</v>
      </c>
      <c r="DK5" s="94"/>
      <c r="DL5" s="94">
        <f>DL48</f>
        <v>0</v>
      </c>
      <c r="DM5" s="94"/>
      <c r="DN5" s="94">
        <f>DN48</f>
        <v>379.26</v>
      </c>
      <c r="DO5" s="94">
        <f>DO48</f>
        <v>0</v>
      </c>
      <c r="DP5" s="94">
        <f>DP48</f>
        <v>0</v>
      </c>
      <c r="DQ5" s="94">
        <f>DQ48</f>
        <v>0</v>
      </c>
      <c r="DR5" s="94"/>
      <c r="DS5" s="94">
        <f>DS48</f>
        <v>0</v>
      </c>
      <c r="DT5" s="94"/>
      <c r="DU5" s="94">
        <f>DU48</f>
        <v>0</v>
      </c>
      <c r="DV5" s="94"/>
      <c r="DW5" s="94">
        <f>DW48</f>
        <v>379.26</v>
      </c>
      <c r="DX5" s="93"/>
      <c r="DY5" s="93"/>
      <c r="DZ5" s="93"/>
      <c r="EA5" s="93"/>
      <c r="EB5" s="93"/>
      <c r="EC5" s="93"/>
      <c r="ED5" s="1"/>
      <c r="EE5" s="1"/>
      <c r="EF5" s="1"/>
    </row>
    <row r="6" spans="1:136" ht="15.75" x14ac:dyDescent="0.25">
      <c r="A6" s="547"/>
      <c r="B6" s="547"/>
      <c r="C6" s="547"/>
      <c r="D6" s="547"/>
      <c r="E6" s="95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8"/>
      <c r="U6" s="98"/>
      <c r="V6" s="98"/>
      <c r="W6" s="98"/>
      <c r="X6" s="98"/>
      <c r="Y6" s="98"/>
      <c r="Z6" s="98"/>
      <c r="AA6" s="99"/>
      <c r="AB6" s="98"/>
      <c r="AC6" s="98"/>
      <c r="AD6" s="98"/>
      <c r="AE6" s="98"/>
      <c r="AF6" s="98"/>
      <c r="AG6" s="98"/>
      <c r="AH6" s="98"/>
      <c r="AI6" s="98"/>
      <c r="AJ6" s="99"/>
      <c r="AK6" s="98"/>
      <c r="AL6" s="98"/>
      <c r="AM6" s="98"/>
      <c r="AN6" s="98"/>
      <c r="AO6" s="98"/>
      <c r="AP6" s="98"/>
      <c r="AQ6" s="98"/>
      <c r="AR6" s="98"/>
      <c r="AS6" s="99"/>
      <c r="AT6" s="98"/>
      <c r="AU6" s="98"/>
      <c r="AV6" s="98"/>
      <c r="AW6" s="98"/>
      <c r="AX6" s="98"/>
      <c r="AY6" s="98"/>
      <c r="AZ6" s="98"/>
      <c r="BA6" s="98"/>
      <c r="BB6" s="99"/>
      <c r="BC6" s="98"/>
      <c r="BD6" s="98"/>
      <c r="BE6" s="98"/>
      <c r="BF6" s="98"/>
      <c r="BG6" s="98"/>
      <c r="BH6" s="98"/>
      <c r="BI6" s="98"/>
      <c r="BJ6" s="98"/>
      <c r="BK6" s="99"/>
      <c r="BL6" s="98"/>
      <c r="BM6" s="98"/>
      <c r="BN6" s="98"/>
      <c r="BO6" s="98"/>
      <c r="BP6" s="98"/>
      <c r="BQ6" s="98"/>
      <c r="BR6" s="98"/>
      <c r="BS6" s="98"/>
      <c r="BT6" s="99"/>
      <c r="BU6" s="98"/>
      <c r="BV6" s="98"/>
      <c r="BW6" s="98"/>
      <c r="BX6" s="98"/>
      <c r="BY6" s="98"/>
      <c r="BZ6" s="98"/>
      <c r="CA6" s="98"/>
      <c r="CB6" s="98"/>
      <c r="CC6" s="99"/>
      <c r="CD6" s="98"/>
      <c r="CE6" s="98"/>
      <c r="CF6" s="98"/>
      <c r="CG6" s="98"/>
      <c r="CH6" s="98"/>
      <c r="CI6" s="98"/>
      <c r="CJ6" s="98"/>
      <c r="CK6" s="98"/>
      <c r="CL6" s="99"/>
      <c r="CM6" s="98"/>
      <c r="CN6" s="98"/>
      <c r="CO6" s="98"/>
      <c r="CP6" s="98"/>
      <c r="CQ6" s="98"/>
      <c r="CR6" s="98"/>
      <c r="CS6" s="98"/>
      <c r="CT6" s="98"/>
      <c r="CU6" s="99"/>
      <c r="CV6" s="98"/>
      <c r="CW6" s="98"/>
      <c r="CX6" s="98"/>
      <c r="CY6" s="98"/>
      <c r="CZ6" s="98"/>
      <c r="DA6" s="98"/>
      <c r="DB6" s="98"/>
      <c r="DC6" s="98"/>
      <c r="DD6" s="99"/>
      <c r="DE6" s="98"/>
      <c r="DF6" s="98"/>
      <c r="DG6" s="98"/>
      <c r="DH6" s="98"/>
      <c r="DI6" s="98"/>
      <c r="DJ6" s="98"/>
      <c r="DK6" s="98"/>
      <c r="DL6" s="98"/>
      <c r="DM6" s="99"/>
      <c r="DN6" s="98"/>
      <c r="DO6" s="98"/>
      <c r="DP6" s="98"/>
      <c r="DQ6" s="98"/>
      <c r="DR6" s="98"/>
      <c r="DS6" s="98"/>
      <c r="DT6" s="98"/>
      <c r="DU6" s="98"/>
      <c r="DV6" s="99"/>
      <c r="DW6" s="98"/>
      <c r="DX6" s="100"/>
      <c r="DY6" s="100"/>
      <c r="DZ6" s="100"/>
      <c r="EA6" s="100"/>
      <c r="EB6" s="100"/>
      <c r="EC6" s="100"/>
      <c r="ED6" s="1"/>
      <c r="EE6" s="1"/>
      <c r="EF6" s="1"/>
    </row>
    <row r="7" spans="1:136" ht="12.75" customHeight="1" x14ac:dyDescent="0.25">
      <c r="A7" s="548"/>
      <c r="B7" s="548"/>
      <c r="C7" s="548"/>
      <c r="D7" s="548"/>
      <c r="E7" s="549" t="s">
        <v>285</v>
      </c>
      <c r="F7" s="549"/>
      <c r="G7" s="549"/>
      <c r="H7" s="549"/>
      <c r="I7" s="549"/>
      <c r="J7" s="549"/>
      <c r="K7" s="549"/>
      <c r="L7" s="549"/>
      <c r="M7" s="549"/>
      <c r="N7" s="549"/>
      <c r="O7" s="549"/>
      <c r="P7" s="549"/>
      <c r="Q7" s="101"/>
      <c r="R7" s="101"/>
      <c r="S7" s="101"/>
      <c r="T7" s="100"/>
      <c r="U7" s="100"/>
      <c r="V7" s="100"/>
      <c r="W7" s="100"/>
      <c r="X7" s="100"/>
      <c r="Y7" s="100"/>
      <c r="Z7" s="100"/>
      <c r="AA7" s="102"/>
      <c r="AB7" s="100"/>
      <c r="AC7" s="100"/>
      <c r="AD7" s="100"/>
      <c r="AE7" s="100"/>
      <c r="AF7" s="100"/>
      <c r="AG7" s="100"/>
      <c r="AH7" s="100"/>
      <c r="AI7" s="100"/>
      <c r="AJ7" s="102"/>
      <c r="AK7" s="100"/>
      <c r="AL7" s="100"/>
      <c r="AM7" s="100"/>
      <c r="AN7" s="100"/>
      <c r="AO7" s="100"/>
      <c r="AP7" s="100"/>
      <c r="AQ7" s="100"/>
      <c r="AR7" s="100"/>
      <c r="AS7" s="102"/>
      <c r="AT7" s="100"/>
      <c r="AU7" s="100"/>
      <c r="AV7" s="100"/>
      <c r="AW7" s="100"/>
      <c r="AX7" s="100"/>
      <c r="AY7" s="100"/>
      <c r="AZ7" s="100"/>
      <c r="BA7" s="100"/>
      <c r="BB7" s="102"/>
      <c r="BC7" s="100"/>
      <c r="BD7" s="100"/>
      <c r="BE7" s="100"/>
      <c r="BF7" s="100"/>
      <c r="BG7" s="100"/>
      <c r="BH7" s="100"/>
      <c r="BI7" s="100"/>
      <c r="BJ7" s="100"/>
      <c r="BK7" s="102"/>
      <c r="BL7" s="100"/>
      <c r="BM7" s="100"/>
      <c r="BN7" s="100"/>
      <c r="BO7" s="100"/>
      <c r="BP7" s="100"/>
      <c r="BQ7" s="100"/>
      <c r="BR7" s="100"/>
      <c r="BS7" s="100"/>
      <c r="BT7" s="102"/>
      <c r="BU7" s="100"/>
      <c r="BV7" s="100"/>
      <c r="BW7" s="100"/>
      <c r="BX7" s="100"/>
      <c r="BY7" s="100"/>
      <c r="BZ7" s="100"/>
      <c r="CA7" s="100"/>
      <c r="CB7" s="100"/>
      <c r="CC7" s="102"/>
      <c r="CD7" s="100"/>
      <c r="CE7" s="100"/>
      <c r="CF7" s="100"/>
      <c r="CG7" s="100"/>
      <c r="CH7" s="100"/>
      <c r="CI7" s="100"/>
      <c r="CJ7" s="100"/>
      <c r="CK7" s="100"/>
      <c r="CL7" s="102"/>
      <c r="CM7" s="100"/>
      <c r="CN7" s="100"/>
      <c r="CO7" s="100"/>
      <c r="CP7" s="100"/>
      <c r="CQ7" s="100"/>
      <c r="CR7" s="100"/>
      <c r="CS7" s="100"/>
      <c r="CT7" s="100"/>
      <c r="CU7" s="102"/>
      <c r="CV7" s="100"/>
      <c r="CW7" s="100"/>
      <c r="CX7" s="100"/>
      <c r="CY7" s="100"/>
      <c r="CZ7" s="100"/>
      <c r="DA7" s="100"/>
      <c r="DB7" s="100"/>
      <c r="DC7" s="100"/>
      <c r="DD7" s="102"/>
      <c r="DE7" s="100"/>
      <c r="DF7" s="100"/>
      <c r="DG7" s="100"/>
      <c r="DH7" s="100"/>
      <c r="DI7" s="100"/>
      <c r="DJ7" s="100"/>
      <c r="DK7" s="100"/>
      <c r="DL7" s="100"/>
      <c r="DM7" s="102"/>
      <c r="DN7" s="100"/>
      <c r="DO7" s="100"/>
      <c r="DP7" s="100"/>
      <c r="DQ7" s="100"/>
      <c r="DR7" s="100"/>
      <c r="DS7" s="100"/>
      <c r="DT7" s="100"/>
      <c r="DU7" s="100"/>
      <c r="DV7" s="102"/>
      <c r="DW7" s="100"/>
      <c r="DX7" s="100"/>
      <c r="DY7" s="100"/>
      <c r="DZ7" s="100"/>
      <c r="EA7" s="100"/>
      <c r="EB7" s="100"/>
      <c r="EC7" s="100"/>
      <c r="ED7" s="1"/>
      <c r="EE7" s="1"/>
      <c r="EF7" s="1"/>
    </row>
    <row r="8" spans="1:136" ht="24.75" customHeight="1" x14ac:dyDescent="0.25">
      <c r="A8" s="550"/>
      <c r="B8" s="550"/>
      <c r="C8" s="550"/>
      <c r="D8" s="550"/>
      <c r="E8" s="551">
        <v>40544</v>
      </c>
      <c r="F8" s="551">
        <v>40575</v>
      </c>
      <c r="G8" s="552">
        <v>40603</v>
      </c>
      <c r="H8" s="552">
        <v>40634</v>
      </c>
      <c r="I8" s="552">
        <v>40664</v>
      </c>
      <c r="J8" s="552">
        <v>40695</v>
      </c>
      <c r="K8" s="552">
        <v>40725</v>
      </c>
      <c r="L8" s="552">
        <v>40756</v>
      </c>
      <c r="M8" s="552">
        <v>40787</v>
      </c>
      <c r="N8" s="552">
        <v>40817</v>
      </c>
      <c r="O8" s="552">
        <v>40848</v>
      </c>
      <c r="P8" s="552">
        <v>40878</v>
      </c>
      <c r="Q8" s="553" t="s">
        <v>286</v>
      </c>
      <c r="R8" s="553" t="s">
        <v>287</v>
      </c>
      <c r="S8" s="554" t="s">
        <v>288</v>
      </c>
      <c r="T8" s="555" t="s">
        <v>289</v>
      </c>
      <c r="U8" s="556" t="s">
        <v>290</v>
      </c>
      <c r="V8" s="556" t="s">
        <v>291</v>
      </c>
      <c r="W8" s="103"/>
      <c r="X8" s="556" t="s">
        <v>292</v>
      </c>
      <c r="Y8" s="103"/>
      <c r="Z8" s="557" t="s">
        <v>293</v>
      </c>
      <c r="AA8" s="104"/>
      <c r="AB8" s="558" t="s">
        <v>294</v>
      </c>
      <c r="AC8" s="555" t="s">
        <v>295</v>
      </c>
      <c r="AD8" s="556" t="s">
        <v>290</v>
      </c>
      <c r="AE8" s="556" t="s">
        <v>291</v>
      </c>
      <c r="AF8" s="103"/>
      <c r="AG8" s="556" t="s">
        <v>292</v>
      </c>
      <c r="AH8" s="103"/>
      <c r="AI8" s="557" t="s">
        <v>293</v>
      </c>
      <c r="AJ8" s="104"/>
      <c r="AK8" s="558" t="s">
        <v>296</v>
      </c>
      <c r="AL8" s="555" t="s">
        <v>297</v>
      </c>
      <c r="AM8" s="556" t="s">
        <v>290</v>
      </c>
      <c r="AN8" s="556" t="s">
        <v>291</v>
      </c>
      <c r="AO8" s="103"/>
      <c r="AP8" s="556" t="s">
        <v>292</v>
      </c>
      <c r="AQ8" s="103"/>
      <c r="AR8" s="557" t="s">
        <v>293</v>
      </c>
      <c r="AS8" s="104"/>
      <c r="AT8" s="558" t="s">
        <v>298</v>
      </c>
      <c r="AU8" s="555" t="s">
        <v>299</v>
      </c>
      <c r="AV8" s="556" t="s">
        <v>290</v>
      </c>
      <c r="AW8" s="556" t="s">
        <v>291</v>
      </c>
      <c r="AX8" s="103"/>
      <c r="AY8" s="556" t="s">
        <v>292</v>
      </c>
      <c r="AZ8" s="103"/>
      <c r="BA8" s="557" t="s">
        <v>293</v>
      </c>
      <c r="BB8" s="104"/>
      <c r="BC8" s="558" t="s">
        <v>300</v>
      </c>
      <c r="BD8" s="555" t="s">
        <v>301</v>
      </c>
      <c r="BE8" s="556" t="s">
        <v>290</v>
      </c>
      <c r="BF8" s="556" t="s">
        <v>291</v>
      </c>
      <c r="BG8" s="103"/>
      <c r="BH8" s="556" t="s">
        <v>292</v>
      </c>
      <c r="BI8" s="103"/>
      <c r="BJ8" s="557" t="s">
        <v>293</v>
      </c>
      <c r="BK8" s="104"/>
      <c r="BL8" s="558" t="s">
        <v>302</v>
      </c>
      <c r="BM8" s="555" t="s">
        <v>303</v>
      </c>
      <c r="BN8" s="556" t="s">
        <v>290</v>
      </c>
      <c r="BO8" s="556" t="s">
        <v>291</v>
      </c>
      <c r="BP8" s="103"/>
      <c r="BQ8" s="556" t="s">
        <v>292</v>
      </c>
      <c r="BR8" s="103"/>
      <c r="BS8" s="557" t="s">
        <v>293</v>
      </c>
      <c r="BT8" s="104"/>
      <c r="BU8" s="558" t="s">
        <v>304</v>
      </c>
      <c r="BV8" s="555" t="s">
        <v>305</v>
      </c>
      <c r="BW8" s="556" t="s">
        <v>290</v>
      </c>
      <c r="BX8" s="556" t="s">
        <v>291</v>
      </c>
      <c r="BY8" s="103"/>
      <c r="BZ8" s="556" t="s">
        <v>292</v>
      </c>
      <c r="CA8" s="103"/>
      <c r="CB8" s="557" t="s">
        <v>293</v>
      </c>
      <c r="CC8" s="104"/>
      <c r="CD8" s="558" t="s">
        <v>306</v>
      </c>
      <c r="CE8" s="555" t="s">
        <v>307</v>
      </c>
      <c r="CF8" s="556" t="s">
        <v>290</v>
      </c>
      <c r="CG8" s="556" t="s">
        <v>291</v>
      </c>
      <c r="CH8" s="103"/>
      <c r="CI8" s="556" t="s">
        <v>292</v>
      </c>
      <c r="CJ8" s="103"/>
      <c r="CK8" s="557" t="s">
        <v>293</v>
      </c>
      <c r="CL8" s="104"/>
      <c r="CM8" s="559" t="s">
        <v>308</v>
      </c>
      <c r="CN8" s="555" t="s">
        <v>309</v>
      </c>
      <c r="CO8" s="556" t="s">
        <v>290</v>
      </c>
      <c r="CP8" s="556" t="s">
        <v>291</v>
      </c>
      <c r="CQ8" s="103"/>
      <c r="CR8" s="556" t="s">
        <v>292</v>
      </c>
      <c r="CS8" s="103"/>
      <c r="CT8" s="557" t="s">
        <v>293</v>
      </c>
      <c r="CU8" s="104"/>
      <c r="CV8" s="558" t="s">
        <v>310</v>
      </c>
      <c r="CW8" s="555" t="s">
        <v>311</v>
      </c>
      <c r="CX8" s="556" t="s">
        <v>290</v>
      </c>
      <c r="CY8" s="556" t="s">
        <v>291</v>
      </c>
      <c r="CZ8" s="103"/>
      <c r="DA8" s="556" t="s">
        <v>292</v>
      </c>
      <c r="DB8" s="103"/>
      <c r="DC8" s="557" t="s">
        <v>293</v>
      </c>
      <c r="DD8" s="104"/>
      <c r="DE8" s="558" t="s">
        <v>312</v>
      </c>
      <c r="DF8" s="555" t="s">
        <v>313</v>
      </c>
      <c r="DG8" s="556" t="s">
        <v>290</v>
      </c>
      <c r="DH8" s="556" t="s">
        <v>291</v>
      </c>
      <c r="DI8" s="103"/>
      <c r="DJ8" s="556" t="s">
        <v>292</v>
      </c>
      <c r="DK8" s="103"/>
      <c r="DL8" s="557" t="s">
        <v>293</v>
      </c>
      <c r="DM8" s="104"/>
      <c r="DN8" s="558" t="s">
        <v>314</v>
      </c>
      <c r="DO8" s="555" t="s">
        <v>315</v>
      </c>
      <c r="DP8" s="556" t="s">
        <v>290</v>
      </c>
      <c r="DQ8" s="556" t="s">
        <v>291</v>
      </c>
      <c r="DR8" s="103"/>
      <c r="DS8" s="556" t="s">
        <v>292</v>
      </c>
      <c r="DT8" s="103"/>
      <c r="DU8" s="557" t="s">
        <v>293</v>
      </c>
      <c r="DV8" s="104"/>
      <c r="DW8" s="560" t="s">
        <v>316</v>
      </c>
      <c r="DY8" s="561" t="s">
        <v>317</v>
      </c>
      <c r="DZ8" s="561" t="s">
        <v>318</v>
      </c>
      <c r="EA8" s="561" t="s">
        <v>319</v>
      </c>
      <c r="EB8" s="105"/>
      <c r="EC8" s="105"/>
      <c r="ED8" s="1"/>
      <c r="EE8" s="1"/>
      <c r="EF8" s="1"/>
    </row>
    <row r="9" spans="1:136" x14ac:dyDescent="0.25">
      <c r="A9" s="550"/>
      <c r="B9" s="550"/>
      <c r="C9" s="550"/>
      <c r="D9" s="550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3"/>
      <c r="R9" s="553"/>
      <c r="S9" s="554"/>
      <c r="T9" s="555"/>
      <c r="U9" s="556"/>
      <c r="V9" s="556"/>
      <c r="W9" s="106"/>
      <c r="X9" s="556"/>
      <c r="Y9" s="106"/>
      <c r="Z9" s="557"/>
      <c r="AA9" s="104"/>
      <c r="AB9" s="558"/>
      <c r="AC9" s="555"/>
      <c r="AD9" s="556"/>
      <c r="AE9" s="556"/>
      <c r="AF9" s="106"/>
      <c r="AG9" s="556"/>
      <c r="AH9" s="106"/>
      <c r="AI9" s="557"/>
      <c r="AJ9" s="104"/>
      <c r="AK9" s="558"/>
      <c r="AL9" s="555"/>
      <c r="AM9" s="556"/>
      <c r="AN9" s="556"/>
      <c r="AO9" s="106"/>
      <c r="AP9" s="556"/>
      <c r="AQ9" s="106"/>
      <c r="AR9" s="557"/>
      <c r="AS9" s="104"/>
      <c r="AT9" s="558"/>
      <c r="AU9" s="555"/>
      <c r="AV9" s="556"/>
      <c r="AW9" s="556"/>
      <c r="AX9" s="106"/>
      <c r="AY9" s="556"/>
      <c r="AZ9" s="106"/>
      <c r="BA9" s="557"/>
      <c r="BB9" s="104"/>
      <c r="BC9" s="558"/>
      <c r="BD9" s="555"/>
      <c r="BE9" s="556"/>
      <c r="BF9" s="556"/>
      <c r="BG9" s="106"/>
      <c r="BH9" s="556"/>
      <c r="BI9" s="106"/>
      <c r="BJ9" s="557"/>
      <c r="BK9" s="104"/>
      <c r="BL9" s="558"/>
      <c r="BM9" s="555"/>
      <c r="BN9" s="556"/>
      <c r="BO9" s="556"/>
      <c r="BP9" s="106"/>
      <c r="BQ9" s="556"/>
      <c r="BR9" s="106"/>
      <c r="BS9" s="557"/>
      <c r="BT9" s="104"/>
      <c r="BU9" s="558"/>
      <c r="BV9" s="555"/>
      <c r="BW9" s="556"/>
      <c r="BX9" s="556"/>
      <c r="BY9" s="106"/>
      <c r="BZ9" s="556"/>
      <c r="CA9" s="106"/>
      <c r="CB9" s="557"/>
      <c r="CC9" s="104"/>
      <c r="CD9" s="558"/>
      <c r="CE9" s="555"/>
      <c r="CF9" s="556"/>
      <c r="CG9" s="556"/>
      <c r="CH9" s="106"/>
      <c r="CI9" s="556"/>
      <c r="CJ9" s="106"/>
      <c r="CK9" s="557"/>
      <c r="CL9" s="104"/>
      <c r="CM9" s="559"/>
      <c r="CN9" s="555"/>
      <c r="CO9" s="556"/>
      <c r="CP9" s="556"/>
      <c r="CQ9" s="106"/>
      <c r="CR9" s="556"/>
      <c r="CS9" s="106"/>
      <c r="CT9" s="557"/>
      <c r="CU9" s="104"/>
      <c r="CV9" s="558"/>
      <c r="CW9" s="555"/>
      <c r="CX9" s="556"/>
      <c r="CY9" s="556"/>
      <c r="CZ9" s="106"/>
      <c r="DA9" s="556"/>
      <c r="DB9" s="106"/>
      <c r="DC9" s="557"/>
      <c r="DD9" s="104"/>
      <c r="DE9" s="558"/>
      <c r="DF9" s="555"/>
      <c r="DG9" s="556"/>
      <c r="DH9" s="556"/>
      <c r="DI9" s="106"/>
      <c r="DJ9" s="556"/>
      <c r="DK9" s="106"/>
      <c r="DL9" s="557"/>
      <c r="DM9" s="104"/>
      <c r="DN9" s="558"/>
      <c r="DO9" s="555"/>
      <c r="DP9" s="556"/>
      <c r="DQ9" s="556"/>
      <c r="DR9" s="106"/>
      <c r="DS9" s="556"/>
      <c r="DT9" s="106"/>
      <c r="DU9" s="557"/>
      <c r="DV9" s="104"/>
      <c r="DW9" s="560"/>
      <c r="DY9" s="561"/>
      <c r="DZ9" s="561"/>
      <c r="EA9" s="561"/>
      <c r="EB9" s="105"/>
      <c r="EC9" s="105"/>
      <c r="ED9" s="1"/>
      <c r="EE9" s="1"/>
      <c r="EF9" s="1"/>
    </row>
    <row r="10" spans="1:136" ht="23.25" customHeight="1" x14ac:dyDescent="0.25">
      <c r="A10" s="550"/>
      <c r="B10" s="550"/>
      <c r="C10" s="550"/>
      <c r="D10" s="550"/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3"/>
      <c r="R10" s="553"/>
      <c r="S10" s="554"/>
      <c r="T10" s="555"/>
      <c r="U10" s="556"/>
      <c r="V10" s="556"/>
      <c r="W10" s="106"/>
      <c r="X10" s="556"/>
      <c r="Y10" s="106"/>
      <c r="Z10" s="557"/>
      <c r="AA10" s="104"/>
      <c r="AB10" s="558"/>
      <c r="AC10" s="555"/>
      <c r="AD10" s="556"/>
      <c r="AE10" s="556"/>
      <c r="AF10" s="106"/>
      <c r="AG10" s="556"/>
      <c r="AH10" s="106"/>
      <c r="AI10" s="557"/>
      <c r="AJ10" s="104"/>
      <c r="AK10" s="558"/>
      <c r="AL10" s="555"/>
      <c r="AM10" s="556"/>
      <c r="AN10" s="556"/>
      <c r="AO10" s="106"/>
      <c r="AP10" s="556"/>
      <c r="AQ10" s="106"/>
      <c r="AR10" s="557"/>
      <c r="AS10" s="104"/>
      <c r="AT10" s="558"/>
      <c r="AU10" s="555"/>
      <c r="AV10" s="556"/>
      <c r="AW10" s="556"/>
      <c r="AX10" s="106"/>
      <c r="AY10" s="556"/>
      <c r="AZ10" s="106"/>
      <c r="BA10" s="557"/>
      <c r="BB10" s="104"/>
      <c r="BC10" s="558"/>
      <c r="BD10" s="555"/>
      <c r="BE10" s="556"/>
      <c r="BF10" s="556"/>
      <c r="BG10" s="106"/>
      <c r="BH10" s="556"/>
      <c r="BI10" s="106"/>
      <c r="BJ10" s="557"/>
      <c r="BK10" s="104"/>
      <c r="BL10" s="558"/>
      <c r="BM10" s="555"/>
      <c r="BN10" s="556"/>
      <c r="BO10" s="556"/>
      <c r="BP10" s="106"/>
      <c r="BQ10" s="556"/>
      <c r="BR10" s="106"/>
      <c r="BS10" s="557"/>
      <c r="BT10" s="104"/>
      <c r="BU10" s="558"/>
      <c r="BV10" s="555"/>
      <c r="BW10" s="556"/>
      <c r="BX10" s="556"/>
      <c r="BY10" s="106"/>
      <c r="BZ10" s="556"/>
      <c r="CA10" s="106"/>
      <c r="CB10" s="557"/>
      <c r="CC10" s="104"/>
      <c r="CD10" s="558"/>
      <c r="CE10" s="555"/>
      <c r="CF10" s="556"/>
      <c r="CG10" s="556"/>
      <c r="CH10" s="106"/>
      <c r="CI10" s="556"/>
      <c r="CJ10" s="106"/>
      <c r="CK10" s="557"/>
      <c r="CL10" s="104"/>
      <c r="CM10" s="559"/>
      <c r="CN10" s="555"/>
      <c r="CO10" s="556"/>
      <c r="CP10" s="556"/>
      <c r="CQ10" s="106"/>
      <c r="CR10" s="556"/>
      <c r="CS10" s="106"/>
      <c r="CT10" s="557"/>
      <c r="CU10" s="104"/>
      <c r="CV10" s="558"/>
      <c r="CW10" s="555"/>
      <c r="CX10" s="556"/>
      <c r="CY10" s="556"/>
      <c r="CZ10" s="106"/>
      <c r="DA10" s="556"/>
      <c r="DB10" s="106"/>
      <c r="DC10" s="557"/>
      <c r="DD10" s="104"/>
      <c r="DE10" s="558"/>
      <c r="DF10" s="555"/>
      <c r="DG10" s="556"/>
      <c r="DH10" s="556"/>
      <c r="DI10" s="106"/>
      <c r="DJ10" s="556"/>
      <c r="DK10" s="106"/>
      <c r="DL10" s="557"/>
      <c r="DM10" s="104"/>
      <c r="DN10" s="558"/>
      <c r="DO10" s="555"/>
      <c r="DP10" s="556"/>
      <c r="DQ10" s="556"/>
      <c r="DR10" s="106"/>
      <c r="DS10" s="556"/>
      <c r="DT10" s="106"/>
      <c r="DU10" s="557"/>
      <c r="DV10" s="104"/>
      <c r="DW10" s="560"/>
      <c r="DY10" s="561"/>
      <c r="DZ10" s="561"/>
      <c r="EA10" s="561"/>
      <c r="EB10" s="105"/>
      <c r="EC10" s="105"/>
      <c r="ED10" s="1"/>
      <c r="EE10" s="1"/>
      <c r="EF10" s="1"/>
    </row>
    <row r="11" spans="1:136" ht="27.75" customHeight="1" x14ac:dyDescent="0.25">
      <c r="A11" s="107" t="s">
        <v>320</v>
      </c>
      <c r="B11" s="108" t="s">
        <v>11</v>
      </c>
      <c r="C11" s="108" t="s">
        <v>3</v>
      </c>
      <c r="D11" s="109" t="s">
        <v>4</v>
      </c>
      <c r="E11" s="551"/>
      <c r="F11" s="551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3"/>
      <c r="R11" s="553"/>
      <c r="S11" s="554"/>
      <c r="T11" s="555"/>
      <c r="U11" s="556"/>
      <c r="V11" s="556"/>
      <c r="W11" s="106"/>
      <c r="X11" s="556"/>
      <c r="Y11" s="106"/>
      <c r="Z11" s="557"/>
      <c r="AA11" s="104"/>
      <c r="AB11" s="558"/>
      <c r="AC11" s="555"/>
      <c r="AD11" s="556"/>
      <c r="AE11" s="556"/>
      <c r="AF11" s="106"/>
      <c r="AG11" s="556"/>
      <c r="AH11" s="106"/>
      <c r="AI11" s="557"/>
      <c r="AJ11" s="104"/>
      <c r="AK11" s="558"/>
      <c r="AL11" s="555"/>
      <c r="AM11" s="556"/>
      <c r="AN11" s="556"/>
      <c r="AO11" s="106"/>
      <c r="AP11" s="556"/>
      <c r="AQ11" s="106"/>
      <c r="AR11" s="557"/>
      <c r="AS11" s="104"/>
      <c r="AT11" s="558"/>
      <c r="AU11" s="555"/>
      <c r="AV11" s="556"/>
      <c r="AW11" s="556"/>
      <c r="AX11" s="106"/>
      <c r="AY11" s="556"/>
      <c r="AZ11" s="106"/>
      <c r="BA11" s="557"/>
      <c r="BB11" s="104"/>
      <c r="BC11" s="558"/>
      <c r="BD11" s="555"/>
      <c r="BE11" s="556"/>
      <c r="BF11" s="556"/>
      <c r="BG11" s="106"/>
      <c r="BH11" s="556"/>
      <c r="BI11" s="106"/>
      <c r="BJ11" s="557"/>
      <c r="BK11" s="104"/>
      <c r="BL11" s="558"/>
      <c r="BM11" s="555"/>
      <c r="BN11" s="556"/>
      <c r="BO11" s="556"/>
      <c r="BP11" s="106"/>
      <c r="BQ11" s="556"/>
      <c r="BR11" s="106"/>
      <c r="BS11" s="557"/>
      <c r="BT11" s="104"/>
      <c r="BU11" s="558"/>
      <c r="BV11" s="555"/>
      <c r="BW11" s="556"/>
      <c r="BX11" s="556"/>
      <c r="BY11" s="106"/>
      <c r="BZ11" s="556"/>
      <c r="CA11" s="106"/>
      <c r="CB11" s="557"/>
      <c r="CC11" s="104"/>
      <c r="CD11" s="558"/>
      <c r="CE11" s="555"/>
      <c r="CF11" s="556"/>
      <c r="CG11" s="556"/>
      <c r="CH11" s="106"/>
      <c r="CI11" s="556"/>
      <c r="CJ11" s="106"/>
      <c r="CK11" s="557"/>
      <c r="CL11" s="104"/>
      <c r="CM11" s="559"/>
      <c r="CN11" s="555"/>
      <c r="CO11" s="556"/>
      <c r="CP11" s="556"/>
      <c r="CQ11" s="106"/>
      <c r="CR11" s="556"/>
      <c r="CS11" s="106"/>
      <c r="CT11" s="557"/>
      <c r="CU11" s="104"/>
      <c r="CV11" s="558"/>
      <c r="CW11" s="555"/>
      <c r="CX11" s="556"/>
      <c r="CY11" s="556"/>
      <c r="CZ11" s="106"/>
      <c r="DA11" s="556"/>
      <c r="DB11" s="106"/>
      <c r="DC11" s="557"/>
      <c r="DD11" s="104"/>
      <c r="DE11" s="558"/>
      <c r="DF11" s="555"/>
      <c r="DG11" s="556"/>
      <c r="DH11" s="556"/>
      <c r="DI11" s="106"/>
      <c r="DJ11" s="556"/>
      <c r="DK11" s="106"/>
      <c r="DL11" s="557"/>
      <c r="DM11" s="104"/>
      <c r="DN11" s="558"/>
      <c r="DO11" s="555"/>
      <c r="DP11" s="556"/>
      <c r="DQ11" s="556"/>
      <c r="DR11" s="106"/>
      <c r="DS11" s="556"/>
      <c r="DT11" s="106"/>
      <c r="DU11" s="557"/>
      <c r="DV11" s="104"/>
      <c r="DW11" s="560"/>
      <c r="DY11" s="561"/>
      <c r="DZ11" s="561"/>
      <c r="EA11" s="561"/>
      <c r="EB11" s="105"/>
      <c r="EC11" s="105"/>
      <c r="ED11" s="1"/>
      <c r="EE11" s="1"/>
      <c r="EF11" s="1"/>
    </row>
    <row r="12" spans="1:136" s="117" customFormat="1" ht="15.75" customHeight="1" x14ac:dyDescent="0.2">
      <c r="A12" s="110"/>
      <c r="B12" s="111"/>
      <c r="C12" s="111"/>
      <c r="D12" s="110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3"/>
      <c r="R12" s="113"/>
      <c r="S12" s="113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4"/>
      <c r="EC12" s="115"/>
      <c r="ED12" s="116"/>
      <c r="EE12" s="116"/>
      <c r="EF12" s="116"/>
    </row>
    <row r="13" spans="1:136" x14ac:dyDescent="0.25">
      <c r="A13" s="118">
        <v>1</v>
      </c>
      <c r="B13" s="14" t="s">
        <v>62</v>
      </c>
      <c r="C13" s="13" t="s">
        <v>321</v>
      </c>
      <c r="D13" s="119" t="s">
        <v>322</v>
      </c>
      <c r="E13" s="120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2"/>
      <c r="Q13" s="123">
        <v>25</v>
      </c>
      <c r="R13" s="124">
        <v>6</v>
      </c>
      <c r="S13" s="125">
        <v>0</v>
      </c>
      <c r="T13" s="126">
        <v>160.22999999999999</v>
      </c>
      <c r="U13" s="127">
        <v>8.4</v>
      </c>
      <c r="V13" s="127">
        <v>5</v>
      </c>
      <c r="W13" s="128">
        <v>8.4</v>
      </c>
      <c r="X13" s="127">
        <v>1</v>
      </c>
      <c r="Y13" s="128">
        <v>8.4</v>
      </c>
      <c r="Z13" s="129">
        <v>0</v>
      </c>
      <c r="AA13" s="130">
        <v>6</v>
      </c>
      <c r="AB13" s="131">
        <f t="shared" ref="AB13:AB47" si="0">E13+S13+T13+U13+V13*W13+X13*Y13+Z13*AA13</f>
        <v>219.03</v>
      </c>
      <c r="AC13" s="126"/>
      <c r="AD13" s="127"/>
      <c r="AE13" s="127"/>
      <c r="AF13" s="128">
        <v>8.4</v>
      </c>
      <c r="AG13" s="127"/>
      <c r="AH13" s="128">
        <v>8.4</v>
      </c>
      <c r="AI13" s="129"/>
      <c r="AJ13" s="130">
        <v>6</v>
      </c>
      <c r="AK13" s="131">
        <f>F13+AB13+AC13+AD13+AE13*AF13+AG13*AH13+AI13*AJ13</f>
        <v>219.03</v>
      </c>
      <c r="AL13" s="126"/>
      <c r="AM13" s="127"/>
      <c r="AN13" s="127"/>
      <c r="AO13" s="128">
        <v>8.4</v>
      </c>
      <c r="AP13" s="127"/>
      <c r="AQ13" s="128">
        <v>8.4</v>
      </c>
      <c r="AR13" s="129"/>
      <c r="AS13" s="130">
        <v>6</v>
      </c>
      <c r="AT13" s="131">
        <f t="shared" ref="AT13:AT47" si="1">G13+AK13+AL13+AM13+AN13*AO13+AP13*AQ13+AR13*AS13</f>
        <v>219.03</v>
      </c>
      <c r="AU13" s="132"/>
      <c r="AV13" s="133"/>
      <c r="AW13" s="133"/>
      <c r="AX13" s="134">
        <v>8.4</v>
      </c>
      <c r="AY13" s="133"/>
      <c r="AZ13" s="134">
        <v>8.4</v>
      </c>
      <c r="BA13" s="135"/>
      <c r="BB13" s="130">
        <v>6</v>
      </c>
      <c r="BC13" s="131">
        <f t="shared" ref="BC13:BC47" si="2">H13+AT13+AU13+AV13+AW13*AX13+AY13*AZ13+BA13*BB13</f>
        <v>219.03</v>
      </c>
      <c r="BD13" s="132"/>
      <c r="BE13" s="133"/>
      <c r="BF13" s="133"/>
      <c r="BG13" s="134">
        <v>8.4</v>
      </c>
      <c r="BH13" s="133"/>
      <c r="BI13" s="134">
        <v>8.4</v>
      </c>
      <c r="BJ13" s="135"/>
      <c r="BK13" s="130">
        <v>6</v>
      </c>
      <c r="BL13" s="131">
        <f t="shared" ref="BL13:BL47" si="3">I13+BC13+BD13+BE13+BF13*BG13+BH13*BI13+BJ13*BK13</f>
        <v>219.03</v>
      </c>
      <c r="BM13" s="132"/>
      <c r="BN13" s="133"/>
      <c r="BO13" s="133"/>
      <c r="BP13" s="134">
        <v>8.4</v>
      </c>
      <c r="BQ13" s="133"/>
      <c r="BR13" s="134">
        <v>8.4</v>
      </c>
      <c r="BS13" s="135"/>
      <c r="BT13" s="130">
        <v>6</v>
      </c>
      <c r="BU13" s="131">
        <f t="shared" ref="BU13:BU47" si="4">J13+BL13+BM13+BN13+BO13*BP13+BQ13*BR13+BS13*BT13</f>
        <v>219.03</v>
      </c>
      <c r="BV13" s="132"/>
      <c r="BW13" s="133"/>
      <c r="BX13" s="133"/>
      <c r="BY13" s="134">
        <v>8.4</v>
      </c>
      <c r="BZ13" s="133"/>
      <c r="CA13" s="134">
        <v>8.4</v>
      </c>
      <c r="CB13" s="135"/>
      <c r="CC13" s="130">
        <v>6</v>
      </c>
      <c r="CD13" s="131">
        <f t="shared" ref="CD13:CD47" si="5">K13+BU13+BV13+BW13+BX13*BY13+BZ13*CA13+CB13*CC13</f>
        <v>219.03</v>
      </c>
      <c r="CE13" s="132"/>
      <c r="CF13" s="133"/>
      <c r="CG13" s="133"/>
      <c r="CH13" s="134">
        <v>8.4</v>
      </c>
      <c r="CI13" s="133"/>
      <c r="CJ13" s="134">
        <v>8.4</v>
      </c>
      <c r="CK13" s="135"/>
      <c r="CL13" s="130">
        <v>6</v>
      </c>
      <c r="CM13" s="136">
        <f t="shared" ref="CM13:CM47" si="6">T13+CD13+CE13+CF13+CG13*CH13+CI13*CJ13+CK13*CL13</f>
        <v>379.26</v>
      </c>
      <c r="CN13" s="132"/>
      <c r="CO13" s="133"/>
      <c r="CP13" s="133"/>
      <c r="CQ13" s="134">
        <v>8.4</v>
      </c>
      <c r="CR13" s="133"/>
      <c r="CS13" s="134">
        <v>8.4</v>
      </c>
      <c r="CT13" s="135"/>
      <c r="CU13" s="130">
        <v>6</v>
      </c>
      <c r="CV13" s="131">
        <f t="shared" ref="CV13:CV47" si="7">M13+CM13+CN13+CO13+CP13*CQ13+CR13*CS13+CT13*CU13</f>
        <v>379.26</v>
      </c>
      <c r="CW13" s="132"/>
      <c r="CX13" s="133"/>
      <c r="CY13" s="133"/>
      <c r="CZ13" s="134">
        <v>8.4</v>
      </c>
      <c r="DA13" s="133"/>
      <c r="DB13" s="134">
        <v>8.4</v>
      </c>
      <c r="DC13" s="135"/>
      <c r="DD13" s="130">
        <v>6</v>
      </c>
      <c r="DE13" s="131">
        <f t="shared" ref="DE13:DE47" si="8">N13+CV13+CW13+CX13+CY13*CZ13+DA13*DB13+DC13*DD13</f>
        <v>379.26</v>
      </c>
      <c r="DF13" s="132"/>
      <c r="DG13" s="133"/>
      <c r="DH13" s="133"/>
      <c r="DI13" s="134">
        <v>8.4</v>
      </c>
      <c r="DJ13" s="133"/>
      <c r="DK13" s="134">
        <v>8.4</v>
      </c>
      <c r="DL13" s="135"/>
      <c r="DM13" s="130">
        <v>6</v>
      </c>
      <c r="DN13" s="131">
        <f t="shared" ref="DN13:DN47" si="9">O13+DE13+DF13+DG13+DH13*DI13+DJ13*DK13+DL13*DM13</f>
        <v>379.26</v>
      </c>
      <c r="DO13" s="132"/>
      <c r="DP13" s="133"/>
      <c r="DQ13" s="133"/>
      <c r="DR13" s="134">
        <v>8.4</v>
      </c>
      <c r="DS13" s="133"/>
      <c r="DT13" s="134">
        <v>8.4</v>
      </c>
      <c r="DU13" s="135"/>
      <c r="DV13" s="130">
        <v>6</v>
      </c>
      <c r="DW13" s="137">
        <f t="shared" ref="DW13:DW47" si="10">P13+DN13+DO13+DP13+DQ13*DR13+DS13*DT13+DU13*DV13</f>
        <v>379.26</v>
      </c>
      <c r="DX13" s="138"/>
      <c r="DY13" s="134">
        <f t="shared" ref="DY13:DY47" si="11">Q13-V13-AE13-AN13-AW13-BF13-BO13-BX13-CG13-CP13-CY13-DH13-DQ13</f>
        <v>20</v>
      </c>
      <c r="DZ13" s="134">
        <f t="shared" ref="DZ13:DZ47" si="12">R13-X13-AG13-AP13-AY13-BH13-BQ13-BZ13-CI13-CR13-DA13-DJ13-DS13</f>
        <v>5</v>
      </c>
      <c r="EA13" s="134">
        <f t="shared" ref="EA13:EA47" si="13">Z13+AI13+AR13+BA13+BJ13+BS13+CB13+CK13+CT13+DC13+DL13+DU13</f>
        <v>0</v>
      </c>
      <c r="EB13" s="138"/>
      <c r="EC13" s="139"/>
      <c r="ED13" s="1"/>
      <c r="EE13" s="1"/>
      <c r="EF13" s="1"/>
    </row>
    <row r="14" spans="1:136" x14ac:dyDescent="0.25">
      <c r="A14" s="118">
        <v>1</v>
      </c>
      <c r="B14" s="14" t="s">
        <v>20</v>
      </c>
      <c r="C14" s="13" t="s">
        <v>14</v>
      </c>
      <c r="D14" s="119" t="s">
        <v>15</v>
      </c>
      <c r="E14" s="140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2"/>
      <c r="Q14" s="123"/>
      <c r="R14" s="124"/>
      <c r="S14" s="125"/>
      <c r="T14" s="126"/>
      <c r="U14" s="127"/>
      <c r="V14" s="127"/>
      <c r="W14" s="128">
        <v>8.4</v>
      </c>
      <c r="X14" s="127"/>
      <c r="Y14" s="128">
        <v>8.4</v>
      </c>
      <c r="Z14" s="129"/>
      <c r="AA14" s="130">
        <v>6</v>
      </c>
      <c r="AB14" s="131">
        <f t="shared" si="0"/>
        <v>0</v>
      </c>
      <c r="AC14" s="126"/>
      <c r="AD14" s="127"/>
      <c r="AE14" s="127"/>
      <c r="AF14" s="128">
        <v>8.4</v>
      </c>
      <c r="AG14" s="127"/>
      <c r="AH14" s="128">
        <v>8.4</v>
      </c>
      <c r="AI14" s="129"/>
      <c r="AJ14" s="130">
        <v>6</v>
      </c>
      <c r="AK14" s="131">
        <f t="shared" ref="AK14:AK47" si="14">E14+AB14+AC14+AD14+AE14*AF14+AG14*AH14+AI14*AJ14</f>
        <v>0</v>
      </c>
      <c r="AL14" s="126"/>
      <c r="AM14" s="127"/>
      <c r="AN14" s="127"/>
      <c r="AO14" s="128">
        <v>8.4</v>
      </c>
      <c r="AP14" s="127"/>
      <c r="AQ14" s="128">
        <v>8.4</v>
      </c>
      <c r="AR14" s="129"/>
      <c r="AS14" s="130">
        <v>6</v>
      </c>
      <c r="AT14" s="131">
        <f t="shared" si="1"/>
        <v>0</v>
      </c>
      <c r="AU14" s="132"/>
      <c r="AV14" s="133"/>
      <c r="AW14" s="133"/>
      <c r="AX14" s="134">
        <v>8.4</v>
      </c>
      <c r="AY14" s="133"/>
      <c r="AZ14" s="134">
        <v>8.4</v>
      </c>
      <c r="BA14" s="135"/>
      <c r="BB14" s="130">
        <v>6</v>
      </c>
      <c r="BC14" s="131">
        <f t="shared" si="2"/>
        <v>0</v>
      </c>
      <c r="BD14" s="132"/>
      <c r="BE14" s="133"/>
      <c r="BF14" s="133"/>
      <c r="BG14" s="134">
        <v>8.4</v>
      </c>
      <c r="BH14" s="133"/>
      <c r="BI14" s="134">
        <v>8.4</v>
      </c>
      <c r="BJ14" s="135"/>
      <c r="BK14" s="130">
        <v>6</v>
      </c>
      <c r="BL14" s="131">
        <f t="shared" si="3"/>
        <v>0</v>
      </c>
      <c r="BM14" s="132"/>
      <c r="BN14" s="133"/>
      <c r="BO14" s="133"/>
      <c r="BP14" s="134">
        <v>8.4</v>
      </c>
      <c r="BQ14" s="133"/>
      <c r="BR14" s="134">
        <v>8.4</v>
      </c>
      <c r="BS14" s="135"/>
      <c r="BT14" s="130">
        <v>6</v>
      </c>
      <c r="BU14" s="131">
        <f t="shared" si="4"/>
        <v>0</v>
      </c>
      <c r="BV14" s="132"/>
      <c r="BW14" s="133"/>
      <c r="BX14" s="133"/>
      <c r="BY14" s="134">
        <v>8.4</v>
      </c>
      <c r="BZ14" s="133"/>
      <c r="CA14" s="134">
        <v>8.4</v>
      </c>
      <c r="CB14" s="135"/>
      <c r="CC14" s="130">
        <v>6</v>
      </c>
      <c r="CD14" s="131">
        <f t="shared" si="5"/>
        <v>0</v>
      </c>
      <c r="CE14" s="132"/>
      <c r="CF14" s="133"/>
      <c r="CG14" s="133"/>
      <c r="CH14" s="134">
        <v>8.4</v>
      </c>
      <c r="CI14" s="133"/>
      <c r="CJ14" s="134">
        <v>8.4</v>
      </c>
      <c r="CK14" s="135"/>
      <c r="CL14" s="130">
        <v>6</v>
      </c>
      <c r="CM14" s="136">
        <f t="shared" si="6"/>
        <v>0</v>
      </c>
      <c r="CN14" s="132"/>
      <c r="CO14" s="133"/>
      <c r="CP14" s="133"/>
      <c r="CQ14" s="134">
        <v>8.4</v>
      </c>
      <c r="CR14" s="133"/>
      <c r="CS14" s="134">
        <v>8.4</v>
      </c>
      <c r="CT14" s="135"/>
      <c r="CU14" s="130">
        <v>6</v>
      </c>
      <c r="CV14" s="131">
        <f t="shared" si="7"/>
        <v>0</v>
      </c>
      <c r="CW14" s="132"/>
      <c r="CX14" s="133"/>
      <c r="CY14" s="133"/>
      <c r="CZ14" s="134">
        <v>8.4</v>
      </c>
      <c r="DA14" s="133"/>
      <c r="DB14" s="134">
        <v>8.4</v>
      </c>
      <c r="DC14" s="135"/>
      <c r="DD14" s="130">
        <v>6</v>
      </c>
      <c r="DE14" s="131">
        <f t="shared" si="8"/>
        <v>0</v>
      </c>
      <c r="DF14" s="132"/>
      <c r="DG14" s="133"/>
      <c r="DH14" s="133"/>
      <c r="DI14" s="134">
        <v>8.4</v>
      </c>
      <c r="DJ14" s="133"/>
      <c r="DK14" s="134">
        <v>8.4</v>
      </c>
      <c r="DL14" s="135"/>
      <c r="DM14" s="130">
        <v>6</v>
      </c>
      <c r="DN14" s="131">
        <f t="shared" si="9"/>
        <v>0</v>
      </c>
      <c r="DO14" s="132"/>
      <c r="DP14" s="133"/>
      <c r="DQ14" s="133"/>
      <c r="DR14" s="134">
        <v>8.4</v>
      </c>
      <c r="DS14" s="133"/>
      <c r="DT14" s="134">
        <v>8.4</v>
      </c>
      <c r="DU14" s="135"/>
      <c r="DV14" s="130">
        <v>6</v>
      </c>
      <c r="DW14" s="137">
        <f t="shared" si="10"/>
        <v>0</v>
      </c>
      <c r="DX14" s="138"/>
      <c r="DY14" s="134">
        <f t="shared" si="11"/>
        <v>0</v>
      </c>
      <c r="DZ14" s="134">
        <f t="shared" si="12"/>
        <v>0</v>
      </c>
      <c r="EA14" s="134">
        <f t="shared" si="13"/>
        <v>0</v>
      </c>
      <c r="EB14" s="138"/>
      <c r="EC14" s="139"/>
      <c r="ED14" s="1"/>
      <c r="EE14" s="1"/>
      <c r="EF14" s="1"/>
    </row>
    <row r="15" spans="1:136" x14ac:dyDescent="0.25">
      <c r="A15" s="118">
        <v>1</v>
      </c>
      <c r="B15" s="14" t="s">
        <v>28</v>
      </c>
      <c r="C15" s="13" t="s">
        <v>21</v>
      </c>
      <c r="D15" s="119" t="s">
        <v>22</v>
      </c>
      <c r="E15" s="120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2"/>
      <c r="Q15" s="123"/>
      <c r="R15" s="124"/>
      <c r="S15" s="125"/>
      <c r="T15" s="126"/>
      <c r="U15" s="127"/>
      <c r="V15" s="127"/>
      <c r="W15" s="128">
        <v>8.4</v>
      </c>
      <c r="X15" s="127"/>
      <c r="Y15" s="128">
        <v>8.4</v>
      </c>
      <c r="Z15" s="129"/>
      <c r="AA15" s="130">
        <v>6</v>
      </c>
      <c r="AB15" s="131">
        <f t="shared" si="0"/>
        <v>0</v>
      </c>
      <c r="AC15" s="126"/>
      <c r="AD15" s="127"/>
      <c r="AE15" s="127"/>
      <c r="AF15" s="128">
        <v>8.4</v>
      </c>
      <c r="AG15" s="127"/>
      <c r="AH15" s="128">
        <v>8.4</v>
      </c>
      <c r="AI15" s="129"/>
      <c r="AJ15" s="130">
        <v>6</v>
      </c>
      <c r="AK15" s="131">
        <f t="shared" si="14"/>
        <v>0</v>
      </c>
      <c r="AL15" s="126"/>
      <c r="AM15" s="127"/>
      <c r="AN15" s="127"/>
      <c r="AO15" s="128">
        <v>8.4</v>
      </c>
      <c r="AP15" s="127"/>
      <c r="AQ15" s="128">
        <v>8.4</v>
      </c>
      <c r="AR15" s="129"/>
      <c r="AS15" s="130">
        <v>6</v>
      </c>
      <c r="AT15" s="131">
        <f t="shared" si="1"/>
        <v>0</v>
      </c>
      <c r="AU15" s="132"/>
      <c r="AV15" s="133"/>
      <c r="AW15" s="133"/>
      <c r="AX15" s="134">
        <v>8.4</v>
      </c>
      <c r="AY15" s="133"/>
      <c r="AZ15" s="134">
        <v>8.4</v>
      </c>
      <c r="BA15" s="135"/>
      <c r="BB15" s="130">
        <v>6</v>
      </c>
      <c r="BC15" s="131">
        <f t="shared" si="2"/>
        <v>0</v>
      </c>
      <c r="BD15" s="132"/>
      <c r="BE15" s="133"/>
      <c r="BF15" s="133"/>
      <c r="BG15" s="134">
        <v>8.4</v>
      </c>
      <c r="BH15" s="133"/>
      <c r="BI15" s="134">
        <v>8.4</v>
      </c>
      <c r="BJ15" s="135"/>
      <c r="BK15" s="130">
        <v>6</v>
      </c>
      <c r="BL15" s="131">
        <f t="shared" si="3"/>
        <v>0</v>
      </c>
      <c r="BM15" s="132"/>
      <c r="BN15" s="133"/>
      <c r="BO15" s="133"/>
      <c r="BP15" s="134">
        <v>8.4</v>
      </c>
      <c r="BQ15" s="133"/>
      <c r="BR15" s="134">
        <v>8.4</v>
      </c>
      <c r="BS15" s="135"/>
      <c r="BT15" s="130">
        <v>6</v>
      </c>
      <c r="BU15" s="131">
        <f t="shared" si="4"/>
        <v>0</v>
      </c>
      <c r="BV15" s="132"/>
      <c r="BW15" s="133"/>
      <c r="BX15" s="133"/>
      <c r="BY15" s="134">
        <v>8.4</v>
      </c>
      <c r="BZ15" s="133"/>
      <c r="CA15" s="134">
        <v>8.4</v>
      </c>
      <c r="CB15" s="135"/>
      <c r="CC15" s="130">
        <v>6</v>
      </c>
      <c r="CD15" s="131">
        <f t="shared" si="5"/>
        <v>0</v>
      </c>
      <c r="CE15" s="132"/>
      <c r="CF15" s="133"/>
      <c r="CG15" s="133"/>
      <c r="CH15" s="134">
        <v>8.4</v>
      </c>
      <c r="CI15" s="133"/>
      <c r="CJ15" s="134">
        <v>8.4</v>
      </c>
      <c r="CK15" s="135"/>
      <c r="CL15" s="130">
        <v>6</v>
      </c>
      <c r="CM15" s="136">
        <f t="shared" si="6"/>
        <v>0</v>
      </c>
      <c r="CN15" s="132"/>
      <c r="CO15" s="133"/>
      <c r="CP15" s="133"/>
      <c r="CQ15" s="134">
        <v>8.4</v>
      </c>
      <c r="CR15" s="133"/>
      <c r="CS15" s="134">
        <v>8.4</v>
      </c>
      <c r="CT15" s="135"/>
      <c r="CU15" s="130">
        <v>6</v>
      </c>
      <c r="CV15" s="131">
        <f t="shared" si="7"/>
        <v>0</v>
      </c>
      <c r="CW15" s="132"/>
      <c r="CX15" s="133"/>
      <c r="CY15" s="133"/>
      <c r="CZ15" s="134">
        <v>8.4</v>
      </c>
      <c r="DA15" s="133"/>
      <c r="DB15" s="134">
        <v>8.4</v>
      </c>
      <c r="DC15" s="135"/>
      <c r="DD15" s="130">
        <v>6</v>
      </c>
      <c r="DE15" s="131">
        <f t="shared" si="8"/>
        <v>0</v>
      </c>
      <c r="DF15" s="132"/>
      <c r="DG15" s="133"/>
      <c r="DH15" s="133"/>
      <c r="DI15" s="134">
        <v>8.4</v>
      </c>
      <c r="DJ15" s="133"/>
      <c r="DK15" s="134">
        <v>8.4</v>
      </c>
      <c r="DL15" s="135"/>
      <c r="DM15" s="130">
        <v>6</v>
      </c>
      <c r="DN15" s="131">
        <f t="shared" si="9"/>
        <v>0</v>
      </c>
      <c r="DO15" s="132"/>
      <c r="DP15" s="133"/>
      <c r="DQ15" s="133"/>
      <c r="DR15" s="134">
        <v>8.4</v>
      </c>
      <c r="DS15" s="133"/>
      <c r="DT15" s="134">
        <v>8.4</v>
      </c>
      <c r="DU15" s="135"/>
      <c r="DV15" s="130">
        <v>6</v>
      </c>
      <c r="DW15" s="137">
        <f t="shared" si="10"/>
        <v>0</v>
      </c>
      <c r="DX15" s="138"/>
      <c r="DY15" s="134">
        <f t="shared" si="11"/>
        <v>0</v>
      </c>
      <c r="DZ15" s="134">
        <f t="shared" si="12"/>
        <v>0</v>
      </c>
      <c r="EA15" s="134">
        <f t="shared" si="13"/>
        <v>0</v>
      </c>
      <c r="EB15" s="138"/>
      <c r="EC15" s="139"/>
      <c r="ED15" s="1"/>
      <c r="EE15" s="1"/>
      <c r="EF15" s="1"/>
    </row>
    <row r="16" spans="1:136" x14ac:dyDescent="0.25">
      <c r="A16" s="118">
        <v>1</v>
      </c>
      <c r="B16" s="14" t="s">
        <v>35</v>
      </c>
      <c r="C16" s="13" t="s">
        <v>29</v>
      </c>
      <c r="D16" s="119" t="s">
        <v>30</v>
      </c>
      <c r="E16" s="140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2"/>
      <c r="Q16" s="123"/>
      <c r="R16" s="124"/>
      <c r="S16" s="125"/>
      <c r="T16" s="126"/>
      <c r="U16" s="127"/>
      <c r="V16" s="127"/>
      <c r="W16" s="128">
        <v>8.4</v>
      </c>
      <c r="X16" s="127"/>
      <c r="Y16" s="128">
        <v>8.4</v>
      </c>
      <c r="Z16" s="127"/>
      <c r="AA16" s="130">
        <v>6</v>
      </c>
      <c r="AB16" s="131">
        <f t="shared" si="0"/>
        <v>0</v>
      </c>
      <c r="AC16" s="126"/>
      <c r="AD16" s="127"/>
      <c r="AE16" s="127"/>
      <c r="AF16" s="128">
        <v>8.4</v>
      </c>
      <c r="AG16" s="127"/>
      <c r="AH16" s="128">
        <v>8.4</v>
      </c>
      <c r="AI16" s="127"/>
      <c r="AJ16" s="130">
        <v>6</v>
      </c>
      <c r="AK16" s="131">
        <f t="shared" si="14"/>
        <v>0</v>
      </c>
      <c r="AL16" s="126"/>
      <c r="AM16" s="127"/>
      <c r="AN16" s="127"/>
      <c r="AO16" s="128">
        <v>8.4</v>
      </c>
      <c r="AP16" s="127"/>
      <c r="AQ16" s="128">
        <v>8.4</v>
      </c>
      <c r="AR16" s="127"/>
      <c r="AS16" s="130">
        <v>6</v>
      </c>
      <c r="AT16" s="131">
        <f t="shared" si="1"/>
        <v>0</v>
      </c>
      <c r="AU16" s="132"/>
      <c r="AV16" s="133"/>
      <c r="AW16" s="133"/>
      <c r="AX16" s="134">
        <v>8.4</v>
      </c>
      <c r="AY16" s="133"/>
      <c r="AZ16" s="134">
        <v>8.4</v>
      </c>
      <c r="BA16" s="133"/>
      <c r="BB16" s="130">
        <v>6</v>
      </c>
      <c r="BC16" s="131">
        <f t="shared" si="2"/>
        <v>0</v>
      </c>
      <c r="BD16" s="132"/>
      <c r="BE16" s="133"/>
      <c r="BF16" s="133"/>
      <c r="BG16" s="134">
        <v>8.4</v>
      </c>
      <c r="BH16" s="133"/>
      <c r="BI16" s="134">
        <v>8.4</v>
      </c>
      <c r="BJ16" s="133"/>
      <c r="BK16" s="130">
        <v>6</v>
      </c>
      <c r="BL16" s="131">
        <f t="shared" si="3"/>
        <v>0</v>
      </c>
      <c r="BM16" s="132"/>
      <c r="BN16" s="133"/>
      <c r="BO16" s="133"/>
      <c r="BP16" s="134">
        <v>8.4</v>
      </c>
      <c r="BQ16" s="133"/>
      <c r="BR16" s="134">
        <v>8.4</v>
      </c>
      <c r="BS16" s="133"/>
      <c r="BT16" s="130">
        <v>6</v>
      </c>
      <c r="BU16" s="131">
        <f t="shared" si="4"/>
        <v>0</v>
      </c>
      <c r="BV16" s="132"/>
      <c r="BW16" s="133"/>
      <c r="BX16" s="133"/>
      <c r="BY16" s="134">
        <v>8.4</v>
      </c>
      <c r="BZ16" s="133"/>
      <c r="CA16" s="134">
        <v>8.4</v>
      </c>
      <c r="CB16" s="133"/>
      <c r="CC16" s="130">
        <v>6</v>
      </c>
      <c r="CD16" s="131">
        <f t="shared" si="5"/>
        <v>0</v>
      </c>
      <c r="CE16" s="132"/>
      <c r="CF16" s="133"/>
      <c r="CG16" s="133"/>
      <c r="CH16" s="134">
        <v>8.4</v>
      </c>
      <c r="CI16" s="133"/>
      <c r="CJ16" s="134">
        <v>8.4</v>
      </c>
      <c r="CK16" s="133"/>
      <c r="CL16" s="130">
        <v>6</v>
      </c>
      <c r="CM16" s="136">
        <f t="shared" si="6"/>
        <v>0</v>
      </c>
      <c r="CN16" s="132"/>
      <c r="CO16" s="133"/>
      <c r="CP16" s="133"/>
      <c r="CQ16" s="134">
        <v>8.4</v>
      </c>
      <c r="CR16" s="133"/>
      <c r="CS16" s="134">
        <v>8.4</v>
      </c>
      <c r="CT16" s="133"/>
      <c r="CU16" s="130">
        <v>6</v>
      </c>
      <c r="CV16" s="131">
        <f t="shared" si="7"/>
        <v>0</v>
      </c>
      <c r="CW16" s="132"/>
      <c r="CX16" s="133"/>
      <c r="CY16" s="133"/>
      <c r="CZ16" s="134">
        <v>8.4</v>
      </c>
      <c r="DA16" s="133"/>
      <c r="DB16" s="134">
        <v>8.4</v>
      </c>
      <c r="DC16" s="133"/>
      <c r="DD16" s="130">
        <v>6</v>
      </c>
      <c r="DE16" s="131">
        <f t="shared" si="8"/>
        <v>0</v>
      </c>
      <c r="DF16" s="132"/>
      <c r="DG16" s="133"/>
      <c r="DH16" s="133"/>
      <c r="DI16" s="134">
        <v>8.4</v>
      </c>
      <c r="DJ16" s="133"/>
      <c r="DK16" s="134">
        <v>8.4</v>
      </c>
      <c r="DL16" s="133"/>
      <c r="DM16" s="130">
        <v>6</v>
      </c>
      <c r="DN16" s="131">
        <f t="shared" si="9"/>
        <v>0</v>
      </c>
      <c r="DO16" s="132"/>
      <c r="DP16" s="133"/>
      <c r="DQ16" s="133"/>
      <c r="DR16" s="134">
        <v>8.4</v>
      </c>
      <c r="DS16" s="133"/>
      <c r="DT16" s="134">
        <v>8.4</v>
      </c>
      <c r="DU16" s="133"/>
      <c r="DV16" s="130">
        <v>6</v>
      </c>
      <c r="DW16" s="137">
        <f t="shared" si="10"/>
        <v>0</v>
      </c>
      <c r="DX16" s="138"/>
      <c r="DY16" s="134">
        <f t="shared" si="11"/>
        <v>0</v>
      </c>
      <c r="DZ16" s="134">
        <f t="shared" si="12"/>
        <v>0</v>
      </c>
      <c r="EA16" s="134">
        <f t="shared" si="13"/>
        <v>0</v>
      </c>
      <c r="EB16" s="138"/>
      <c r="EC16" s="139"/>
      <c r="ED16" s="1"/>
      <c r="EE16" s="1"/>
      <c r="EF16" s="1"/>
    </row>
    <row r="17" spans="1:136" x14ac:dyDescent="0.25">
      <c r="A17" s="118">
        <v>1</v>
      </c>
      <c r="B17" s="14" t="s">
        <v>43</v>
      </c>
      <c r="C17" s="13" t="s">
        <v>36</v>
      </c>
      <c r="D17" s="119" t="s">
        <v>37</v>
      </c>
      <c r="E17" s="120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2"/>
      <c r="Q17" s="123"/>
      <c r="R17" s="124"/>
      <c r="S17" s="125"/>
      <c r="T17" s="126"/>
      <c r="U17" s="127"/>
      <c r="V17" s="127"/>
      <c r="W17" s="128">
        <v>8.4</v>
      </c>
      <c r="X17" s="127"/>
      <c r="Y17" s="128">
        <v>8.4</v>
      </c>
      <c r="Z17" s="127"/>
      <c r="AA17" s="130">
        <v>6</v>
      </c>
      <c r="AB17" s="131">
        <f t="shared" si="0"/>
        <v>0</v>
      </c>
      <c r="AC17" s="126"/>
      <c r="AD17" s="127"/>
      <c r="AE17" s="127"/>
      <c r="AF17" s="128">
        <v>8.4</v>
      </c>
      <c r="AG17" s="127"/>
      <c r="AH17" s="128">
        <v>8.4</v>
      </c>
      <c r="AI17" s="127"/>
      <c r="AJ17" s="130">
        <v>6</v>
      </c>
      <c r="AK17" s="131">
        <f t="shared" si="14"/>
        <v>0</v>
      </c>
      <c r="AL17" s="126"/>
      <c r="AM17" s="127"/>
      <c r="AN17" s="127"/>
      <c r="AO17" s="128">
        <v>8.4</v>
      </c>
      <c r="AP17" s="127"/>
      <c r="AQ17" s="128">
        <v>8.4</v>
      </c>
      <c r="AR17" s="127"/>
      <c r="AS17" s="130">
        <v>6</v>
      </c>
      <c r="AT17" s="131">
        <f t="shared" si="1"/>
        <v>0</v>
      </c>
      <c r="AU17" s="132"/>
      <c r="AV17" s="133"/>
      <c r="AW17" s="133"/>
      <c r="AX17" s="134">
        <v>8.4</v>
      </c>
      <c r="AY17" s="133"/>
      <c r="AZ17" s="134">
        <v>8.4</v>
      </c>
      <c r="BA17" s="133"/>
      <c r="BB17" s="130">
        <v>6</v>
      </c>
      <c r="BC17" s="131">
        <f t="shared" si="2"/>
        <v>0</v>
      </c>
      <c r="BD17" s="132"/>
      <c r="BE17" s="133"/>
      <c r="BF17" s="133"/>
      <c r="BG17" s="134">
        <v>8.4</v>
      </c>
      <c r="BH17" s="133"/>
      <c r="BI17" s="134">
        <v>8.4</v>
      </c>
      <c r="BJ17" s="133"/>
      <c r="BK17" s="130">
        <v>6</v>
      </c>
      <c r="BL17" s="131">
        <f t="shared" si="3"/>
        <v>0</v>
      </c>
      <c r="BM17" s="132"/>
      <c r="BN17" s="133"/>
      <c r="BO17" s="133"/>
      <c r="BP17" s="134">
        <v>8.4</v>
      </c>
      <c r="BQ17" s="133"/>
      <c r="BR17" s="134">
        <v>8.4</v>
      </c>
      <c r="BS17" s="133"/>
      <c r="BT17" s="130">
        <v>6</v>
      </c>
      <c r="BU17" s="131">
        <f t="shared" si="4"/>
        <v>0</v>
      </c>
      <c r="BV17" s="132"/>
      <c r="BW17" s="133"/>
      <c r="BX17" s="133"/>
      <c r="BY17" s="134">
        <v>8.4</v>
      </c>
      <c r="BZ17" s="133"/>
      <c r="CA17" s="134">
        <v>8.4</v>
      </c>
      <c r="CB17" s="133"/>
      <c r="CC17" s="130">
        <v>6</v>
      </c>
      <c r="CD17" s="131">
        <f t="shared" si="5"/>
        <v>0</v>
      </c>
      <c r="CE17" s="132"/>
      <c r="CF17" s="133"/>
      <c r="CG17" s="133"/>
      <c r="CH17" s="134">
        <v>8.4</v>
      </c>
      <c r="CI17" s="133"/>
      <c r="CJ17" s="134">
        <v>8.4</v>
      </c>
      <c r="CK17" s="133"/>
      <c r="CL17" s="130">
        <v>6</v>
      </c>
      <c r="CM17" s="136">
        <f t="shared" si="6"/>
        <v>0</v>
      </c>
      <c r="CN17" s="132"/>
      <c r="CO17" s="133"/>
      <c r="CP17" s="133"/>
      <c r="CQ17" s="134">
        <v>8.4</v>
      </c>
      <c r="CR17" s="133"/>
      <c r="CS17" s="134">
        <v>8.4</v>
      </c>
      <c r="CT17" s="133"/>
      <c r="CU17" s="130">
        <v>6</v>
      </c>
      <c r="CV17" s="131">
        <f t="shared" si="7"/>
        <v>0</v>
      </c>
      <c r="CW17" s="132"/>
      <c r="CX17" s="133"/>
      <c r="CY17" s="133"/>
      <c r="CZ17" s="134">
        <v>8.4</v>
      </c>
      <c r="DA17" s="133"/>
      <c r="DB17" s="134">
        <v>8.4</v>
      </c>
      <c r="DC17" s="133"/>
      <c r="DD17" s="130">
        <v>6</v>
      </c>
      <c r="DE17" s="131">
        <f t="shared" si="8"/>
        <v>0</v>
      </c>
      <c r="DF17" s="132"/>
      <c r="DG17" s="133"/>
      <c r="DH17" s="133"/>
      <c r="DI17" s="134">
        <v>8.4</v>
      </c>
      <c r="DJ17" s="133"/>
      <c r="DK17" s="134">
        <v>8.4</v>
      </c>
      <c r="DL17" s="133"/>
      <c r="DM17" s="130">
        <v>6</v>
      </c>
      <c r="DN17" s="131">
        <f t="shared" si="9"/>
        <v>0</v>
      </c>
      <c r="DO17" s="132"/>
      <c r="DP17" s="133"/>
      <c r="DQ17" s="133"/>
      <c r="DR17" s="134">
        <v>8.4</v>
      </c>
      <c r="DS17" s="133"/>
      <c r="DT17" s="134">
        <v>8.4</v>
      </c>
      <c r="DU17" s="133"/>
      <c r="DV17" s="130">
        <v>6</v>
      </c>
      <c r="DW17" s="137">
        <f t="shared" si="10"/>
        <v>0</v>
      </c>
      <c r="DX17" s="138"/>
      <c r="DY17" s="134">
        <f t="shared" si="11"/>
        <v>0</v>
      </c>
      <c r="DZ17" s="134">
        <f t="shared" si="12"/>
        <v>0</v>
      </c>
      <c r="EA17" s="134">
        <f t="shared" si="13"/>
        <v>0</v>
      </c>
      <c r="EB17" s="138"/>
      <c r="EC17" s="139"/>
      <c r="ED17" s="1"/>
      <c r="EE17" s="1"/>
      <c r="EF17" s="1"/>
    </row>
    <row r="18" spans="1:136" x14ac:dyDescent="0.25">
      <c r="A18" s="118">
        <v>1</v>
      </c>
      <c r="B18" s="14" t="s">
        <v>62</v>
      </c>
      <c r="C18" s="13" t="s">
        <v>56</v>
      </c>
      <c r="D18" s="119" t="s">
        <v>57</v>
      </c>
      <c r="E18" s="140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2"/>
      <c r="Q18" s="123"/>
      <c r="R18" s="124"/>
      <c r="S18" s="125"/>
      <c r="T18" s="126"/>
      <c r="U18" s="127"/>
      <c r="V18" s="127"/>
      <c r="W18" s="128">
        <v>8.4</v>
      </c>
      <c r="X18" s="127"/>
      <c r="Y18" s="128">
        <v>8.4</v>
      </c>
      <c r="Z18" s="127"/>
      <c r="AA18" s="130">
        <v>6</v>
      </c>
      <c r="AB18" s="131">
        <f t="shared" si="0"/>
        <v>0</v>
      </c>
      <c r="AC18" s="126"/>
      <c r="AD18" s="127"/>
      <c r="AE18" s="127"/>
      <c r="AF18" s="128">
        <v>8.4</v>
      </c>
      <c r="AG18" s="127"/>
      <c r="AH18" s="128">
        <v>8.4</v>
      </c>
      <c r="AI18" s="127"/>
      <c r="AJ18" s="130">
        <v>6</v>
      </c>
      <c r="AK18" s="131">
        <f t="shared" si="14"/>
        <v>0</v>
      </c>
      <c r="AL18" s="126"/>
      <c r="AM18" s="127"/>
      <c r="AN18" s="127"/>
      <c r="AO18" s="128">
        <v>8.4</v>
      </c>
      <c r="AP18" s="127"/>
      <c r="AQ18" s="128">
        <v>8.4</v>
      </c>
      <c r="AR18" s="127"/>
      <c r="AS18" s="130">
        <v>6</v>
      </c>
      <c r="AT18" s="131">
        <f t="shared" si="1"/>
        <v>0</v>
      </c>
      <c r="AU18" s="132"/>
      <c r="AV18" s="133"/>
      <c r="AW18" s="133"/>
      <c r="AX18" s="134">
        <v>8.4</v>
      </c>
      <c r="AY18" s="133"/>
      <c r="AZ18" s="134">
        <v>8.4</v>
      </c>
      <c r="BA18" s="133"/>
      <c r="BB18" s="130">
        <v>6</v>
      </c>
      <c r="BC18" s="131">
        <f t="shared" si="2"/>
        <v>0</v>
      </c>
      <c r="BD18" s="132"/>
      <c r="BE18" s="133"/>
      <c r="BF18" s="133"/>
      <c r="BG18" s="134">
        <v>8.4</v>
      </c>
      <c r="BH18" s="133"/>
      <c r="BI18" s="134">
        <v>8.4</v>
      </c>
      <c r="BJ18" s="133"/>
      <c r="BK18" s="130">
        <v>6</v>
      </c>
      <c r="BL18" s="131">
        <f t="shared" si="3"/>
        <v>0</v>
      </c>
      <c r="BM18" s="132"/>
      <c r="BN18" s="133"/>
      <c r="BO18" s="133"/>
      <c r="BP18" s="134">
        <v>8.4</v>
      </c>
      <c r="BQ18" s="133"/>
      <c r="BR18" s="134">
        <v>8.4</v>
      </c>
      <c r="BS18" s="133"/>
      <c r="BT18" s="130">
        <v>6</v>
      </c>
      <c r="BU18" s="131">
        <f t="shared" si="4"/>
        <v>0</v>
      </c>
      <c r="BV18" s="132"/>
      <c r="BW18" s="133"/>
      <c r="BX18" s="133"/>
      <c r="BY18" s="134">
        <v>8.4</v>
      </c>
      <c r="BZ18" s="133"/>
      <c r="CA18" s="134">
        <v>8.4</v>
      </c>
      <c r="CB18" s="133"/>
      <c r="CC18" s="130">
        <v>6</v>
      </c>
      <c r="CD18" s="131">
        <f t="shared" si="5"/>
        <v>0</v>
      </c>
      <c r="CE18" s="132"/>
      <c r="CF18" s="133"/>
      <c r="CG18" s="133"/>
      <c r="CH18" s="134">
        <v>8.4</v>
      </c>
      <c r="CI18" s="133"/>
      <c r="CJ18" s="134">
        <v>8.4</v>
      </c>
      <c r="CK18" s="133"/>
      <c r="CL18" s="130">
        <v>6</v>
      </c>
      <c r="CM18" s="136">
        <f t="shared" si="6"/>
        <v>0</v>
      </c>
      <c r="CN18" s="132"/>
      <c r="CO18" s="133"/>
      <c r="CP18" s="133"/>
      <c r="CQ18" s="134">
        <v>8.4</v>
      </c>
      <c r="CR18" s="133"/>
      <c r="CS18" s="134">
        <v>8.4</v>
      </c>
      <c r="CT18" s="133"/>
      <c r="CU18" s="130">
        <v>6</v>
      </c>
      <c r="CV18" s="131">
        <f t="shared" si="7"/>
        <v>0</v>
      </c>
      <c r="CW18" s="132"/>
      <c r="CX18" s="133"/>
      <c r="CY18" s="133"/>
      <c r="CZ18" s="134">
        <v>8.4</v>
      </c>
      <c r="DA18" s="133"/>
      <c r="DB18" s="134">
        <v>8.4</v>
      </c>
      <c r="DC18" s="133"/>
      <c r="DD18" s="130">
        <v>6</v>
      </c>
      <c r="DE18" s="131">
        <f t="shared" si="8"/>
        <v>0</v>
      </c>
      <c r="DF18" s="132"/>
      <c r="DG18" s="133"/>
      <c r="DH18" s="133"/>
      <c r="DI18" s="134">
        <v>8.4</v>
      </c>
      <c r="DJ18" s="133"/>
      <c r="DK18" s="134">
        <v>8.4</v>
      </c>
      <c r="DL18" s="133"/>
      <c r="DM18" s="130">
        <v>6</v>
      </c>
      <c r="DN18" s="131">
        <f t="shared" si="9"/>
        <v>0</v>
      </c>
      <c r="DO18" s="132"/>
      <c r="DP18" s="133"/>
      <c r="DQ18" s="133"/>
      <c r="DR18" s="134">
        <v>8.4</v>
      </c>
      <c r="DS18" s="133"/>
      <c r="DT18" s="134">
        <v>8.4</v>
      </c>
      <c r="DU18" s="133"/>
      <c r="DV18" s="130">
        <v>6</v>
      </c>
      <c r="DW18" s="137">
        <f t="shared" si="10"/>
        <v>0</v>
      </c>
      <c r="DX18" s="138"/>
      <c r="DY18" s="134">
        <f t="shared" si="11"/>
        <v>0</v>
      </c>
      <c r="DZ18" s="134">
        <f t="shared" si="12"/>
        <v>0</v>
      </c>
      <c r="EA18" s="134">
        <f t="shared" si="13"/>
        <v>0</v>
      </c>
      <c r="EB18" s="138"/>
      <c r="EC18" s="139"/>
      <c r="ED18" s="1"/>
      <c r="EE18" s="1"/>
      <c r="EF18" s="1"/>
    </row>
    <row r="19" spans="1:136" x14ac:dyDescent="0.25">
      <c r="A19" s="118">
        <v>1</v>
      </c>
      <c r="B19" s="14" t="s">
        <v>20</v>
      </c>
      <c r="C19" s="13" t="s">
        <v>69</v>
      </c>
      <c r="D19" s="119" t="s">
        <v>70</v>
      </c>
      <c r="E19" s="120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2"/>
      <c r="Q19" s="123"/>
      <c r="R19" s="124"/>
      <c r="S19" s="125"/>
      <c r="T19" s="126"/>
      <c r="U19" s="127"/>
      <c r="V19" s="127"/>
      <c r="W19" s="128">
        <v>8.4</v>
      </c>
      <c r="X19" s="127"/>
      <c r="Y19" s="128">
        <v>8.4</v>
      </c>
      <c r="Z19" s="127"/>
      <c r="AA19" s="130">
        <v>6</v>
      </c>
      <c r="AB19" s="131">
        <f t="shared" si="0"/>
        <v>0</v>
      </c>
      <c r="AC19" s="126"/>
      <c r="AD19" s="127"/>
      <c r="AE19" s="127"/>
      <c r="AF19" s="128">
        <v>8.4</v>
      </c>
      <c r="AG19" s="127"/>
      <c r="AH19" s="128">
        <v>8.4</v>
      </c>
      <c r="AI19" s="127"/>
      <c r="AJ19" s="130">
        <v>6</v>
      </c>
      <c r="AK19" s="131">
        <f t="shared" si="14"/>
        <v>0</v>
      </c>
      <c r="AL19" s="126"/>
      <c r="AM19" s="127"/>
      <c r="AN19" s="127"/>
      <c r="AO19" s="128">
        <v>8.4</v>
      </c>
      <c r="AP19" s="127"/>
      <c r="AQ19" s="128">
        <v>8.4</v>
      </c>
      <c r="AR19" s="127"/>
      <c r="AS19" s="130">
        <v>6</v>
      </c>
      <c r="AT19" s="131">
        <f t="shared" si="1"/>
        <v>0</v>
      </c>
      <c r="AU19" s="132"/>
      <c r="AV19" s="133"/>
      <c r="AW19" s="133"/>
      <c r="AX19" s="134">
        <v>8.4</v>
      </c>
      <c r="AY19" s="133"/>
      <c r="AZ19" s="134">
        <v>8.4</v>
      </c>
      <c r="BA19" s="133"/>
      <c r="BB19" s="130">
        <v>6</v>
      </c>
      <c r="BC19" s="131">
        <f t="shared" si="2"/>
        <v>0</v>
      </c>
      <c r="BD19" s="132"/>
      <c r="BE19" s="133"/>
      <c r="BF19" s="133"/>
      <c r="BG19" s="134">
        <v>8.4</v>
      </c>
      <c r="BH19" s="133"/>
      <c r="BI19" s="134">
        <v>8.4</v>
      </c>
      <c r="BJ19" s="133"/>
      <c r="BK19" s="130">
        <v>6</v>
      </c>
      <c r="BL19" s="131">
        <f t="shared" si="3"/>
        <v>0</v>
      </c>
      <c r="BM19" s="132"/>
      <c r="BN19" s="133"/>
      <c r="BO19" s="133"/>
      <c r="BP19" s="134">
        <v>8.4</v>
      </c>
      <c r="BQ19" s="133"/>
      <c r="BR19" s="134">
        <v>8.4</v>
      </c>
      <c r="BS19" s="133"/>
      <c r="BT19" s="130">
        <v>6</v>
      </c>
      <c r="BU19" s="131">
        <f t="shared" si="4"/>
        <v>0</v>
      </c>
      <c r="BV19" s="132"/>
      <c r="BW19" s="133"/>
      <c r="BX19" s="133"/>
      <c r="BY19" s="134">
        <v>8.4</v>
      </c>
      <c r="BZ19" s="133"/>
      <c r="CA19" s="134">
        <v>8.4</v>
      </c>
      <c r="CB19" s="133"/>
      <c r="CC19" s="130">
        <v>6</v>
      </c>
      <c r="CD19" s="131">
        <f t="shared" si="5"/>
        <v>0</v>
      </c>
      <c r="CE19" s="132"/>
      <c r="CF19" s="133"/>
      <c r="CG19" s="133"/>
      <c r="CH19" s="134">
        <v>8.4</v>
      </c>
      <c r="CI19" s="133"/>
      <c r="CJ19" s="134">
        <v>8.4</v>
      </c>
      <c r="CK19" s="133"/>
      <c r="CL19" s="130">
        <v>6</v>
      </c>
      <c r="CM19" s="136">
        <f t="shared" si="6"/>
        <v>0</v>
      </c>
      <c r="CN19" s="132"/>
      <c r="CO19" s="133"/>
      <c r="CP19" s="133"/>
      <c r="CQ19" s="134">
        <v>8.4</v>
      </c>
      <c r="CR19" s="133"/>
      <c r="CS19" s="134">
        <v>8.4</v>
      </c>
      <c r="CT19" s="133"/>
      <c r="CU19" s="130">
        <v>6</v>
      </c>
      <c r="CV19" s="131">
        <f t="shared" si="7"/>
        <v>0</v>
      </c>
      <c r="CW19" s="132"/>
      <c r="CX19" s="133"/>
      <c r="CY19" s="133"/>
      <c r="CZ19" s="134">
        <v>8.4</v>
      </c>
      <c r="DA19" s="133"/>
      <c r="DB19" s="134">
        <v>8.4</v>
      </c>
      <c r="DC19" s="133"/>
      <c r="DD19" s="130">
        <v>6</v>
      </c>
      <c r="DE19" s="131">
        <f t="shared" si="8"/>
        <v>0</v>
      </c>
      <c r="DF19" s="132"/>
      <c r="DG19" s="133"/>
      <c r="DH19" s="133"/>
      <c r="DI19" s="134">
        <v>8.4</v>
      </c>
      <c r="DJ19" s="133"/>
      <c r="DK19" s="134">
        <v>8.4</v>
      </c>
      <c r="DL19" s="133"/>
      <c r="DM19" s="130">
        <v>6</v>
      </c>
      <c r="DN19" s="131">
        <f t="shared" si="9"/>
        <v>0</v>
      </c>
      <c r="DO19" s="132"/>
      <c r="DP19" s="133"/>
      <c r="DQ19" s="133"/>
      <c r="DR19" s="134">
        <v>8.4</v>
      </c>
      <c r="DS19" s="133"/>
      <c r="DT19" s="134">
        <v>8.4</v>
      </c>
      <c r="DU19" s="133"/>
      <c r="DV19" s="130">
        <v>6</v>
      </c>
      <c r="DW19" s="137">
        <f t="shared" si="10"/>
        <v>0</v>
      </c>
      <c r="DX19" s="138"/>
      <c r="DY19" s="134">
        <f t="shared" si="11"/>
        <v>0</v>
      </c>
      <c r="DZ19" s="134">
        <f t="shared" si="12"/>
        <v>0</v>
      </c>
      <c r="EA19" s="134">
        <f t="shared" si="13"/>
        <v>0</v>
      </c>
      <c r="EB19" s="138"/>
      <c r="EC19" s="139"/>
      <c r="ED19" s="1"/>
      <c r="EE19" s="1"/>
      <c r="EF19" s="1"/>
    </row>
    <row r="20" spans="1:136" x14ac:dyDescent="0.25">
      <c r="A20" s="118">
        <v>1</v>
      </c>
      <c r="B20" s="14" t="s">
        <v>20</v>
      </c>
      <c r="C20" s="13" t="s">
        <v>323</v>
      </c>
      <c r="D20" s="119" t="s">
        <v>324</v>
      </c>
      <c r="E20" s="140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2"/>
      <c r="Q20" s="123"/>
      <c r="R20" s="124"/>
      <c r="S20" s="125"/>
      <c r="T20" s="126"/>
      <c r="U20" s="127"/>
      <c r="V20" s="127"/>
      <c r="W20" s="128">
        <v>8.4</v>
      </c>
      <c r="X20" s="127"/>
      <c r="Y20" s="128">
        <v>8.4</v>
      </c>
      <c r="Z20" s="127"/>
      <c r="AA20" s="130">
        <v>6</v>
      </c>
      <c r="AB20" s="131">
        <f t="shared" si="0"/>
        <v>0</v>
      </c>
      <c r="AC20" s="126"/>
      <c r="AD20" s="127"/>
      <c r="AE20" s="127"/>
      <c r="AF20" s="128">
        <v>8.4</v>
      </c>
      <c r="AG20" s="127"/>
      <c r="AH20" s="128">
        <v>8.4</v>
      </c>
      <c r="AI20" s="127"/>
      <c r="AJ20" s="130">
        <v>6</v>
      </c>
      <c r="AK20" s="131">
        <f t="shared" si="14"/>
        <v>0</v>
      </c>
      <c r="AL20" s="126"/>
      <c r="AM20" s="127"/>
      <c r="AN20" s="127"/>
      <c r="AO20" s="128">
        <v>8.4</v>
      </c>
      <c r="AP20" s="127"/>
      <c r="AQ20" s="128">
        <v>8.4</v>
      </c>
      <c r="AR20" s="127"/>
      <c r="AS20" s="130">
        <v>6</v>
      </c>
      <c r="AT20" s="131">
        <f t="shared" si="1"/>
        <v>0</v>
      </c>
      <c r="AU20" s="132"/>
      <c r="AV20" s="133"/>
      <c r="AW20" s="133"/>
      <c r="AX20" s="134">
        <v>8.4</v>
      </c>
      <c r="AY20" s="133"/>
      <c r="AZ20" s="134">
        <v>8.4</v>
      </c>
      <c r="BA20" s="133"/>
      <c r="BB20" s="130">
        <v>6</v>
      </c>
      <c r="BC20" s="131">
        <f t="shared" si="2"/>
        <v>0</v>
      </c>
      <c r="BD20" s="132"/>
      <c r="BE20" s="133"/>
      <c r="BF20" s="133"/>
      <c r="BG20" s="134">
        <v>8.4</v>
      </c>
      <c r="BH20" s="133"/>
      <c r="BI20" s="134">
        <v>8.4</v>
      </c>
      <c r="BJ20" s="133"/>
      <c r="BK20" s="130">
        <v>6</v>
      </c>
      <c r="BL20" s="131">
        <f t="shared" si="3"/>
        <v>0</v>
      </c>
      <c r="BM20" s="132"/>
      <c r="BN20" s="133"/>
      <c r="BO20" s="133"/>
      <c r="BP20" s="134">
        <v>8.4</v>
      </c>
      <c r="BQ20" s="133"/>
      <c r="BR20" s="134">
        <v>8.4</v>
      </c>
      <c r="BS20" s="133"/>
      <c r="BT20" s="130">
        <v>6</v>
      </c>
      <c r="BU20" s="131">
        <f t="shared" si="4"/>
        <v>0</v>
      </c>
      <c r="BV20" s="132"/>
      <c r="BW20" s="133"/>
      <c r="BX20" s="133"/>
      <c r="BY20" s="134">
        <v>8.4</v>
      </c>
      <c r="BZ20" s="133"/>
      <c r="CA20" s="134">
        <v>8.4</v>
      </c>
      <c r="CB20" s="133"/>
      <c r="CC20" s="130">
        <v>6</v>
      </c>
      <c r="CD20" s="131">
        <f t="shared" si="5"/>
        <v>0</v>
      </c>
      <c r="CE20" s="132"/>
      <c r="CF20" s="133"/>
      <c r="CG20" s="133"/>
      <c r="CH20" s="134">
        <v>8.4</v>
      </c>
      <c r="CI20" s="133"/>
      <c r="CJ20" s="134">
        <v>8.4</v>
      </c>
      <c r="CK20" s="133"/>
      <c r="CL20" s="130">
        <v>6</v>
      </c>
      <c r="CM20" s="136">
        <f t="shared" si="6"/>
        <v>0</v>
      </c>
      <c r="CN20" s="132"/>
      <c r="CO20" s="133"/>
      <c r="CP20" s="133"/>
      <c r="CQ20" s="134">
        <v>8.4</v>
      </c>
      <c r="CR20" s="133"/>
      <c r="CS20" s="134">
        <v>8.4</v>
      </c>
      <c r="CT20" s="133"/>
      <c r="CU20" s="130">
        <v>6</v>
      </c>
      <c r="CV20" s="131">
        <f t="shared" si="7"/>
        <v>0</v>
      </c>
      <c r="CW20" s="132"/>
      <c r="CX20" s="133"/>
      <c r="CY20" s="133"/>
      <c r="CZ20" s="134">
        <v>8.4</v>
      </c>
      <c r="DA20" s="133"/>
      <c r="DB20" s="134">
        <v>8.4</v>
      </c>
      <c r="DC20" s="133"/>
      <c r="DD20" s="130">
        <v>6</v>
      </c>
      <c r="DE20" s="131">
        <f t="shared" si="8"/>
        <v>0</v>
      </c>
      <c r="DF20" s="132"/>
      <c r="DG20" s="133"/>
      <c r="DH20" s="133"/>
      <c r="DI20" s="134">
        <v>8.4</v>
      </c>
      <c r="DJ20" s="133"/>
      <c r="DK20" s="134">
        <v>8.4</v>
      </c>
      <c r="DL20" s="133"/>
      <c r="DM20" s="130">
        <v>6</v>
      </c>
      <c r="DN20" s="131">
        <f t="shared" si="9"/>
        <v>0</v>
      </c>
      <c r="DO20" s="132"/>
      <c r="DP20" s="133"/>
      <c r="DQ20" s="133"/>
      <c r="DR20" s="134">
        <v>8.4</v>
      </c>
      <c r="DS20" s="133"/>
      <c r="DT20" s="134">
        <v>8.4</v>
      </c>
      <c r="DU20" s="133"/>
      <c r="DV20" s="130">
        <v>6</v>
      </c>
      <c r="DW20" s="137">
        <f t="shared" si="10"/>
        <v>0</v>
      </c>
      <c r="DX20" s="138"/>
      <c r="DY20" s="134">
        <f t="shared" si="11"/>
        <v>0</v>
      </c>
      <c r="DZ20" s="134">
        <f t="shared" si="12"/>
        <v>0</v>
      </c>
      <c r="EA20" s="134">
        <f t="shared" si="13"/>
        <v>0</v>
      </c>
      <c r="EB20" s="138"/>
      <c r="EC20" s="139"/>
      <c r="ED20" s="1"/>
      <c r="EE20" s="1"/>
      <c r="EF20" s="1"/>
    </row>
    <row r="21" spans="1:136" x14ac:dyDescent="0.25">
      <c r="A21" s="118">
        <v>1</v>
      </c>
      <c r="B21" s="14" t="s">
        <v>106</v>
      </c>
      <c r="C21" s="13" t="s">
        <v>99</v>
      </c>
      <c r="D21" s="119" t="s">
        <v>100</v>
      </c>
      <c r="E21" s="120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2"/>
      <c r="Q21" s="123"/>
      <c r="R21" s="124"/>
      <c r="S21" s="125"/>
      <c r="T21" s="126"/>
      <c r="U21" s="127"/>
      <c r="V21" s="127"/>
      <c r="W21" s="128">
        <v>8.4</v>
      </c>
      <c r="X21" s="127"/>
      <c r="Y21" s="128">
        <v>8.4</v>
      </c>
      <c r="Z21" s="127"/>
      <c r="AA21" s="130">
        <v>6</v>
      </c>
      <c r="AB21" s="131">
        <f t="shared" si="0"/>
        <v>0</v>
      </c>
      <c r="AC21" s="126"/>
      <c r="AD21" s="127"/>
      <c r="AE21" s="127"/>
      <c r="AF21" s="128">
        <v>8.4</v>
      </c>
      <c r="AG21" s="127"/>
      <c r="AH21" s="128">
        <v>8.4</v>
      </c>
      <c r="AI21" s="127"/>
      <c r="AJ21" s="130">
        <v>6</v>
      </c>
      <c r="AK21" s="131">
        <f t="shared" si="14"/>
        <v>0</v>
      </c>
      <c r="AL21" s="126"/>
      <c r="AM21" s="127"/>
      <c r="AN21" s="127"/>
      <c r="AO21" s="128">
        <v>8.4</v>
      </c>
      <c r="AP21" s="127"/>
      <c r="AQ21" s="128">
        <v>8.4</v>
      </c>
      <c r="AR21" s="127"/>
      <c r="AS21" s="130">
        <v>6</v>
      </c>
      <c r="AT21" s="131">
        <f t="shared" si="1"/>
        <v>0</v>
      </c>
      <c r="AU21" s="132"/>
      <c r="AV21" s="133"/>
      <c r="AW21" s="133"/>
      <c r="AX21" s="134">
        <v>8.4</v>
      </c>
      <c r="AY21" s="133"/>
      <c r="AZ21" s="134">
        <v>8.4</v>
      </c>
      <c r="BA21" s="133"/>
      <c r="BB21" s="130">
        <v>6</v>
      </c>
      <c r="BC21" s="131">
        <f t="shared" si="2"/>
        <v>0</v>
      </c>
      <c r="BD21" s="132"/>
      <c r="BE21" s="133"/>
      <c r="BF21" s="133"/>
      <c r="BG21" s="134">
        <v>8.4</v>
      </c>
      <c r="BH21" s="133"/>
      <c r="BI21" s="134">
        <v>8.4</v>
      </c>
      <c r="BJ21" s="133"/>
      <c r="BK21" s="130">
        <v>6</v>
      </c>
      <c r="BL21" s="131">
        <f t="shared" si="3"/>
        <v>0</v>
      </c>
      <c r="BM21" s="132"/>
      <c r="BN21" s="133"/>
      <c r="BO21" s="133"/>
      <c r="BP21" s="134">
        <v>8.4</v>
      </c>
      <c r="BQ21" s="133"/>
      <c r="BR21" s="134">
        <v>8.4</v>
      </c>
      <c r="BS21" s="133"/>
      <c r="BT21" s="130">
        <v>6</v>
      </c>
      <c r="BU21" s="131">
        <f t="shared" si="4"/>
        <v>0</v>
      </c>
      <c r="BV21" s="132"/>
      <c r="BW21" s="133"/>
      <c r="BX21" s="133"/>
      <c r="BY21" s="134">
        <v>8.4</v>
      </c>
      <c r="BZ21" s="133"/>
      <c r="CA21" s="134">
        <v>8.4</v>
      </c>
      <c r="CB21" s="133"/>
      <c r="CC21" s="130">
        <v>6</v>
      </c>
      <c r="CD21" s="131">
        <f t="shared" si="5"/>
        <v>0</v>
      </c>
      <c r="CE21" s="132"/>
      <c r="CF21" s="133"/>
      <c r="CG21" s="133"/>
      <c r="CH21" s="134">
        <v>8.4</v>
      </c>
      <c r="CI21" s="133"/>
      <c r="CJ21" s="134">
        <v>8.4</v>
      </c>
      <c r="CK21" s="133"/>
      <c r="CL21" s="130">
        <v>6</v>
      </c>
      <c r="CM21" s="136">
        <f t="shared" si="6"/>
        <v>0</v>
      </c>
      <c r="CN21" s="132"/>
      <c r="CO21" s="133"/>
      <c r="CP21" s="133"/>
      <c r="CQ21" s="134">
        <v>8.4</v>
      </c>
      <c r="CR21" s="133"/>
      <c r="CS21" s="134">
        <v>8.4</v>
      </c>
      <c r="CT21" s="133"/>
      <c r="CU21" s="130">
        <v>6</v>
      </c>
      <c r="CV21" s="131">
        <f t="shared" si="7"/>
        <v>0</v>
      </c>
      <c r="CW21" s="132"/>
      <c r="CX21" s="133"/>
      <c r="CY21" s="133"/>
      <c r="CZ21" s="134">
        <v>8.4</v>
      </c>
      <c r="DA21" s="133"/>
      <c r="DB21" s="134">
        <v>8.4</v>
      </c>
      <c r="DC21" s="133"/>
      <c r="DD21" s="130">
        <v>6</v>
      </c>
      <c r="DE21" s="131">
        <f t="shared" si="8"/>
        <v>0</v>
      </c>
      <c r="DF21" s="132"/>
      <c r="DG21" s="133"/>
      <c r="DH21" s="133"/>
      <c r="DI21" s="134">
        <v>8.4</v>
      </c>
      <c r="DJ21" s="133"/>
      <c r="DK21" s="134">
        <v>8.4</v>
      </c>
      <c r="DL21" s="133"/>
      <c r="DM21" s="130">
        <v>6</v>
      </c>
      <c r="DN21" s="131">
        <f t="shared" si="9"/>
        <v>0</v>
      </c>
      <c r="DO21" s="132"/>
      <c r="DP21" s="133"/>
      <c r="DQ21" s="133"/>
      <c r="DR21" s="134">
        <v>8.4</v>
      </c>
      <c r="DS21" s="133"/>
      <c r="DT21" s="134">
        <v>8.4</v>
      </c>
      <c r="DU21" s="133"/>
      <c r="DV21" s="130">
        <v>6</v>
      </c>
      <c r="DW21" s="137">
        <f t="shared" si="10"/>
        <v>0</v>
      </c>
      <c r="DX21" s="138"/>
      <c r="DY21" s="134">
        <f t="shared" si="11"/>
        <v>0</v>
      </c>
      <c r="DZ21" s="134">
        <f t="shared" si="12"/>
        <v>0</v>
      </c>
      <c r="EA21" s="134">
        <f t="shared" si="13"/>
        <v>0</v>
      </c>
      <c r="EB21" s="138"/>
      <c r="EC21" s="139"/>
      <c r="ED21" s="1"/>
      <c r="EE21" s="1"/>
      <c r="EF21" s="1"/>
    </row>
    <row r="22" spans="1:136" x14ac:dyDescent="0.25">
      <c r="A22" s="118">
        <v>1</v>
      </c>
      <c r="B22" s="14" t="s">
        <v>35</v>
      </c>
      <c r="C22" s="13" t="s">
        <v>325</v>
      </c>
      <c r="D22" s="119" t="s">
        <v>326</v>
      </c>
      <c r="E22" s="140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2"/>
      <c r="Q22" s="123"/>
      <c r="R22" s="124"/>
      <c r="S22" s="125"/>
      <c r="T22" s="126"/>
      <c r="U22" s="127"/>
      <c r="V22" s="127"/>
      <c r="W22" s="128">
        <v>8.4</v>
      </c>
      <c r="X22" s="127"/>
      <c r="Y22" s="128">
        <v>8.4</v>
      </c>
      <c r="Z22" s="127"/>
      <c r="AA22" s="130">
        <v>6</v>
      </c>
      <c r="AB22" s="131">
        <f t="shared" si="0"/>
        <v>0</v>
      </c>
      <c r="AC22" s="126"/>
      <c r="AD22" s="127"/>
      <c r="AE22" s="127"/>
      <c r="AF22" s="128">
        <v>8.4</v>
      </c>
      <c r="AG22" s="127"/>
      <c r="AH22" s="128">
        <v>8.4</v>
      </c>
      <c r="AI22" s="127"/>
      <c r="AJ22" s="130">
        <v>6</v>
      </c>
      <c r="AK22" s="131">
        <f t="shared" si="14"/>
        <v>0</v>
      </c>
      <c r="AL22" s="126"/>
      <c r="AM22" s="127"/>
      <c r="AN22" s="127"/>
      <c r="AO22" s="128">
        <v>8.4</v>
      </c>
      <c r="AP22" s="127"/>
      <c r="AQ22" s="128">
        <v>8.4</v>
      </c>
      <c r="AR22" s="127"/>
      <c r="AS22" s="130">
        <v>6</v>
      </c>
      <c r="AT22" s="131">
        <f t="shared" si="1"/>
        <v>0</v>
      </c>
      <c r="AU22" s="132"/>
      <c r="AV22" s="133"/>
      <c r="AW22" s="133"/>
      <c r="AX22" s="134">
        <v>8.4</v>
      </c>
      <c r="AY22" s="133"/>
      <c r="AZ22" s="134">
        <v>8.4</v>
      </c>
      <c r="BA22" s="133"/>
      <c r="BB22" s="130">
        <v>6</v>
      </c>
      <c r="BC22" s="131">
        <f t="shared" si="2"/>
        <v>0</v>
      </c>
      <c r="BD22" s="132"/>
      <c r="BE22" s="133"/>
      <c r="BF22" s="133"/>
      <c r="BG22" s="134">
        <v>8.4</v>
      </c>
      <c r="BH22" s="133"/>
      <c r="BI22" s="134">
        <v>8.4</v>
      </c>
      <c r="BJ22" s="133"/>
      <c r="BK22" s="130">
        <v>6</v>
      </c>
      <c r="BL22" s="131">
        <f t="shared" si="3"/>
        <v>0</v>
      </c>
      <c r="BM22" s="132"/>
      <c r="BN22" s="133"/>
      <c r="BO22" s="133"/>
      <c r="BP22" s="134">
        <v>8.4</v>
      </c>
      <c r="BQ22" s="133"/>
      <c r="BR22" s="134">
        <v>8.4</v>
      </c>
      <c r="BS22" s="133"/>
      <c r="BT22" s="130">
        <v>6</v>
      </c>
      <c r="BU22" s="131">
        <f t="shared" si="4"/>
        <v>0</v>
      </c>
      <c r="BV22" s="132"/>
      <c r="BW22" s="133"/>
      <c r="BX22" s="133"/>
      <c r="BY22" s="134">
        <v>8.4</v>
      </c>
      <c r="BZ22" s="133"/>
      <c r="CA22" s="134">
        <v>8.4</v>
      </c>
      <c r="CB22" s="133"/>
      <c r="CC22" s="130">
        <v>6</v>
      </c>
      <c r="CD22" s="131">
        <f t="shared" si="5"/>
        <v>0</v>
      </c>
      <c r="CE22" s="132"/>
      <c r="CF22" s="133"/>
      <c r="CG22" s="133"/>
      <c r="CH22" s="134">
        <v>8.4</v>
      </c>
      <c r="CI22" s="133"/>
      <c r="CJ22" s="134">
        <v>8.4</v>
      </c>
      <c r="CK22" s="133"/>
      <c r="CL22" s="130">
        <v>6</v>
      </c>
      <c r="CM22" s="136">
        <f t="shared" si="6"/>
        <v>0</v>
      </c>
      <c r="CN22" s="132"/>
      <c r="CO22" s="133"/>
      <c r="CP22" s="133"/>
      <c r="CQ22" s="134">
        <v>8.4</v>
      </c>
      <c r="CR22" s="133"/>
      <c r="CS22" s="134">
        <v>8.4</v>
      </c>
      <c r="CT22" s="133"/>
      <c r="CU22" s="130">
        <v>6</v>
      </c>
      <c r="CV22" s="131">
        <f t="shared" si="7"/>
        <v>0</v>
      </c>
      <c r="CW22" s="132"/>
      <c r="CX22" s="133"/>
      <c r="CY22" s="133"/>
      <c r="CZ22" s="134">
        <v>8.4</v>
      </c>
      <c r="DA22" s="133"/>
      <c r="DB22" s="134">
        <v>8.4</v>
      </c>
      <c r="DC22" s="133"/>
      <c r="DD22" s="130">
        <v>6</v>
      </c>
      <c r="DE22" s="131">
        <f t="shared" si="8"/>
        <v>0</v>
      </c>
      <c r="DF22" s="132"/>
      <c r="DG22" s="133"/>
      <c r="DH22" s="133"/>
      <c r="DI22" s="134">
        <v>8.4</v>
      </c>
      <c r="DJ22" s="133"/>
      <c r="DK22" s="134">
        <v>8.4</v>
      </c>
      <c r="DL22" s="133"/>
      <c r="DM22" s="130">
        <v>6</v>
      </c>
      <c r="DN22" s="131">
        <f t="shared" si="9"/>
        <v>0</v>
      </c>
      <c r="DO22" s="132"/>
      <c r="DP22" s="133"/>
      <c r="DQ22" s="133"/>
      <c r="DR22" s="134">
        <v>8.4</v>
      </c>
      <c r="DS22" s="133"/>
      <c r="DT22" s="134">
        <v>8.4</v>
      </c>
      <c r="DU22" s="133"/>
      <c r="DV22" s="130">
        <v>6</v>
      </c>
      <c r="DW22" s="137">
        <f t="shared" si="10"/>
        <v>0</v>
      </c>
      <c r="DX22" s="138"/>
      <c r="DY22" s="134">
        <f t="shared" si="11"/>
        <v>0</v>
      </c>
      <c r="DZ22" s="134">
        <f t="shared" si="12"/>
        <v>0</v>
      </c>
      <c r="EA22" s="134">
        <f t="shared" si="13"/>
        <v>0</v>
      </c>
      <c r="EB22" s="138"/>
      <c r="EC22" s="139"/>
      <c r="ED22" s="1"/>
      <c r="EE22" s="1"/>
      <c r="EF22" s="1"/>
    </row>
    <row r="23" spans="1:136" x14ac:dyDescent="0.25">
      <c r="A23" s="118">
        <v>1</v>
      </c>
      <c r="B23" s="14" t="s">
        <v>106</v>
      </c>
      <c r="C23" s="13" t="s">
        <v>327</v>
      </c>
      <c r="D23" s="119" t="s">
        <v>328</v>
      </c>
      <c r="E23" s="120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2"/>
      <c r="Q23" s="123"/>
      <c r="R23" s="124"/>
      <c r="S23" s="125"/>
      <c r="T23" s="126"/>
      <c r="U23" s="127"/>
      <c r="V23" s="127"/>
      <c r="W23" s="128">
        <v>8.4</v>
      </c>
      <c r="X23" s="127"/>
      <c r="Y23" s="128">
        <v>8.4</v>
      </c>
      <c r="Z23" s="127"/>
      <c r="AA23" s="130">
        <v>6</v>
      </c>
      <c r="AB23" s="131">
        <f t="shared" si="0"/>
        <v>0</v>
      </c>
      <c r="AC23" s="126"/>
      <c r="AD23" s="127"/>
      <c r="AE23" s="127"/>
      <c r="AF23" s="128">
        <v>8.4</v>
      </c>
      <c r="AG23" s="127"/>
      <c r="AH23" s="128">
        <v>8.4</v>
      </c>
      <c r="AI23" s="127"/>
      <c r="AJ23" s="130">
        <v>6</v>
      </c>
      <c r="AK23" s="131">
        <f t="shared" si="14"/>
        <v>0</v>
      </c>
      <c r="AL23" s="126"/>
      <c r="AM23" s="127"/>
      <c r="AN23" s="127"/>
      <c r="AO23" s="128">
        <v>8.4</v>
      </c>
      <c r="AP23" s="127"/>
      <c r="AQ23" s="128">
        <v>8.4</v>
      </c>
      <c r="AR23" s="127"/>
      <c r="AS23" s="130">
        <v>6</v>
      </c>
      <c r="AT23" s="131">
        <f t="shared" si="1"/>
        <v>0</v>
      </c>
      <c r="AU23" s="132"/>
      <c r="AV23" s="133"/>
      <c r="AW23" s="133"/>
      <c r="AX23" s="134">
        <v>8.4</v>
      </c>
      <c r="AY23" s="133"/>
      <c r="AZ23" s="134">
        <v>8.4</v>
      </c>
      <c r="BA23" s="133"/>
      <c r="BB23" s="130">
        <v>6</v>
      </c>
      <c r="BC23" s="131">
        <f t="shared" si="2"/>
        <v>0</v>
      </c>
      <c r="BD23" s="132"/>
      <c r="BE23" s="133"/>
      <c r="BF23" s="133"/>
      <c r="BG23" s="134">
        <v>8.4</v>
      </c>
      <c r="BH23" s="133"/>
      <c r="BI23" s="134">
        <v>8.4</v>
      </c>
      <c r="BJ23" s="133"/>
      <c r="BK23" s="130">
        <v>6</v>
      </c>
      <c r="BL23" s="131">
        <f t="shared" si="3"/>
        <v>0</v>
      </c>
      <c r="BM23" s="132"/>
      <c r="BN23" s="133"/>
      <c r="BO23" s="133"/>
      <c r="BP23" s="134">
        <v>8.4</v>
      </c>
      <c r="BQ23" s="133"/>
      <c r="BR23" s="134">
        <v>8.4</v>
      </c>
      <c r="BS23" s="133"/>
      <c r="BT23" s="130">
        <v>6</v>
      </c>
      <c r="BU23" s="131">
        <f t="shared" si="4"/>
        <v>0</v>
      </c>
      <c r="BV23" s="132"/>
      <c r="BW23" s="133"/>
      <c r="BX23" s="133"/>
      <c r="BY23" s="134">
        <v>8.4</v>
      </c>
      <c r="BZ23" s="133"/>
      <c r="CA23" s="134">
        <v>8.4</v>
      </c>
      <c r="CB23" s="133"/>
      <c r="CC23" s="130">
        <v>6</v>
      </c>
      <c r="CD23" s="131">
        <f t="shared" si="5"/>
        <v>0</v>
      </c>
      <c r="CE23" s="132"/>
      <c r="CF23" s="133"/>
      <c r="CG23" s="133"/>
      <c r="CH23" s="134">
        <v>8.4</v>
      </c>
      <c r="CI23" s="133"/>
      <c r="CJ23" s="134">
        <v>8.4</v>
      </c>
      <c r="CK23" s="133"/>
      <c r="CL23" s="130">
        <v>6</v>
      </c>
      <c r="CM23" s="136">
        <f t="shared" si="6"/>
        <v>0</v>
      </c>
      <c r="CN23" s="132"/>
      <c r="CO23" s="133"/>
      <c r="CP23" s="133"/>
      <c r="CQ23" s="134">
        <v>8.4</v>
      </c>
      <c r="CR23" s="133"/>
      <c r="CS23" s="134">
        <v>8.4</v>
      </c>
      <c r="CT23" s="133"/>
      <c r="CU23" s="130">
        <v>6</v>
      </c>
      <c r="CV23" s="131">
        <f t="shared" si="7"/>
        <v>0</v>
      </c>
      <c r="CW23" s="132"/>
      <c r="CX23" s="133"/>
      <c r="CY23" s="133"/>
      <c r="CZ23" s="134">
        <v>8.4</v>
      </c>
      <c r="DA23" s="133"/>
      <c r="DB23" s="134">
        <v>8.4</v>
      </c>
      <c r="DC23" s="133"/>
      <c r="DD23" s="130">
        <v>6</v>
      </c>
      <c r="DE23" s="131">
        <f t="shared" si="8"/>
        <v>0</v>
      </c>
      <c r="DF23" s="132"/>
      <c r="DG23" s="133"/>
      <c r="DH23" s="133"/>
      <c r="DI23" s="134">
        <v>8.4</v>
      </c>
      <c r="DJ23" s="133"/>
      <c r="DK23" s="134">
        <v>8.4</v>
      </c>
      <c r="DL23" s="133"/>
      <c r="DM23" s="130">
        <v>6</v>
      </c>
      <c r="DN23" s="131">
        <f t="shared" si="9"/>
        <v>0</v>
      </c>
      <c r="DO23" s="132"/>
      <c r="DP23" s="133"/>
      <c r="DQ23" s="133"/>
      <c r="DR23" s="134">
        <v>8.4</v>
      </c>
      <c r="DS23" s="133"/>
      <c r="DT23" s="134">
        <v>8.4</v>
      </c>
      <c r="DU23" s="133"/>
      <c r="DV23" s="130">
        <v>6</v>
      </c>
      <c r="DW23" s="137">
        <f t="shared" si="10"/>
        <v>0</v>
      </c>
      <c r="DX23" s="138"/>
      <c r="DY23" s="134">
        <f t="shared" si="11"/>
        <v>0</v>
      </c>
      <c r="DZ23" s="134">
        <f t="shared" si="12"/>
        <v>0</v>
      </c>
      <c r="EA23" s="134">
        <f t="shared" si="13"/>
        <v>0</v>
      </c>
      <c r="EB23" s="138"/>
      <c r="EC23" s="139"/>
      <c r="ED23" s="1"/>
      <c r="EE23" s="1"/>
      <c r="EF23" s="1"/>
    </row>
    <row r="24" spans="1:136" x14ac:dyDescent="0.25">
      <c r="A24" s="118">
        <v>1</v>
      </c>
      <c r="B24" s="14" t="s">
        <v>28</v>
      </c>
      <c r="C24" s="12" t="s">
        <v>329</v>
      </c>
      <c r="D24" s="143" t="s">
        <v>330</v>
      </c>
      <c r="E24" s="140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2"/>
      <c r="Q24" s="123"/>
      <c r="R24" s="124"/>
      <c r="S24" s="125"/>
      <c r="T24" s="126"/>
      <c r="U24" s="127"/>
      <c r="V24" s="127"/>
      <c r="W24" s="128">
        <v>8.4</v>
      </c>
      <c r="X24" s="127"/>
      <c r="Y24" s="128">
        <v>8.4</v>
      </c>
      <c r="Z24" s="127"/>
      <c r="AA24" s="130">
        <v>6</v>
      </c>
      <c r="AB24" s="131">
        <f t="shared" si="0"/>
        <v>0</v>
      </c>
      <c r="AC24" s="126"/>
      <c r="AD24" s="127"/>
      <c r="AE24" s="127"/>
      <c r="AF24" s="128">
        <v>8.4</v>
      </c>
      <c r="AG24" s="127"/>
      <c r="AH24" s="128">
        <v>8.4</v>
      </c>
      <c r="AI24" s="127"/>
      <c r="AJ24" s="130">
        <v>6</v>
      </c>
      <c r="AK24" s="131">
        <f t="shared" si="14"/>
        <v>0</v>
      </c>
      <c r="AL24" s="126"/>
      <c r="AM24" s="127"/>
      <c r="AN24" s="127"/>
      <c r="AO24" s="128">
        <v>8.4</v>
      </c>
      <c r="AP24" s="127"/>
      <c r="AQ24" s="128">
        <v>8.4</v>
      </c>
      <c r="AR24" s="127"/>
      <c r="AS24" s="130">
        <v>6</v>
      </c>
      <c r="AT24" s="131">
        <f t="shared" si="1"/>
        <v>0</v>
      </c>
      <c r="AU24" s="132"/>
      <c r="AV24" s="133"/>
      <c r="AW24" s="133"/>
      <c r="AX24" s="134">
        <v>8.4</v>
      </c>
      <c r="AY24" s="133"/>
      <c r="AZ24" s="134">
        <v>8.4</v>
      </c>
      <c r="BA24" s="133"/>
      <c r="BB24" s="130">
        <v>6</v>
      </c>
      <c r="BC24" s="131">
        <f t="shared" si="2"/>
        <v>0</v>
      </c>
      <c r="BD24" s="132"/>
      <c r="BE24" s="133"/>
      <c r="BF24" s="133"/>
      <c r="BG24" s="134">
        <v>8.4</v>
      </c>
      <c r="BH24" s="133"/>
      <c r="BI24" s="134">
        <v>8.4</v>
      </c>
      <c r="BJ24" s="133"/>
      <c r="BK24" s="130">
        <v>6</v>
      </c>
      <c r="BL24" s="131">
        <f t="shared" si="3"/>
        <v>0</v>
      </c>
      <c r="BM24" s="132"/>
      <c r="BN24" s="133"/>
      <c r="BO24" s="133"/>
      <c r="BP24" s="134">
        <v>8.4</v>
      </c>
      <c r="BQ24" s="133"/>
      <c r="BR24" s="134">
        <v>8.4</v>
      </c>
      <c r="BS24" s="133"/>
      <c r="BT24" s="130">
        <v>6</v>
      </c>
      <c r="BU24" s="131">
        <f t="shared" si="4"/>
        <v>0</v>
      </c>
      <c r="BV24" s="132"/>
      <c r="BW24" s="133"/>
      <c r="BX24" s="133"/>
      <c r="BY24" s="134">
        <v>8.4</v>
      </c>
      <c r="BZ24" s="133"/>
      <c r="CA24" s="134">
        <v>8.4</v>
      </c>
      <c r="CB24" s="133"/>
      <c r="CC24" s="130">
        <v>6</v>
      </c>
      <c r="CD24" s="131">
        <f t="shared" si="5"/>
        <v>0</v>
      </c>
      <c r="CE24" s="132"/>
      <c r="CF24" s="133"/>
      <c r="CG24" s="133"/>
      <c r="CH24" s="134">
        <v>8.4</v>
      </c>
      <c r="CI24" s="133"/>
      <c r="CJ24" s="134">
        <v>8.4</v>
      </c>
      <c r="CK24" s="133"/>
      <c r="CL24" s="130">
        <v>6</v>
      </c>
      <c r="CM24" s="136">
        <f t="shared" si="6"/>
        <v>0</v>
      </c>
      <c r="CN24" s="132"/>
      <c r="CO24" s="133"/>
      <c r="CP24" s="133"/>
      <c r="CQ24" s="134">
        <v>8.4</v>
      </c>
      <c r="CR24" s="133"/>
      <c r="CS24" s="134">
        <v>8.4</v>
      </c>
      <c r="CT24" s="133"/>
      <c r="CU24" s="130">
        <v>6</v>
      </c>
      <c r="CV24" s="131">
        <f t="shared" si="7"/>
        <v>0</v>
      </c>
      <c r="CW24" s="132"/>
      <c r="CX24" s="133"/>
      <c r="CY24" s="133"/>
      <c r="CZ24" s="134">
        <v>8.4</v>
      </c>
      <c r="DA24" s="133"/>
      <c r="DB24" s="134">
        <v>8.4</v>
      </c>
      <c r="DC24" s="133"/>
      <c r="DD24" s="130">
        <v>6</v>
      </c>
      <c r="DE24" s="131">
        <f t="shared" si="8"/>
        <v>0</v>
      </c>
      <c r="DF24" s="132"/>
      <c r="DG24" s="133"/>
      <c r="DH24" s="133"/>
      <c r="DI24" s="134">
        <v>8.4</v>
      </c>
      <c r="DJ24" s="133"/>
      <c r="DK24" s="134">
        <v>8.4</v>
      </c>
      <c r="DL24" s="133"/>
      <c r="DM24" s="130">
        <v>6</v>
      </c>
      <c r="DN24" s="131">
        <f t="shared" si="9"/>
        <v>0</v>
      </c>
      <c r="DO24" s="132"/>
      <c r="DP24" s="133"/>
      <c r="DQ24" s="133"/>
      <c r="DR24" s="134">
        <v>8.4</v>
      </c>
      <c r="DS24" s="133"/>
      <c r="DT24" s="134">
        <v>8.4</v>
      </c>
      <c r="DU24" s="133"/>
      <c r="DV24" s="130">
        <v>6</v>
      </c>
      <c r="DW24" s="137">
        <f t="shared" si="10"/>
        <v>0</v>
      </c>
      <c r="DX24" s="138"/>
      <c r="DY24" s="134">
        <f t="shared" si="11"/>
        <v>0</v>
      </c>
      <c r="DZ24" s="134">
        <f t="shared" si="12"/>
        <v>0</v>
      </c>
      <c r="EA24" s="134">
        <f t="shared" si="13"/>
        <v>0</v>
      </c>
      <c r="EB24" s="138"/>
      <c r="EC24" s="139"/>
      <c r="ED24" s="1"/>
      <c r="EE24" s="1"/>
      <c r="EF24" s="1"/>
    </row>
    <row r="25" spans="1:136" x14ac:dyDescent="0.25">
      <c r="A25" s="118">
        <v>1</v>
      </c>
      <c r="B25" s="14" t="s">
        <v>43</v>
      </c>
      <c r="C25" s="13" t="s">
        <v>134</v>
      </c>
      <c r="D25" s="119" t="s">
        <v>135</v>
      </c>
      <c r="E25" s="120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2"/>
      <c r="Q25" s="144"/>
      <c r="R25" s="145"/>
      <c r="S25" s="146"/>
      <c r="T25" s="147"/>
      <c r="U25" s="148"/>
      <c r="V25" s="148"/>
      <c r="W25" s="128">
        <v>8.4</v>
      </c>
      <c r="X25" s="148"/>
      <c r="Y25" s="128">
        <v>8.4</v>
      </c>
      <c r="Z25" s="148"/>
      <c r="AA25" s="130">
        <v>6</v>
      </c>
      <c r="AB25" s="131">
        <f t="shared" si="0"/>
        <v>0</v>
      </c>
      <c r="AC25" s="147"/>
      <c r="AD25" s="148"/>
      <c r="AE25" s="148"/>
      <c r="AF25" s="128">
        <v>8.4</v>
      </c>
      <c r="AG25" s="148"/>
      <c r="AH25" s="128">
        <v>8.4</v>
      </c>
      <c r="AI25" s="148"/>
      <c r="AJ25" s="130">
        <v>6</v>
      </c>
      <c r="AK25" s="131">
        <f t="shared" si="14"/>
        <v>0</v>
      </c>
      <c r="AL25" s="147"/>
      <c r="AM25" s="148"/>
      <c r="AN25" s="148"/>
      <c r="AO25" s="128">
        <v>8.4</v>
      </c>
      <c r="AP25" s="148"/>
      <c r="AQ25" s="128">
        <v>8.4</v>
      </c>
      <c r="AR25" s="148"/>
      <c r="AS25" s="130">
        <v>6</v>
      </c>
      <c r="AT25" s="131">
        <f t="shared" si="1"/>
        <v>0</v>
      </c>
      <c r="AU25" s="149"/>
      <c r="AV25" s="150"/>
      <c r="AW25" s="150"/>
      <c r="AX25" s="134">
        <v>8.4</v>
      </c>
      <c r="AY25" s="150"/>
      <c r="AZ25" s="134">
        <v>8.4</v>
      </c>
      <c r="BA25" s="150"/>
      <c r="BB25" s="130">
        <v>6</v>
      </c>
      <c r="BC25" s="131">
        <f t="shared" si="2"/>
        <v>0</v>
      </c>
      <c r="BD25" s="149"/>
      <c r="BE25" s="150"/>
      <c r="BF25" s="150"/>
      <c r="BG25" s="134">
        <v>8.4</v>
      </c>
      <c r="BH25" s="150"/>
      <c r="BI25" s="134">
        <v>8.4</v>
      </c>
      <c r="BJ25" s="150"/>
      <c r="BK25" s="130">
        <v>6</v>
      </c>
      <c r="BL25" s="131">
        <f t="shared" si="3"/>
        <v>0</v>
      </c>
      <c r="BM25" s="149"/>
      <c r="BN25" s="150"/>
      <c r="BO25" s="150"/>
      <c r="BP25" s="134">
        <v>8.4</v>
      </c>
      <c r="BQ25" s="150"/>
      <c r="BR25" s="134">
        <v>8.4</v>
      </c>
      <c r="BS25" s="150"/>
      <c r="BT25" s="130">
        <v>6</v>
      </c>
      <c r="BU25" s="131">
        <f t="shared" si="4"/>
        <v>0</v>
      </c>
      <c r="BV25" s="149"/>
      <c r="BW25" s="150"/>
      <c r="BX25" s="150"/>
      <c r="BY25" s="134">
        <v>8.4</v>
      </c>
      <c r="BZ25" s="150"/>
      <c r="CA25" s="134">
        <v>8.4</v>
      </c>
      <c r="CB25" s="150"/>
      <c r="CC25" s="130">
        <v>6</v>
      </c>
      <c r="CD25" s="131">
        <f t="shared" si="5"/>
        <v>0</v>
      </c>
      <c r="CE25" s="149"/>
      <c r="CF25" s="150"/>
      <c r="CG25" s="150"/>
      <c r="CH25" s="134">
        <v>8.4</v>
      </c>
      <c r="CI25" s="150"/>
      <c r="CJ25" s="134">
        <v>8.4</v>
      </c>
      <c r="CK25" s="150"/>
      <c r="CL25" s="130">
        <v>6</v>
      </c>
      <c r="CM25" s="136">
        <f t="shared" si="6"/>
        <v>0</v>
      </c>
      <c r="CN25" s="149"/>
      <c r="CO25" s="150"/>
      <c r="CP25" s="150"/>
      <c r="CQ25" s="134">
        <v>8.4</v>
      </c>
      <c r="CR25" s="150"/>
      <c r="CS25" s="134">
        <v>8.4</v>
      </c>
      <c r="CT25" s="150"/>
      <c r="CU25" s="130">
        <v>6</v>
      </c>
      <c r="CV25" s="131">
        <f t="shared" si="7"/>
        <v>0</v>
      </c>
      <c r="CW25" s="149"/>
      <c r="CX25" s="150"/>
      <c r="CY25" s="150"/>
      <c r="CZ25" s="134">
        <v>8.4</v>
      </c>
      <c r="DA25" s="150"/>
      <c r="DB25" s="134">
        <v>8.4</v>
      </c>
      <c r="DC25" s="150"/>
      <c r="DD25" s="130">
        <v>6</v>
      </c>
      <c r="DE25" s="131">
        <f t="shared" si="8"/>
        <v>0</v>
      </c>
      <c r="DF25" s="149"/>
      <c r="DG25" s="150"/>
      <c r="DH25" s="150"/>
      <c r="DI25" s="134">
        <v>8.4</v>
      </c>
      <c r="DJ25" s="150"/>
      <c r="DK25" s="134">
        <v>8.4</v>
      </c>
      <c r="DL25" s="150"/>
      <c r="DM25" s="130">
        <v>6</v>
      </c>
      <c r="DN25" s="131">
        <f t="shared" si="9"/>
        <v>0</v>
      </c>
      <c r="DO25" s="149"/>
      <c r="DP25" s="150"/>
      <c r="DQ25" s="150"/>
      <c r="DR25" s="134">
        <v>8.4</v>
      </c>
      <c r="DS25" s="150"/>
      <c r="DT25" s="134">
        <v>8.4</v>
      </c>
      <c r="DU25" s="150"/>
      <c r="DV25" s="130">
        <v>6</v>
      </c>
      <c r="DW25" s="137">
        <f t="shared" si="10"/>
        <v>0</v>
      </c>
      <c r="DX25" s="151"/>
      <c r="DY25" s="134">
        <f t="shared" si="11"/>
        <v>0</v>
      </c>
      <c r="DZ25" s="134">
        <f t="shared" si="12"/>
        <v>0</v>
      </c>
      <c r="EA25" s="134">
        <f t="shared" si="13"/>
        <v>0</v>
      </c>
      <c r="EB25" s="151"/>
      <c r="ED25" s="1"/>
      <c r="EE25" s="1"/>
      <c r="EF25" s="1"/>
    </row>
    <row r="26" spans="1:136" x14ac:dyDescent="0.25">
      <c r="A26" s="118">
        <v>1</v>
      </c>
      <c r="B26" s="14" t="s">
        <v>106</v>
      </c>
      <c r="C26" s="13" t="s">
        <v>138</v>
      </c>
      <c r="D26" s="119" t="s">
        <v>139</v>
      </c>
      <c r="E26" s="140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4"/>
      <c r="R26" s="145"/>
      <c r="S26" s="146"/>
      <c r="T26" s="147"/>
      <c r="U26" s="148"/>
      <c r="V26" s="148"/>
      <c r="W26" s="128">
        <v>8.4</v>
      </c>
      <c r="X26" s="148"/>
      <c r="Y26" s="128">
        <v>8.4</v>
      </c>
      <c r="Z26" s="148"/>
      <c r="AA26" s="130">
        <v>6</v>
      </c>
      <c r="AB26" s="131">
        <f t="shared" si="0"/>
        <v>0</v>
      </c>
      <c r="AC26" s="147"/>
      <c r="AD26" s="148"/>
      <c r="AE26" s="148"/>
      <c r="AF26" s="128">
        <v>8.4</v>
      </c>
      <c r="AG26" s="148"/>
      <c r="AH26" s="128">
        <v>8.4</v>
      </c>
      <c r="AI26" s="148"/>
      <c r="AJ26" s="130">
        <v>6</v>
      </c>
      <c r="AK26" s="131">
        <f t="shared" si="14"/>
        <v>0</v>
      </c>
      <c r="AL26" s="147"/>
      <c r="AM26" s="148"/>
      <c r="AN26" s="148"/>
      <c r="AO26" s="128">
        <v>8.4</v>
      </c>
      <c r="AP26" s="148"/>
      <c r="AQ26" s="128">
        <v>8.4</v>
      </c>
      <c r="AR26" s="148"/>
      <c r="AS26" s="130">
        <v>6</v>
      </c>
      <c r="AT26" s="131">
        <f t="shared" si="1"/>
        <v>0</v>
      </c>
      <c r="AU26" s="149"/>
      <c r="AV26" s="150"/>
      <c r="AW26" s="150"/>
      <c r="AX26" s="134">
        <v>8.4</v>
      </c>
      <c r="AY26" s="150"/>
      <c r="AZ26" s="134">
        <v>8.4</v>
      </c>
      <c r="BA26" s="150"/>
      <c r="BB26" s="130">
        <v>6</v>
      </c>
      <c r="BC26" s="131">
        <f t="shared" si="2"/>
        <v>0</v>
      </c>
      <c r="BD26" s="149"/>
      <c r="BE26" s="150"/>
      <c r="BF26" s="150"/>
      <c r="BG26" s="134">
        <v>8.4</v>
      </c>
      <c r="BH26" s="150"/>
      <c r="BI26" s="134">
        <v>8.4</v>
      </c>
      <c r="BJ26" s="150"/>
      <c r="BK26" s="130">
        <v>6</v>
      </c>
      <c r="BL26" s="131">
        <f t="shared" si="3"/>
        <v>0</v>
      </c>
      <c r="BM26" s="149"/>
      <c r="BN26" s="150"/>
      <c r="BO26" s="150"/>
      <c r="BP26" s="134">
        <v>8.4</v>
      </c>
      <c r="BQ26" s="150"/>
      <c r="BR26" s="134">
        <v>8.4</v>
      </c>
      <c r="BS26" s="150"/>
      <c r="BT26" s="130">
        <v>6</v>
      </c>
      <c r="BU26" s="131">
        <f t="shared" si="4"/>
        <v>0</v>
      </c>
      <c r="BV26" s="149"/>
      <c r="BW26" s="150"/>
      <c r="BX26" s="150"/>
      <c r="BY26" s="134">
        <v>8.4</v>
      </c>
      <c r="BZ26" s="150"/>
      <c r="CA26" s="134">
        <v>8.4</v>
      </c>
      <c r="CB26" s="150"/>
      <c r="CC26" s="130">
        <v>6</v>
      </c>
      <c r="CD26" s="131">
        <f t="shared" si="5"/>
        <v>0</v>
      </c>
      <c r="CE26" s="149"/>
      <c r="CF26" s="150"/>
      <c r="CG26" s="150"/>
      <c r="CH26" s="134">
        <v>8.4</v>
      </c>
      <c r="CI26" s="150"/>
      <c r="CJ26" s="134">
        <v>8.4</v>
      </c>
      <c r="CK26" s="150"/>
      <c r="CL26" s="130">
        <v>6</v>
      </c>
      <c r="CM26" s="136">
        <f t="shared" si="6"/>
        <v>0</v>
      </c>
      <c r="CN26" s="149"/>
      <c r="CO26" s="150"/>
      <c r="CP26" s="150"/>
      <c r="CQ26" s="134">
        <v>8.4</v>
      </c>
      <c r="CR26" s="150"/>
      <c r="CS26" s="134">
        <v>8.4</v>
      </c>
      <c r="CT26" s="150"/>
      <c r="CU26" s="130">
        <v>6</v>
      </c>
      <c r="CV26" s="131">
        <f t="shared" si="7"/>
        <v>0</v>
      </c>
      <c r="CW26" s="149"/>
      <c r="CX26" s="150"/>
      <c r="CY26" s="150"/>
      <c r="CZ26" s="134">
        <v>8.4</v>
      </c>
      <c r="DA26" s="150"/>
      <c r="DB26" s="134">
        <v>8.4</v>
      </c>
      <c r="DC26" s="150"/>
      <c r="DD26" s="130">
        <v>6</v>
      </c>
      <c r="DE26" s="131">
        <f t="shared" si="8"/>
        <v>0</v>
      </c>
      <c r="DF26" s="149"/>
      <c r="DG26" s="150"/>
      <c r="DH26" s="150"/>
      <c r="DI26" s="134">
        <v>8.4</v>
      </c>
      <c r="DJ26" s="150"/>
      <c r="DK26" s="134">
        <v>8.4</v>
      </c>
      <c r="DL26" s="150"/>
      <c r="DM26" s="130">
        <v>6</v>
      </c>
      <c r="DN26" s="131">
        <f t="shared" si="9"/>
        <v>0</v>
      </c>
      <c r="DO26" s="149"/>
      <c r="DP26" s="150"/>
      <c r="DQ26" s="150"/>
      <c r="DR26" s="134">
        <v>8.4</v>
      </c>
      <c r="DS26" s="150"/>
      <c r="DT26" s="134">
        <v>8.4</v>
      </c>
      <c r="DU26" s="150"/>
      <c r="DV26" s="130">
        <v>6</v>
      </c>
      <c r="DW26" s="137">
        <f t="shared" si="10"/>
        <v>0</v>
      </c>
      <c r="DX26" s="151"/>
      <c r="DY26" s="134">
        <f t="shared" si="11"/>
        <v>0</v>
      </c>
      <c r="DZ26" s="134">
        <f t="shared" si="12"/>
        <v>0</v>
      </c>
      <c r="EA26" s="134">
        <f t="shared" si="13"/>
        <v>0</v>
      </c>
      <c r="EB26" s="151"/>
      <c r="ED26" s="1"/>
      <c r="EE26" s="1"/>
      <c r="EF26" s="1"/>
    </row>
    <row r="27" spans="1:136" x14ac:dyDescent="0.25">
      <c r="A27" s="118">
        <v>1</v>
      </c>
      <c r="B27" s="14" t="s">
        <v>331</v>
      </c>
      <c r="C27" s="13" t="s">
        <v>332</v>
      </c>
      <c r="D27" s="119" t="s">
        <v>333</v>
      </c>
      <c r="E27" s="120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2"/>
      <c r="Q27" s="144"/>
      <c r="R27" s="145"/>
      <c r="S27" s="146"/>
      <c r="T27" s="147"/>
      <c r="U27" s="148"/>
      <c r="V27" s="148"/>
      <c r="W27" s="128">
        <v>8.4</v>
      </c>
      <c r="X27" s="148"/>
      <c r="Y27" s="128">
        <v>8.4</v>
      </c>
      <c r="Z27" s="148"/>
      <c r="AA27" s="130">
        <v>6</v>
      </c>
      <c r="AB27" s="131">
        <f t="shared" si="0"/>
        <v>0</v>
      </c>
      <c r="AC27" s="147"/>
      <c r="AD27" s="148"/>
      <c r="AE27" s="148"/>
      <c r="AF27" s="128">
        <v>8.4</v>
      </c>
      <c r="AG27" s="148"/>
      <c r="AH27" s="128">
        <v>8.4</v>
      </c>
      <c r="AI27" s="148"/>
      <c r="AJ27" s="130">
        <v>6</v>
      </c>
      <c r="AK27" s="131">
        <f t="shared" si="14"/>
        <v>0</v>
      </c>
      <c r="AL27" s="147"/>
      <c r="AM27" s="148"/>
      <c r="AN27" s="148"/>
      <c r="AO27" s="128">
        <v>8.4</v>
      </c>
      <c r="AP27" s="148"/>
      <c r="AQ27" s="128">
        <v>8.4</v>
      </c>
      <c r="AR27" s="148"/>
      <c r="AS27" s="130">
        <v>6</v>
      </c>
      <c r="AT27" s="131">
        <f t="shared" si="1"/>
        <v>0</v>
      </c>
      <c r="AU27" s="149"/>
      <c r="AV27" s="150"/>
      <c r="AW27" s="150"/>
      <c r="AX27" s="134">
        <v>8.4</v>
      </c>
      <c r="AY27" s="150"/>
      <c r="AZ27" s="134">
        <v>8.4</v>
      </c>
      <c r="BA27" s="150"/>
      <c r="BB27" s="130">
        <v>6</v>
      </c>
      <c r="BC27" s="131">
        <f t="shared" si="2"/>
        <v>0</v>
      </c>
      <c r="BD27" s="149"/>
      <c r="BE27" s="150"/>
      <c r="BF27" s="150"/>
      <c r="BG27" s="134">
        <v>8.4</v>
      </c>
      <c r="BH27" s="150"/>
      <c r="BI27" s="134">
        <v>8.4</v>
      </c>
      <c r="BJ27" s="150"/>
      <c r="BK27" s="130">
        <v>6</v>
      </c>
      <c r="BL27" s="131">
        <f t="shared" si="3"/>
        <v>0</v>
      </c>
      <c r="BM27" s="149"/>
      <c r="BN27" s="150"/>
      <c r="BO27" s="150"/>
      <c r="BP27" s="134">
        <v>8.4</v>
      </c>
      <c r="BQ27" s="150"/>
      <c r="BR27" s="134">
        <v>8.4</v>
      </c>
      <c r="BS27" s="150"/>
      <c r="BT27" s="130">
        <v>6</v>
      </c>
      <c r="BU27" s="131">
        <f t="shared" si="4"/>
        <v>0</v>
      </c>
      <c r="BV27" s="149"/>
      <c r="BW27" s="150"/>
      <c r="BX27" s="150"/>
      <c r="BY27" s="134">
        <v>8.4</v>
      </c>
      <c r="BZ27" s="150"/>
      <c r="CA27" s="134">
        <v>8.4</v>
      </c>
      <c r="CB27" s="150"/>
      <c r="CC27" s="130">
        <v>6</v>
      </c>
      <c r="CD27" s="131">
        <f t="shared" si="5"/>
        <v>0</v>
      </c>
      <c r="CE27" s="149"/>
      <c r="CF27" s="150"/>
      <c r="CG27" s="150"/>
      <c r="CH27" s="134">
        <v>8.4</v>
      </c>
      <c r="CI27" s="150"/>
      <c r="CJ27" s="134">
        <v>8.4</v>
      </c>
      <c r="CK27" s="150"/>
      <c r="CL27" s="130">
        <v>6</v>
      </c>
      <c r="CM27" s="136">
        <f t="shared" si="6"/>
        <v>0</v>
      </c>
      <c r="CN27" s="149"/>
      <c r="CO27" s="150"/>
      <c r="CP27" s="150"/>
      <c r="CQ27" s="134">
        <v>8.4</v>
      </c>
      <c r="CR27" s="150"/>
      <c r="CS27" s="134">
        <v>8.4</v>
      </c>
      <c r="CT27" s="150"/>
      <c r="CU27" s="130">
        <v>6</v>
      </c>
      <c r="CV27" s="131">
        <f t="shared" si="7"/>
        <v>0</v>
      </c>
      <c r="CW27" s="149"/>
      <c r="CX27" s="150"/>
      <c r="CY27" s="150"/>
      <c r="CZ27" s="134">
        <v>8.4</v>
      </c>
      <c r="DA27" s="150"/>
      <c r="DB27" s="134">
        <v>8.4</v>
      </c>
      <c r="DC27" s="150"/>
      <c r="DD27" s="130">
        <v>6</v>
      </c>
      <c r="DE27" s="131">
        <f t="shared" si="8"/>
        <v>0</v>
      </c>
      <c r="DF27" s="149"/>
      <c r="DG27" s="150"/>
      <c r="DH27" s="150"/>
      <c r="DI27" s="134">
        <v>8.4</v>
      </c>
      <c r="DJ27" s="150"/>
      <c r="DK27" s="134">
        <v>8.4</v>
      </c>
      <c r="DL27" s="150"/>
      <c r="DM27" s="130">
        <v>6</v>
      </c>
      <c r="DN27" s="131">
        <f t="shared" si="9"/>
        <v>0</v>
      </c>
      <c r="DO27" s="149"/>
      <c r="DP27" s="150"/>
      <c r="DQ27" s="150"/>
      <c r="DR27" s="134">
        <v>8.4</v>
      </c>
      <c r="DS27" s="150"/>
      <c r="DT27" s="134">
        <v>8.4</v>
      </c>
      <c r="DU27" s="150"/>
      <c r="DV27" s="130">
        <v>6</v>
      </c>
      <c r="DW27" s="137">
        <f t="shared" si="10"/>
        <v>0</v>
      </c>
      <c r="DX27" s="151"/>
      <c r="DY27" s="134">
        <f t="shared" si="11"/>
        <v>0</v>
      </c>
      <c r="DZ27" s="134">
        <f t="shared" si="12"/>
        <v>0</v>
      </c>
      <c r="EA27" s="134">
        <f t="shared" si="13"/>
        <v>0</v>
      </c>
      <c r="EB27" s="151"/>
      <c r="ED27" s="1"/>
      <c r="EE27" s="1"/>
      <c r="EF27" s="1"/>
    </row>
    <row r="28" spans="1:136" x14ac:dyDescent="0.25">
      <c r="A28" s="118">
        <v>1</v>
      </c>
      <c r="B28" s="14" t="s">
        <v>28</v>
      </c>
      <c r="C28" s="13" t="s">
        <v>144</v>
      </c>
      <c r="D28" s="119" t="s">
        <v>145</v>
      </c>
      <c r="E28" s="140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2"/>
      <c r="Q28" s="144"/>
      <c r="R28" s="145"/>
      <c r="S28" s="146"/>
      <c r="T28" s="147"/>
      <c r="U28" s="148"/>
      <c r="V28" s="148"/>
      <c r="W28" s="128">
        <v>8.4</v>
      </c>
      <c r="X28" s="148"/>
      <c r="Y28" s="128">
        <v>8.4</v>
      </c>
      <c r="Z28" s="148"/>
      <c r="AA28" s="130">
        <v>6</v>
      </c>
      <c r="AB28" s="131">
        <f t="shared" si="0"/>
        <v>0</v>
      </c>
      <c r="AC28" s="147"/>
      <c r="AD28" s="148"/>
      <c r="AE28" s="148"/>
      <c r="AF28" s="128">
        <v>8.4</v>
      </c>
      <c r="AG28" s="148"/>
      <c r="AH28" s="128">
        <v>8.4</v>
      </c>
      <c r="AI28" s="148"/>
      <c r="AJ28" s="130">
        <v>6</v>
      </c>
      <c r="AK28" s="131">
        <f t="shared" si="14"/>
        <v>0</v>
      </c>
      <c r="AL28" s="147"/>
      <c r="AM28" s="148"/>
      <c r="AN28" s="148"/>
      <c r="AO28" s="128">
        <v>8.4</v>
      </c>
      <c r="AP28" s="148"/>
      <c r="AQ28" s="128">
        <v>8.4</v>
      </c>
      <c r="AR28" s="148"/>
      <c r="AS28" s="130">
        <v>6</v>
      </c>
      <c r="AT28" s="131">
        <f t="shared" si="1"/>
        <v>0</v>
      </c>
      <c r="AU28" s="149"/>
      <c r="AV28" s="150"/>
      <c r="AW28" s="150"/>
      <c r="AX28" s="134">
        <v>8.4</v>
      </c>
      <c r="AY28" s="150"/>
      <c r="AZ28" s="134">
        <v>8.4</v>
      </c>
      <c r="BA28" s="150"/>
      <c r="BB28" s="130">
        <v>6</v>
      </c>
      <c r="BC28" s="131">
        <f t="shared" si="2"/>
        <v>0</v>
      </c>
      <c r="BD28" s="149"/>
      <c r="BE28" s="150"/>
      <c r="BF28" s="150"/>
      <c r="BG28" s="134">
        <v>8.4</v>
      </c>
      <c r="BH28" s="150"/>
      <c r="BI28" s="134">
        <v>8.4</v>
      </c>
      <c r="BJ28" s="150"/>
      <c r="BK28" s="130">
        <v>6</v>
      </c>
      <c r="BL28" s="131">
        <f t="shared" si="3"/>
        <v>0</v>
      </c>
      <c r="BM28" s="149"/>
      <c r="BN28" s="150"/>
      <c r="BO28" s="150"/>
      <c r="BP28" s="134">
        <v>8.4</v>
      </c>
      <c r="BQ28" s="150"/>
      <c r="BR28" s="134">
        <v>8.4</v>
      </c>
      <c r="BS28" s="150"/>
      <c r="BT28" s="130">
        <v>6</v>
      </c>
      <c r="BU28" s="131">
        <f t="shared" si="4"/>
        <v>0</v>
      </c>
      <c r="BV28" s="149"/>
      <c r="BW28" s="150"/>
      <c r="BX28" s="150"/>
      <c r="BY28" s="134">
        <v>8.4</v>
      </c>
      <c r="BZ28" s="150"/>
      <c r="CA28" s="134">
        <v>8.4</v>
      </c>
      <c r="CB28" s="150"/>
      <c r="CC28" s="130">
        <v>6</v>
      </c>
      <c r="CD28" s="131">
        <f t="shared" si="5"/>
        <v>0</v>
      </c>
      <c r="CE28" s="149"/>
      <c r="CF28" s="150"/>
      <c r="CG28" s="150"/>
      <c r="CH28" s="134">
        <v>8.4</v>
      </c>
      <c r="CI28" s="150"/>
      <c r="CJ28" s="134">
        <v>8.4</v>
      </c>
      <c r="CK28" s="150"/>
      <c r="CL28" s="130">
        <v>6</v>
      </c>
      <c r="CM28" s="136">
        <f t="shared" si="6"/>
        <v>0</v>
      </c>
      <c r="CN28" s="149"/>
      <c r="CO28" s="150"/>
      <c r="CP28" s="150"/>
      <c r="CQ28" s="134">
        <v>8.4</v>
      </c>
      <c r="CR28" s="150"/>
      <c r="CS28" s="134">
        <v>8.4</v>
      </c>
      <c r="CT28" s="150"/>
      <c r="CU28" s="130">
        <v>6</v>
      </c>
      <c r="CV28" s="131">
        <f t="shared" si="7"/>
        <v>0</v>
      </c>
      <c r="CW28" s="149"/>
      <c r="CX28" s="150"/>
      <c r="CY28" s="150"/>
      <c r="CZ28" s="134">
        <v>8.4</v>
      </c>
      <c r="DA28" s="150"/>
      <c r="DB28" s="134">
        <v>8.4</v>
      </c>
      <c r="DC28" s="150"/>
      <c r="DD28" s="130">
        <v>6</v>
      </c>
      <c r="DE28" s="131">
        <f t="shared" si="8"/>
        <v>0</v>
      </c>
      <c r="DF28" s="149"/>
      <c r="DG28" s="150"/>
      <c r="DH28" s="150"/>
      <c r="DI28" s="134">
        <v>8.4</v>
      </c>
      <c r="DJ28" s="150"/>
      <c r="DK28" s="134">
        <v>8.4</v>
      </c>
      <c r="DL28" s="150"/>
      <c r="DM28" s="130">
        <v>6</v>
      </c>
      <c r="DN28" s="131">
        <f t="shared" si="9"/>
        <v>0</v>
      </c>
      <c r="DO28" s="149"/>
      <c r="DP28" s="150"/>
      <c r="DQ28" s="150"/>
      <c r="DR28" s="134">
        <v>8.4</v>
      </c>
      <c r="DS28" s="150"/>
      <c r="DT28" s="134">
        <v>8.4</v>
      </c>
      <c r="DU28" s="150"/>
      <c r="DV28" s="130">
        <v>6</v>
      </c>
      <c r="DW28" s="137">
        <f t="shared" si="10"/>
        <v>0</v>
      </c>
      <c r="DX28" s="151"/>
      <c r="DY28" s="134">
        <f t="shared" si="11"/>
        <v>0</v>
      </c>
      <c r="DZ28" s="134">
        <f t="shared" si="12"/>
        <v>0</v>
      </c>
      <c r="EA28" s="134">
        <f t="shared" si="13"/>
        <v>0</v>
      </c>
      <c r="EB28" s="151"/>
      <c r="ED28" s="1"/>
      <c r="EE28" s="1"/>
      <c r="EF28" s="1"/>
    </row>
    <row r="29" spans="1:136" x14ac:dyDescent="0.25">
      <c r="A29" s="118">
        <v>1</v>
      </c>
      <c r="B29" s="14" t="s">
        <v>155</v>
      </c>
      <c r="C29" s="13" t="s">
        <v>149</v>
      </c>
      <c r="D29" s="119" t="s">
        <v>150</v>
      </c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2"/>
      <c r="Q29" s="144"/>
      <c r="R29" s="145"/>
      <c r="S29" s="146"/>
      <c r="T29" s="147"/>
      <c r="U29" s="148"/>
      <c r="V29" s="148"/>
      <c r="W29" s="128">
        <v>8.4</v>
      </c>
      <c r="X29" s="148"/>
      <c r="Y29" s="128">
        <v>8.4</v>
      </c>
      <c r="Z29" s="148"/>
      <c r="AA29" s="130">
        <v>6</v>
      </c>
      <c r="AB29" s="131">
        <f t="shared" si="0"/>
        <v>0</v>
      </c>
      <c r="AC29" s="147"/>
      <c r="AD29" s="148"/>
      <c r="AE29" s="148"/>
      <c r="AF29" s="128">
        <v>8.4</v>
      </c>
      <c r="AG29" s="148"/>
      <c r="AH29" s="128">
        <v>8.4</v>
      </c>
      <c r="AI29" s="148"/>
      <c r="AJ29" s="130">
        <v>6</v>
      </c>
      <c r="AK29" s="131">
        <f t="shared" si="14"/>
        <v>0</v>
      </c>
      <c r="AL29" s="147"/>
      <c r="AM29" s="148"/>
      <c r="AN29" s="148"/>
      <c r="AO29" s="128">
        <v>8.4</v>
      </c>
      <c r="AP29" s="148"/>
      <c r="AQ29" s="128">
        <v>8.4</v>
      </c>
      <c r="AR29" s="148"/>
      <c r="AS29" s="130">
        <v>6</v>
      </c>
      <c r="AT29" s="131">
        <f t="shared" si="1"/>
        <v>0</v>
      </c>
      <c r="AU29" s="149"/>
      <c r="AV29" s="150"/>
      <c r="AW29" s="150"/>
      <c r="AX29" s="134">
        <v>8.4</v>
      </c>
      <c r="AY29" s="150"/>
      <c r="AZ29" s="134">
        <v>8.4</v>
      </c>
      <c r="BA29" s="150"/>
      <c r="BB29" s="130">
        <v>6</v>
      </c>
      <c r="BC29" s="131">
        <f t="shared" si="2"/>
        <v>0</v>
      </c>
      <c r="BD29" s="149"/>
      <c r="BE29" s="150"/>
      <c r="BF29" s="150"/>
      <c r="BG29" s="134">
        <v>8.4</v>
      </c>
      <c r="BH29" s="150"/>
      <c r="BI29" s="134">
        <v>8.4</v>
      </c>
      <c r="BJ29" s="150"/>
      <c r="BK29" s="130">
        <v>6</v>
      </c>
      <c r="BL29" s="131">
        <f t="shared" si="3"/>
        <v>0</v>
      </c>
      <c r="BM29" s="149"/>
      <c r="BN29" s="150"/>
      <c r="BO29" s="150"/>
      <c r="BP29" s="134">
        <v>8.4</v>
      </c>
      <c r="BQ29" s="150"/>
      <c r="BR29" s="134">
        <v>8.4</v>
      </c>
      <c r="BS29" s="150"/>
      <c r="BT29" s="130">
        <v>6</v>
      </c>
      <c r="BU29" s="131">
        <f t="shared" si="4"/>
        <v>0</v>
      </c>
      <c r="BV29" s="149"/>
      <c r="BW29" s="150"/>
      <c r="BX29" s="150"/>
      <c r="BY29" s="134">
        <v>8.4</v>
      </c>
      <c r="BZ29" s="150"/>
      <c r="CA29" s="134">
        <v>8.4</v>
      </c>
      <c r="CB29" s="150"/>
      <c r="CC29" s="130">
        <v>6</v>
      </c>
      <c r="CD29" s="131">
        <f t="shared" si="5"/>
        <v>0</v>
      </c>
      <c r="CE29" s="149"/>
      <c r="CF29" s="150"/>
      <c r="CG29" s="150"/>
      <c r="CH29" s="134">
        <v>8.4</v>
      </c>
      <c r="CI29" s="150"/>
      <c r="CJ29" s="134">
        <v>8.4</v>
      </c>
      <c r="CK29" s="150"/>
      <c r="CL29" s="130">
        <v>6</v>
      </c>
      <c r="CM29" s="136">
        <f t="shared" si="6"/>
        <v>0</v>
      </c>
      <c r="CN29" s="149"/>
      <c r="CO29" s="150"/>
      <c r="CP29" s="150"/>
      <c r="CQ29" s="134">
        <v>8.4</v>
      </c>
      <c r="CR29" s="150"/>
      <c r="CS29" s="134">
        <v>8.4</v>
      </c>
      <c r="CT29" s="150"/>
      <c r="CU29" s="130">
        <v>6</v>
      </c>
      <c r="CV29" s="131">
        <f t="shared" si="7"/>
        <v>0</v>
      </c>
      <c r="CW29" s="149"/>
      <c r="CX29" s="150"/>
      <c r="CY29" s="150"/>
      <c r="CZ29" s="134">
        <v>8.4</v>
      </c>
      <c r="DA29" s="150"/>
      <c r="DB29" s="134">
        <v>8.4</v>
      </c>
      <c r="DC29" s="150"/>
      <c r="DD29" s="130">
        <v>6</v>
      </c>
      <c r="DE29" s="131">
        <f t="shared" si="8"/>
        <v>0</v>
      </c>
      <c r="DF29" s="149"/>
      <c r="DG29" s="150"/>
      <c r="DH29" s="150"/>
      <c r="DI29" s="134">
        <v>8.4</v>
      </c>
      <c r="DJ29" s="150"/>
      <c r="DK29" s="134">
        <v>8.4</v>
      </c>
      <c r="DL29" s="150"/>
      <c r="DM29" s="130">
        <v>6</v>
      </c>
      <c r="DN29" s="131">
        <f t="shared" si="9"/>
        <v>0</v>
      </c>
      <c r="DO29" s="149"/>
      <c r="DP29" s="150"/>
      <c r="DQ29" s="150"/>
      <c r="DR29" s="134">
        <v>8.4</v>
      </c>
      <c r="DS29" s="150"/>
      <c r="DT29" s="134">
        <v>8.4</v>
      </c>
      <c r="DU29" s="150"/>
      <c r="DV29" s="130">
        <v>6</v>
      </c>
      <c r="DW29" s="137">
        <f t="shared" si="10"/>
        <v>0</v>
      </c>
      <c r="DX29" s="151"/>
      <c r="DY29" s="134">
        <f t="shared" si="11"/>
        <v>0</v>
      </c>
      <c r="DZ29" s="134">
        <f t="shared" si="12"/>
        <v>0</v>
      </c>
      <c r="EA29" s="134">
        <f t="shared" si="13"/>
        <v>0</v>
      </c>
      <c r="EB29" s="151"/>
      <c r="ED29" s="1"/>
      <c r="EE29" s="1"/>
      <c r="EF29" s="1"/>
    </row>
    <row r="30" spans="1:136" x14ac:dyDescent="0.25">
      <c r="A30" s="118">
        <v>1</v>
      </c>
      <c r="B30" s="14" t="s">
        <v>112</v>
      </c>
      <c r="C30" s="13" t="s">
        <v>334</v>
      </c>
      <c r="D30" s="119" t="s">
        <v>335</v>
      </c>
      <c r="E30" s="140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2"/>
      <c r="Q30" s="144"/>
      <c r="R30" s="145"/>
      <c r="S30" s="146"/>
      <c r="T30" s="147"/>
      <c r="U30" s="148"/>
      <c r="V30" s="148"/>
      <c r="W30" s="128">
        <v>8.4</v>
      </c>
      <c r="X30" s="148"/>
      <c r="Y30" s="128">
        <v>8.4</v>
      </c>
      <c r="Z30" s="148"/>
      <c r="AA30" s="130">
        <v>6</v>
      </c>
      <c r="AB30" s="131">
        <f t="shared" si="0"/>
        <v>0</v>
      </c>
      <c r="AC30" s="147"/>
      <c r="AD30" s="148"/>
      <c r="AE30" s="148"/>
      <c r="AF30" s="128">
        <v>8.4</v>
      </c>
      <c r="AG30" s="148"/>
      <c r="AH30" s="128">
        <v>8.4</v>
      </c>
      <c r="AI30" s="148"/>
      <c r="AJ30" s="130">
        <v>6</v>
      </c>
      <c r="AK30" s="131">
        <f t="shared" si="14"/>
        <v>0</v>
      </c>
      <c r="AL30" s="147"/>
      <c r="AM30" s="148"/>
      <c r="AN30" s="148"/>
      <c r="AO30" s="128">
        <v>8.4</v>
      </c>
      <c r="AP30" s="148"/>
      <c r="AQ30" s="128">
        <v>8.4</v>
      </c>
      <c r="AR30" s="148"/>
      <c r="AS30" s="130">
        <v>6</v>
      </c>
      <c r="AT30" s="131">
        <f t="shared" si="1"/>
        <v>0</v>
      </c>
      <c r="AU30" s="149"/>
      <c r="AV30" s="150"/>
      <c r="AW30" s="150"/>
      <c r="AX30" s="134">
        <v>8.4</v>
      </c>
      <c r="AY30" s="150"/>
      <c r="AZ30" s="134">
        <v>8.4</v>
      </c>
      <c r="BA30" s="150"/>
      <c r="BB30" s="130">
        <v>6</v>
      </c>
      <c r="BC30" s="131">
        <f t="shared" si="2"/>
        <v>0</v>
      </c>
      <c r="BD30" s="149"/>
      <c r="BE30" s="150"/>
      <c r="BF30" s="150"/>
      <c r="BG30" s="134">
        <v>8.4</v>
      </c>
      <c r="BH30" s="150"/>
      <c r="BI30" s="134">
        <v>8.4</v>
      </c>
      <c r="BJ30" s="150"/>
      <c r="BK30" s="130">
        <v>6</v>
      </c>
      <c r="BL30" s="131">
        <f t="shared" si="3"/>
        <v>0</v>
      </c>
      <c r="BM30" s="149"/>
      <c r="BN30" s="150"/>
      <c r="BO30" s="150"/>
      <c r="BP30" s="134">
        <v>8.4</v>
      </c>
      <c r="BQ30" s="150"/>
      <c r="BR30" s="134">
        <v>8.4</v>
      </c>
      <c r="BS30" s="150"/>
      <c r="BT30" s="130">
        <v>6</v>
      </c>
      <c r="BU30" s="131">
        <f t="shared" si="4"/>
        <v>0</v>
      </c>
      <c r="BV30" s="149"/>
      <c r="BW30" s="150"/>
      <c r="BX30" s="150"/>
      <c r="BY30" s="134">
        <v>8.4</v>
      </c>
      <c r="BZ30" s="150"/>
      <c r="CA30" s="134">
        <v>8.4</v>
      </c>
      <c r="CB30" s="150"/>
      <c r="CC30" s="130">
        <v>6</v>
      </c>
      <c r="CD30" s="131">
        <f t="shared" si="5"/>
        <v>0</v>
      </c>
      <c r="CE30" s="149"/>
      <c r="CF30" s="150"/>
      <c r="CG30" s="150"/>
      <c r="CH30" s="134">
        <v>8.4</v>
      </c>
      <c r="CI30" s="150"/>
      <c r="CJ30" s="134">
        <v>8.4</v>
      </c>
      <c r="CK30" s="150"/>
      <c r="CL30" s="130">
        <v>6</v>
      </c>
      <c r="CM30" s="136">
        <f t="shared" si="6"/>
        <v>0</v>
      </c>
      <c r="CN30" s="149"/>
      <c r="CO30" s="150"/>
      <c r="CP30" s="150"/>
      <c r="CQ30" s="134">
        <v>8.4</v>
      </c>
      <c r="CR30" s="150"/>
      <c r="CS30" s="134">
        <v>8.4</v>
      </c>
      <c r="CT30" s="150"/>
      <c r="CU30" s="130">
        <v>6</v>
      </c>
      <c r="CV30" s="131">
        <f t="shared" si="7"/>
        <v>0</v>
      </c>
      <c r="CW30" s="149"/>
      <c r="CX30" s="150"/>
      <c r="CY30" s="150"/>
      <c r="CZ30" s="134">
        <v>8.4</v>
      </c>
      <c r="DA30" s="150"/>
      <c r="DB30" s="134">
        <v>8.4</v>
      </c>
      <c r="DC30" s="150"/>
      <c r="DD30" s="130">
        <v>6</v>
      </c>
      <c r="DE30" s="131">
        <f t="shared" si="8"/>
        <v>0</v>
      </c>
      <c r="DF30" s="149"/>
      <c r="DG30" s="150"/>
      <c r="DH30" s="150"/>
      <c r="DI30" s="134">
        <v>8.4</v>
      </c>
      <c r="DJ30" s="150"/>
      <c r="DK30" s="134">
        <v>8.4</v>
      </c>
      <c r="DL30" s="150"/>
      <c r="DM30" s="130">
        <v>6</v>
      </c>
      <c r="DN30" s="131">
        <f t="shared" si="9"/>
        <v>0</v>
      </c>
      <c r="DO30" s="149"/>
      <c r="DP30" s="150"/>
      <c r="DQ30" s="150"/>
      <c r="DR30" s="134">
        <v>8.4</v>
      </c>
      <c r="DS30" s="150"/>
      <c r="DT30" s="134">
        <v>8.4</v>
      </c>
      <c r="DU30" s="150"/>
      <c r="DV30" s="130">
        <v>6</v>
      </c>
      <c r="DW30" s="137">
        <f t="shared" si="10"/>
        <v>0</v>
      </c>
      <c r="DX30" s="151"/>
      <c r="DY30" s="134">
        <f t="shared" si="11"/>
        <v>0</v>
      </c>
      <c r="DZ30" s="134">
        <f t="shared" si="12"/>
        <v>0</v>
      </c>
      <c r="EA30" s="134">
        <f t="shared" si="13"/>
        <v>0</v>
      </c>
      <c r="EB30" s="151"/>
      <c r="ED30" s="1"/>
      <c r="EE30" s="1"/>
      <c r="EF30" s="1"/>
    </row>
    <row r="31" spans="1:136" x14ac:dyDescent="0.25">
      <c r="A31" s="118">
        <v>1</v>
      </c>
      <c r="B31" s="14" t="s">
        <v>87</v>
      </c>
      <c r="C31" s="13" t="s">
        <v>336</v>
      </c>
      <c r="D31" s="119" t="s">
        <v>337</v>
      </c>
      <c r="E31" s="120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2"/>
      <c r="Q31" s="144"/>
      <c r="R31" s="145"/>
      <c r="S31" s="146"/>
      <c r="T31" s="147"/>
      <c r="U31" s="148"/>
      <c r="V31" s="148"/>
      <c r="W31" s="128">
        <v>8.4</v>
      </c>
      <c r="X31" s="148"/>
      <c r="Y31" s="128">
        <v>8.4</v>
      </c>
      <c r="Z31" s="148"/>
      <c r="AA31" s="130">
        <v>6</v>
      </c>
      <c r="AB31" s="131">
        <f t="shared" si="0"/>
        <v>0</v>
      </c>
      <c r="AC31" s="147"/>
      <c r="AD31" s="148"/>
      <c r="AE31" s="148"/>
      <c r="AF31" s="128">
        <v>8.4</v>
      </c>
      <c r="AG31" s="148"/>
      <c r="AH31" s="128">
        <v>8.4</v>
      </c>
      <c r="AI31" s="148"/>
      <c r="AJ31" s="130">
        <v>6</v>
      </c>
      <c r="AK31" s="131">
        <f t="shared" si="14"/>
        <v>0</v>
      </c>
      <c r="AL31" s="147"/>
      <c r="AM31" s="148"/>
      <c r="AN31" s="148"/>
      <c r="AO31" s="128">
        <v>8.4</v>
      </c>
      <c r="AP31" s="148"/>
      <c r="AQ31" s="128">
        <v>8.4</v>
      </c>
      <c r="AR31" s="148"/>
      <c r="AS31" s="130">
        <v>6</v>
      </c>
      <c r="AT31" s="131">
        <f t="shared" si="1"/>
        <v>0</v>
      </c>
      <c r="AU31" s="149"/>
      <c r="AV31" s="150"/>
      <c r="AW31" s="150"/>
      <c r="AX31" s="134">
        <v>8.4</v>
      </c>
      <c r="AY31" s="150"/>
      <c r="AZ31" s="134">
        <v>8.4</v>
      </c>
      <c r="BA31" s="150"/>
      <c r="BB31" s="130">
        <v>6</v>
      </c>
      <c r="BC31" s="131">
        <f t="shared" si="2"/>
        <v>0</v>
      </c>
      <c r="BD31" s="149"/>
      <c r="BE31" s="150"/>
      <c r="BF31" s="150"/>
      <c r="BG31" s="134">
        <v>8.4</v>
      </c>
      <c r="BH31" s="150"/>
      <c r="BI31" s="134">
        <v>8.4</v>
      </c>
      <c r="BJ31" s="150"/>
      <c r="BK31" s="130">
        <v>6</v>
      </c>
      <c r="BL31" s="131">
        <f t="shared" si="3"/>
        <v>0</v>
      </c>
      <c r="BM31" s="149"/>
      <c r="BN31" s="150"/>
      <c r="BO31" s="150"/>
      <c r="BP31" s="134">
        <v>8.4</v>
      </c>
      <c r="BQ31" s="150"/>
      <c r="BR31" s="134">
        <v>8.4</v>
      </c>
      <c r="BS31" s="150"/>
      <c r="BT31" s="130">
        <v>6</v>
      </c>
      <c r="BU31" s="131">
        <f t="shared" si="4"/>
        <v>0</v>
      </c>
      <c r="BV31" s="149"/>
      <c r="BW31" s="150"/>
      <c r="BX31" s="150"/>
      <c r="BY31" s="134">
        <v>8.4</v>
      </c>
      <c r="BZ31" s="150"/>
      <c r="CA31" s="134">
        <v>8.4</v>
      </c>
      <c r="CB31" s="150"/>
      <c r="CC31" s="130">
        <v>6</v>
      </c>
      <c r="CD31" s="131">
        <f t="shared" si="5"/>
        <v>0</v>
      </c>
      <c r="CE31" s="149"/>
      <c r="CF31" s="150"/>
      <c r="CG31" s="150"/>
      <c r="CH31" s="134">
        <v>8.4</v>
      </c>
      <c r="CI31" s="150"/>
      <c r="CJ31" s="134">
        <v>8.4</v>
      </c>
      <c r="CK31" s="150"/>
      <c r="CL31" s="130">
        <v>6</v>
      </c>
      <c r="CM31" s="136">
        <f t="shared" si="6"/>
        <v>0</v>
      </c>
      <c r="CN31" s="149"/>
      <c r="CO31" s="150"/>
      <c r="CP31" s="150"/>
      <c r="CQ31" s="134">
        <v>8.4</v>
      </c>
      <c r="CR31" s="150"/>
      <c r="CS31" s="134">
        <v>8.4</v>
      </c>
      <c r="CT31" s="150"/>
      <c r="CU31" s="130">
        <v>6</v>
      </c>
      <c r="CV31" s="131">
        <f t="shared" si="7"/>
        <v>0</v>
      </c>
      <c r="CW31" s="149"/>
      <c r="CX31" s="150"/>
      <c r="CY31" s="150"/>
      <c r="CZ31" s="134">
        <v>8.4</v>
      </c>
      <c r="DA31" s="150"/>
      <c r="DB31" s="134">
        <v>8.4</v>
      </c>
      <c r="DC31" s="150"/>
      <c r="DD31" s="130">
        <v>6</v>
      </c>
      <c r="DE31" s="131">
        <f t="shared" si="8"/>
        <v>0</v>
      </c>
      <c r="DF31" s="149"/>
      <c r="DG31" s="150"/>
      <c r="DH31" s="150"/>
      <c r="DI31" s="134">
        <v>8.4</v>
      </c>
      <c r="DJ31" s="150"/>
      <c r="DK31" s="134">
        <v>8.4</v>
      </c>
      <c r="DL31" s="150"/>
      <c r="DM31" s="130">
        <v>6</v>
      </c>
      <c r="DN31" s="131">
        <f t="shared" si="9"/>
        <v>0</v>
      </c>
      <c r="DO31" s="149"/>
      <c r="DP31" s="150"/>
      <c r="DQ31" s="150"/>
      <c r="DR31" s="134">
        <v>8.4</v>
      </c>
      <c r="DS31" s="150"/>
      <c r="DT31" s="134">
        <v>8.4</v>
      </c>
      <c r="DU31" s="150"/>
      <c r="DV31" s="130">
        <v>6</v>
      </c>
      <c r="DW31" s="137">
        <f t="shared" si="10"/>
        <v>0</v>
      </c>
      <c r="DX31" s="151"/>
      <c r="DY31" s="134">
        <f t="shared" si="11"/>
        <v>0</v>
      </c>
      <c r="DZ31" s="134">
        <f t="shared" si="12"/>
        <v>0</v>
      </c>
      <c r="EA31" s="134">
        <f t="shared" si="13"/>
        <v>0</v>
      </c>
      <c r="EB31" s="151"/>
      <c r="ED31" s="1"/>
      <c r="EE31" s="1"/>
      <c r="EF31" s="1"/>
    </row>
    <row r="32" spans="1:136" x14ac:dyDescent="0.25">
      <c r="A32" s="118">
        <v>1</v>
      </c>
      <c r="B32" s="14" t="s">
        <v>62</v>
      </c>
      <c r="C32" s="13" t="s">
        <v>182</v>
      </c>
      <c r="D32" s="119" t="s">
        <v>183</v>
      </c>
      <c r="E32" s="140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2"/>
      <c r="Q32" s="144"/>
      <c r="R32" s="145"/>
      <c r="S32" s="146"/>
      <c r="T32" s="147"/>
      <c r="U32" s="148"/>
      <c r="V32" s="148"/>
      <c r="W32" s="128">
        <v>8.4</v>
      </c>
      <c r="X32" s="148"/>
      <c r="Y32" s="128">
        <v>8.4</v>
      </c>
      <c r="Z32" s="148"/>
      <c r="AA32" s="130">
        <v>6</v>
      </c>
      <c r="AB32" s="131">
        <f t="shared" si="0"/>
        <v>0</v>
      </c>
      <c r="AC32" s="147"/>
      <c r="AD32" s="148"/>
      <c r="AE32" s="148"/>
      <c r="AF32" s="128">
        <v>8.4</v>
      </c>
      <c r="AG32" s="148"/>
      <c r="AH32" s="128">
        <v>8.4</v>
      </c>
      <c r="AI32" s="148"/>
      <c r="AJ32" s="130">
        <v>6</v>
      </c>
      <c r="AK32" s="131">
        <f t="shared" si="14"/>
        <v>0</v>
      </c>
      <c r="AL32" s="147"/>
      <c r="AM32" s="148"/>
      <c r="AN32" s="148"/>
      <c r="AO32" s="128">
        <v>8.4</v>
      </c>
      <c r="AP32" s="148"/>
      <c r="AQ32" s="128">
        <v>8.4</v>
      </c>
      <c r="AR32" s="148"/>
      <c r="AS32" s="130">
        <v>6</v>
      </c>
      <c r="AT32" s="131">
        <f t="shared" si="1"/>
        <v>0</v>
      </c>
      <c r="AU32" s="149"/>
      <c r="AV32" s="150"/>
      <c r="AW32" s="150"/>
      <c r="AX32" s="134">
        <v>8.4</v>
      </c>
      <c r="AY32" s="150"/>
      <c r="AZ32" s="134">
        <v>8.4</v>
      </c>
      <c r="BA32" s="150"/>
      <c r="BB32" s="130">
        <v>6</v>
      </c>
      <c r="BC32" s="131">
        <f t="shared" si="2"/>
        <v>0</v>
      </c>
      <c r="BD32" s="149"/>
      <c r="BE32" s="150"/>
      <c r="BF32" s="150"/>
      <c r="BG32" s="134">
        <v>8.4</v>
      </c>
      <c r="BH32" s="150"/>
      <c r="BI32" s="134">
        <v>8.4</v>
      </c>
      <c r="BJ32" s="150"/>
      <c r="BK32" s="130">
        <v>6</v>
      </c>
      <c r="BL32" s="131">
        <f t="shared" si="3"/>
        <v>0</v>
      </c>
      <c r="BM32" s="149"/>
      <c r="BN32" s="150"/>
      <c r="BO32" s="150"/>
      <c r="BP32" s="134">
        <v>8.4</v>
      </c>
      <c r="BQ32" s="150"/>
      <c r="BR32" s="134">
        <v>8.4</v>
      </c>
      <c r="BS32" s="150"/>
      <c r="BT32" s="130">
        <v>6</v>
      </c>
      <c r="BU32" s="131">
        <f t="shared" si="4"/>
        <v>0</v>
      </c>
      <c r="BV32" s="149"/>
      <c r="BW32" s="150"/>
      <c r="BX32" s="150"/>
      <c r="BY32" s="134">
        <v>8.4</v>
      </c>
      <c r="BZ32" s="150"/>
      <c r="CA32" s="134">
        <v>8.4</v>
      </c>
      <c r="CB32" s="150"/>
      <c r="CC32" s="130">
        <v>6</v>
      </c>
      <c r="CD32" s="131">
        <f t="shared" si="5"/>
        <v>0</v>
      </c>
      <c r="CE32" s="149"/>
      <c r="CF32" s="150"/>
      <c r="CG32" s="150"/>
      <c r="CH32" s="134">
        <v>8.4</v>
      </c>
      <c r="CI32" s="150"/>
      <c r="CJ32" s="134">
        <v>8.4</v>
      </c>
      <c r="CK32" s="150"/>
      <c r="CL32" s="130">
        <v>6</v>
      </c>
      <c r="CM32" s="136">
        <f t="shared" si="6"/>
        <v>0</v>
      </c>
      <c r="CN32" s="149"/>
      <c r="CO32" s="150"/>
      <c r="CP32" s="150"/>
      <c r="CQ32" s="134">
        <v>8.4</v>
      </c>
      <c r="CR32" s="150"/>
      <c r="CS32" s="134">
        <v>8.4</v>
      </c>
      <c r="CT32" s="150"/>
      <c r="CU32" s="130">
        <v>6</v>
      </c>
      <c r="CV32" s="131">
        <f t="shared" si="7"/>
        <v>0</v>
      </c>
      <c r="CW32" s="149"/>
      <c r="CX32" s="150"/>
      <c r="CY32" s="150"/>
      <c r="CZ32" s="134">
        <v>8.4</v>
      </c>
      <c r="DA32" s="150"/>
      <c r="DB32" s="134">
        <v>8.4</v>
      </c>
      <c r="DC32" s="150"/>
      <c r="DD32" s="130">
        <v>6</v>
      </c>
      <c r="DE32" s="131">
        <f t="shared" si="8"/>
        <v>0</v>
      </c>
      <c r="DF32" s="149"/>
      <c r="DG32" s="150"/>
      <c r="DH32" s="150"/>
      <c r="DI32" s="134">
        <v>8.4</v>
      </c>
      <c r="DJ32" s="150"/>
      <c r="DK32" s="134">
        <v>8.4</v>
      </c>
      <c r="DL32" s="150"/>
      <c r="DM32" s="130">
        <v>6</v>
      </c>
      <c r="DN32" s="131">
        <f t="shared" si="9"/>
        <v>0</v>
      </c>
      <c r="DO32" s="149"/>
      <c r="DP32" s="150"/>
      <c r="DQ32" s="150"/>
      <c r="DR32" s="134">
        <v>8.4</v>
      </c>
      <c r="DS32" s="150"/>
      <c r="DT32" s="134">
        <v>8.4</v>
      </c>
      <c r="DU32" s="150"/>
      <c r="DV32" s="130">
        <v>6</v>
      </c>
      <c r="DW32" s="137">
        <f t="shared" si="10"/>
        <v>0</v>
      </c>
      <c r="DX32" s="151"/>
      <c r="DY32" s="134">
        <f t="shared" si="11"/>
        <v>0</v>
      </c>
      <c r="DZ32" s="134">
        <f t="shared" si="12"/>
        <v>0</v>
      </c>
      <c r="EA32" s="134">
        <f t="shared" si="13"/>
        <v>0</v>
      </c>
      <c r="EB32" s="151"/>
      <c r="ED32" s="1"/>
      <c r="EE32" s="1"/>
      <c r="EF32" s="1"/>
    </row>
    <row r="33" spans="1:136" x14ac:dyDescent="0.25">
      <c r="A33" s="118">
        <v>1</v>
      </c>
      <c r="B33" s="14" t="s">
        <v>20</v>
      </c>
      <c r="C33" s="13" t="s">
        <v>338</v>
      </c>
      <c r="D33" s="152" t="s">
        <v>339</v>
      </c>
      <c r="E33" s="120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2"/>
      <c r="Q33" s="144"/>
      <c r="R33" s="145"/>
      <c r="S33" s="146"/>
      <c r="T33" s="147"/>
      <c r="U33" s="148"/>
      <c r="V33" s="148"/>
      <c r="W33" s="128">
        <v>8.4</v>
      </c>
      <c r="X33" s="148"/>
      <c r="Y33" s="128">
        <v>8.4</v>
      </c>
      <c r="Z33" s="148"/>
      <c r="AA33" s="130">
        <v>6</v>
      </c>
      <c r="AB33" s="131">
        <f t="shared" si="0"/>
        <v>0</v>
      </c>
      <c r="AC33" s="147"/>
      <c r="AD33" s="148"/>
      <c r="AE33" s="148"/>
      <c r="AF33" s="128">
        <v>8.4</v>
      </c>
      <c r="AG33" s="148"/>
      <c r="AH33" s="128">
        <v>8.4</v>
      </c>
      <c r="AI33" s="148"/>
      <c r="AJ33" s="130">
        <v>6</v>
      </c>
      <c r="AK33" s="131">
        <f t="shared" si="14"/>
        <v>0</v>
      </c>
      <c r="AL33" s="147"/>
      <c r="AM33" s="148"/>
      <c r="AN33" s="148"/>
      <c r="AO33" s="128">
        <v>8.4</v>
      </c>
      <c r="AP33" s="148"/>
      <c r="AQ33" s="128">
        <v>8.4</v>
      </c>
      <c r="AR33" s="148"/>
      <c r="AS33" s="130">
        <v>6</v>
      </c>
      <c r="AT33" s="131">
        <f t="shared" si="1"/>
        <v>0</v>
      </c>
      <c r="AU33" s="149"/>
      <c r="AV33" s="150"/>
      <c r="AW33" s="150"/>
      <c r="AX33" s="134">
        <v>8.4</v>
      </c>
      <c r="AY33" s="150"/>
      <c r="AZ33" s="134">
        <v>8.4</v>
      </c>
      <c r="BA33" s="150"/>
      <c r="BB33" s="130">
        <v>6</v>
      </c>
      <c r="BC33" s="131">
        <f t="shared" si="2"/>
        <v>0</v>
      </c>
      <c r="BD33" s="149"/>
      <c r="BE33" s="150"/>
      <c r="BF33" s="150"/>
      <c r="BG33" s="134">
        <v>8.4</v>
      </c>
      <c r="BH33" s="150"/>
      <c r="BI33" s="134">
        <v>8.4</v>
      </c>
      <c r="BJ33" s="150"/>
      <c r="BK33" s="130">
        <v>6</v>
      </c>
      <c r="BL33" s="131">
        <f t="shared" si="3"/>
        <v>0</v>
      </c>
      <c r="BM33" s="149"/>
      <c r="BN33" s="150"/>
      <c r="BO33" s="150"/>
      <c r="BP33" s="134">
        <v>8.4</v>
      </c>
      <c r="BQ33" s="150"/>
      <c r="BR33" s="134">
        <v>8.4</v>
      </c>
      <c r="BS33" s="150"/>
      <c r="BT33" s="130">
        <v>6</v>
      </c>
      <c r="BU33" s="131">
        <f t="shared" si="4"/>
        <v>0</v>
      </c>
      <c r="BV33" s="149"/>
      <c r="BW33" s="150"/>
      <c r="BX33" s="150"/>
      <c r="BY33" s="134">
        <v>8.4</v>
      </c>
      <c r="BZ33" s="150"/>
      <c r="CA33" s="134">
        <v>8.4</v>
      </c>
      <c r="CB33" s="150"/>
      <c r="CC33" s="130">
        <v>6</v>
      </c>
      <c r="CD33" s="131">
        <f t="shared" si="5"/>
        <v>0</v>
      </c>
      <c r="CE33" s="149"/>
      <c r="CF33" s="150"/>
      <c r="CG33" s="150"/>
      <c r="CH33" s="134">
        <v>8.4</v>
      </c>
      <c r="CI33" s="150"/>
      <c r="CJ33" s="134">
        <v>8.4</v>
      </c>
      <c r="CK33" s="150"/>
      <c r="CL33" s="130">
        <v>6</v>
      </c>
      <c r="CM33" s="136">
        <f t="shared" si="6"/>
        <v>0</v>
      </c>
      <c r="CN33" s="149"/>
      <c r="CO33" s="150"/>
      <c r="CP33" s="150"/>
      <c r="CQ33" s="134">
        <v>8.4</v>
      </c>
      <c r="CR33" s="150"/>
      <c r="CS33" s="134">
        <v>8.4</v>
      </c>
      <c r="CT33" s="150"/>
      <c r="CU33" s="130">
        <v>6</v>
      </c>
      <c r="CV33" s="131">
        <f t="shared" si="7"/>
        <v>0</v>
      </c>
      <c r="CW33" s="149"/>
      <c r="CX33" s="150"/>
      <c r="CY33" s="150"/>
      <c r="CZ33" s="134">
        <v>8.4</v>
      </c>
      <c r="DA33" s="150"/>
      <c r="DB33" s="134">
        <v>8.4</v>
      </c>
      <c r="DC33" s="150"/>
      <c r="DD33" s="130">
        <v>6</v>
      </c>
      <c r="DE33" s="131">
        <f t="shared" si="8"/>
        <v>0</v>
      </c>
      <c r="DF33" s="149"/>
      <c r="DG33" s="150"/>
      <c r="DH33" s="150"/>
      <c r="DI33" s="134">
        <v>8.4</v>
      </c>
      <c r="DJ33" s="150"/>
      <c r="DK33" s="134">
        <v>8.4</v>
      </c>
      <c r="DL33" s="150"/>
      <c r="DM33" s="130">
        <v>6</v>
      </c>
      <c r="DN33" s="131">
        <f t="shared" si="9"/>
        <v>0</v>
      </c>
      <c r="DO33" s="149"/>
      <c r="DP33" s="150"/>
      <c r="DQ33" s="150"/>
      <c r="DR33" s="134">
        <v>8.4</v>
      </c>
      <c r="DS33" s="150"/>
      <c r="DT33" s="134">
        <v>8.4</v>
      </c>
      <c r="DU33" s="150"/>
      <c r="DV33" s="130">
        <v>6</v>
      </c>
      <c r="DW33" s="137">
        <f t="shared" si="10"/>
        <v>0</v>
      </c>
      <c r="DX33" s="151"/>
      <c r="DY33" s="134">
        <f t="shared" si="11"/>
        <v>0</v>
      </c>
      <c r="DZ33" s="134">
        <f t="shared" si="12"/>
        <v>0</v>
      </c>
      <c r="EA33" s="134">
        <f t="shared" si="13"/>
        <v>0</v>
      </c>
      <c r="EB33" s="151"/>
      <c r="ED33" s="1"/>
      <c r="EE33" s="1"/>
      <c r="EF33" s="1"/>
    </row>
    <row r="34" spans="1:136" x14ac:dyDescent="0.25">
      <c r="A34" s="118">
        <v>1</v>
      </c>
      <c r="B34" s="14" t="s">
        <v>112</v>
      </c>
      <c r="C34" s="13" t="s">
        <v>190</v>
      </c>
      <c r="D34" s="119" t="s">
        <v>191</v>
      </c>
      <c r="E34" s="140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2"/>
      <c r="Q34" s="144"/>
      <c r="R34" s="145"/>
      <c r="S34" s="146"/>
      <c r="T34" s="147"/>
      <c r="U34" s="148"/>
      <c r="V34" s="148"/>
      <c r="W34" s="128">
        <v>8.4</v>
      </c>
      <c r="X34" s="148"/>
      <c r="Y34" s="128">
        <v>8.4</v>
      </c>
      <c r="Z34" s="148"/>
      <c r="AA34" s="130">
        <v>6</v>
      </c>
      <c r="AB34" s="131">
        <f t="shared" si="0"/>
        <v>0</v>
      </c>
      <c r="AC34" s="147"/>
      <c r="AD34" s="148"/>
      <c r="AE34" s="148"/>
      <c r="AF34" s="128">
        <v>8.4</v>
      </c>
      <c r="AG34" s="148"/>
      <c r="AH34" s="128">
        <v>8.4</v>
      </c>
      <c r="AI34" s="148"/>
      <c r="AJ34" s="130">
        <v>6</v>
      </c>
      <c r="AK34" s="131">
        <f t="shared" si="14"/>
        <v>0</v>
      </c>
      <c r="AL34" s="147"/>
      <c r="AM34" s="148"/>
      <c r="AN34" s="148"/>
      <c r="AO34" s="128">
        <v>8.4</v>
      </c>
      <c r="AP34" s="148"/>
      <c r="AQ34" s="128">
        <v>8.4</v>
      </c>
      <c r="AR34" s="148"/>
      <c r="AS34" s="130">
        <v>6</v>
      </c>
      <c r="AT34" s="131">
        <f t="shared" si="1"/>
        <v>0</v>
      </c>
      <c r="AU34" s="149"/>
      <c r="AV34" s="150"/>
      <c r="AW34" s="150"/>
      <c r="AX34" s="134">
        <v>8.4</v>
      </c>
      <c r="AY34" s="150"/>
      <c r="AZ34" s="134">
        <v>8.4</v>
      </c>
      <c r="BA34" s="150"/>
      <c r="BB34" s="130">
        <v>6</v>
      </c>
      <c r="BC34" s="131">
        <f t="shared" si="2"/>
        <v>0</v>
      </c>
      <c r="BD34" s="149"/>
      <c r="BE34" s="150"/>
      <c r="BF34" s="150"/>
      <c r="BG34" s="134">
        <v>8.4</v>
      </c>
      <c r="BH34" s="150"/>
      <c r="BI34" s="134">
        <v>8.4</v>
      </c>
      <c r="BJ34" s="150"/>
      <c r="BK34" s="130">
        <v>6</v>
      </c>
      <c r="BL34" s="131">
        <f t="shared" si="3"/>
        <v>0</v>
      </c>
      <c r="BM34" s="149"/>
      <c r="BN34" s="150"/>
      <c r="BO34" s="150"/>
      <c r="BP34" s="134">
        <v>8.4</v>
      </c>
      <c r="BQ34" s="150"/>
      <c r="BR34" s="134">
        <v>8.4</v>
      </c>
      <c r="BS34" s="150"/>
      <c r="BT34" s="130">
        <v>6</v>
      </c>
      <c r="BU34" s="131">
        <f t="shared" si="4"/>
        <v>0</v>
      </c>
      <c r="BV34" s="149"/>
      <c r="BW34" s="150"/>
      <c r="BX34" s="150"/>
      <c r="BY34" s="134">
        <v>8.4</v>
      </c>
      <c r="BZ34" s="150"/>
      <c r="CA34" s="134">
        <v>8.4</v>
      </c>
      <c r="CB34" s="150"/>
      <c r="CC34" s="130">
        <v>6</v>
      </c>
      <c r="CD34" s="131">
        <f t="shared" si="5"/>
        <v>0</v>
      </c>
      <c r="CE34" s="149"/>
      <c r="CF34" s="150"/>
      <c r="CG34" s="150"/>
      <c r="CH34" s="134">
        <v>8.4</v>
      </c>
      <c r="CI34" s="150"/>
      <c r="CJ34" s="134">
        <v>8.4</v>
      </c>
      <c r="CK34" s="150"/>
      <c r="CL34" s="130">
        <v>6</v>
      </c>
      <c r="CM34" s="136">
        <f t="shared" si="6"/>
        <v>0</v>
      </c>
      <c r="CN34" s="149"/>
      <c r="CO34" s="150"/>
      <c r="CP34" s="150"/>
      <c r="CQ34" s="134">
        <v>8.4</v>
      </c>
      <c r="CR34" s="150"/>
      <c r="CS34" s="134">
        <v>8.4</v>
      </c>
      <c r="CT34" s="150"/>
      <c r="CU34" s="130">
        <v>6</v>
      </c>
      <c r="CV34" s="131">
        <f t="shared" si="7"/>
        <v>0</v>
      </c>
      <c r="CW34" s="149"/>
      <c r="CX34" s="150"/>
      <c r="CY34" s="150"/>
      <c r="CZ34" s="134">
        <v>8.4</v>
      </c>
      <c r="DA34" s="150"/>
      <c r="DB34" s="134">
        <v>8.4</v>
      </c>
      <c r="DC34" s="150"/>
      <c r="DD34" s="130">
        <v>6</v>
      </c>
      <c r="DE34" s="131">
        <f t="shared" si="8"/>
        <v>0</v>
      </c>
      <c r="DF34" s="149"/>
      <c r="DG34" s="150"/>
      <c r="DH34" s="150"/>
      <c r="DI34" s="134">
        <v>8.4</v>
      </c>
      <c r="DJ34" s="150"/>
      <c r="DK34" s="134">
        <v>8.4</v>
      </c>
      <c r="DL34" s="150"/>
      <c r="DM34" s="130">
        <v>6</v>
      </c>
      <c r="DN34" s="131">
        <f t="shared" si="9"/>
        <v>0</v>
      </c>
      <c r="DO34" s="149"/>
      <c r="DP34" s="150"/>
      <c r="DQ34" s="150"/>
      <c r="DR34" s="134">
        <v>8.4</v>
      </c>
      <c r="DS34" s="150"/>
      <c r="DT34" s="134">
        <v>8.4</v>
      </c>
      <c r="DU34" s="150"/>
      <c r="DV34" s="130">
        <v>6</v>
      </c>
      <c r="DW34" s="137">
        <f t="shared" si="10"/>
        <v>0</v>
      </c>
      <c r="DX34" s="151"/>
      <c r="DY34" s="134">
        <f t="shared" si="11"/>
        <v>0</v>
      </c>
      <c r="DZ34" s="134">
        <f t="shared" si="12"/>
        <v>0</v>
      </c>
      <c r="EA34" s="134">
        <f t="shared" si="13"/>
        <v>0</v>
      </c>
      <c r="EB34" s="151"/>
      <c r="ED34" s="1"/>
      <c r="EE34" s="1"/>
      <c r="EF34" s="1"/>
    </row>
    <row r="35" spans="1:136" x14ac:dyDescent="0.25">
      <c r="A35" s="118">
        <v>1</v>
      </c>
      <c r="B35" s="14" t="s">
        <v>28</v>
      </c>
      <c r="C35" s="13" t="s">
        <v>340</v>
      </c>
      <c r="D35" s="119" t="s">
        <v>341</v>
      </c>
      <c r="E35" s="120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2"/>
      <c r="Q35" s="144"/>
      <c r="R35" s="145"/>
      <c r="S35" s="146"/>
      <c r="T35" s="147"/>
      <c r="U35" s="148"/>
      <c r="V35" s="148"/>
      <c r="W35" s="128">
        <v>8.4</v>
      </c>
      <c r="X35" s="148"/>
      <c r="Y35" s="128">
        <v>8.4</v>
      </c>
      <c r="Z35" s="148"/>
      <c r="AA35" s="130">
        <v>6</v>
      </c>
      <c r="AB35" s="131">
        <f t="shared" si="0"/>
        <v>0</v>
      </c>
      <c r="AC35" s="147"/>
      <c r="AD35" s="148"/>
      <c r="AE35" s="148"/>
      <c r="AF35" s="128">
        <v>8.4</v>
      </c>
      <c r="AG35" s="148"/>
      <c r="AH35" s="128">
        <v>8.4</v>
      </c>
      <c r="AI35" s="148"/>
      <c r="AJ35" s="130">
        <v>6</v>
      </c>
      <c r="AK35" s="131">
        <f t="shared" si="14"/>
        <v>0</v>
      </c>
      <c r="AL35" s="147"/>
      <c r="AM35" s="148"/>
      <c r="AN35" s="148"/>
      <c r="AO35" s="128">
        <v>8.4</v>
      </c>
      <c r="AP35" s="148"/>
      <c r="AQ35" s="128">
        <v>8.4</v>
      </c>
      <c r="AR35" s="148"/>
      <c r="AS35" s="130">
        <v>6</v>
      </c>
      <c r="AT35" s="131">
        <f t="shared" si="1"/>
        <v>0</v>
      </c>
      <c r="AU35" s="149"/>
      <c r="AV35" s="150"/>
      <c r="AW35" s="150"/>
      <c r="AX35" s="134">
        <v>8.4</v>
      </c>
      <c r="AY35" s="150"/>
      <c r="AZ35" s="134">
        <v>8.4</v>
      </c>
      <c r="BA35" s="150"/>
      <c r="BB35" s="130">
        <v>6</v>
      </c>
      <c r="BC35" s="131">
        <f t="shared" si="2"/>
        <v>0</v>
      </c>
      <c r="BD35" s="149"/>
      <c r="BE35" s="150"/>
      <c r="BF35" s="150"/>
      <c r="BG35" s="134">
        <v>8.4</v>
      </c>
      <c r="BH35" s="150"/>
      <c r="BI35" s="134">
        <v>8.4</v>
      </c>
      <c r="BJ35" s="150"/>
      <c r="BK35" s="130">
        <v>6</v>
      </c>
      <c r="BL35" s="131">
        <f t="shared" si="3"/>
        <v>0</v>
      </c>
      <c r="BM35" s="149"/>
      <c r="BN35" s="150"/>
      <c r="BO35" s="150"/>
      <c r="BP35" s="134">
        <v>8.4</v>
      </c>
      <c r="BQ35" s="150"/>
      <c r="BR35" s="134">
        <v>8.4</v>
      </c>
      <c r="BS35" s="150"/>
      <c r="BT35" s="130">
        <v>6</v>
      </c>
      <c r="BU35" s="131">
        <f t="shared" si="4"/>
        <v>0</v>
      </c>
      <c r="BV35" s="149"/>
      <c r="BW35" s="150"/>
      <c r="BX35" s="150"/>
      <c r="BY35" s="134">
        <v>8.4</v>
      </c>
      <c r="BZ35" s="150"/>
      <c r="CA35" s="134">
        <v>8.4</v>
      </c>
      <c r="CB35" s="150"/>
      <c r="CC35" s="130">
        <v>6</v>
      </c>
      <c r="CD35" s="131">
        <f t="shared" si="5"/>
        <v>0</v>
      </c>
      <c r="CE35" s="149"/>
      <c r="CF35" s="150"/>
      <c r="CG35" s="150"/>
      <c r="CH35" s="134">
        <v>8.4</v>
      </c>
      <c r="CI35" s="150"/>
      <c r="CJ35" s="134">
        <v>8.4</v>
      </c>
      <c r="CK35" s="150"/>
      <c r="CL35" s="130">
        <v>6</v>
      </c>
      <c r="CM35" s="136">
        <f t="shared" si="6"/>
        <v>0</v>
      </c>
      <c r="CN35" s="149"/>
      <c r="CO35" s="150"/>
      <c r="CP35" s="150"/>
      <c r="CQ35" s="134">
        <v>8.4</v>
      </c>
      <c r="CR35" s="150"/>
      <c r="CS35" s="134">
        <v>8.4</v>
      </c>
      <c r="CT35" s="150"/>
      <c r="CU35" s="130">
        <v>6</v>
      </c>
      <c r="CV35" s="131">
        <f t="shared" si="7"/>
        <v>0</v>
      </c>
      <c r="CW35" s="149"/>
      <c r="CX35" s="150"/>
      <c r="CY35" s="150"/>
      <c r="CZ35" s="134">
        <v>8.4</v>
      </c>
      <c r="DA35" s="150"/>
      <c r="DB35" s="134">
        <v>8.4</v>
      </c>
      <c r="DC35" s="150"/>
      <c r="DD35" s="130">
        <v>6</v>
      </c>
      <c r="DE35" s="131">
        <f t="shared" si="8"/>
        <v>0</v>
      </c>
      <c r="DF35" s="149"/>
      <c r="DG35" s="150"/>
      <c r="DH35" s="150"/>
      <c r="DI35" s="134">
        <v>8.4</v>
      </c>
      <c r="DJ35" s="150"/>
      <c r="DK35" s="134">
        <v>8.4</v>
      </c>
      <c r="DL35" s="150"/>
      <c r="DM35" s="130">
        <v>6</v>
      </c>
      <c r="DN35" s="131">
        <f t="shared" si="9"/>
        <v>0</v>
      </c>
      <c r="DO35" s="149"/>
      <c r="DP35" s="150"/>
      <c r="DQ35" s="150"/>
      <c r="DR35" s="134">
        <v>8.4</v>
      </c>
      <c r="DS35" s="150"/>
      <c r="DT35" s="134">
        <v>8.4</v>
      </c>
      <c r="DU35" s="150"/>
      <c r="DV35" s="130">
        <v>6</v>
      </c>
      <c r="DW35" s="137">
        <f t="shared" si="10"/>
        <v>0</v>
      </c>
      <c r="DX35" s="151"/>
      <c r="DY35" s="134">
        <f t="shared" si="11"/>
        <v>0</v>
      </c>
      <c r="DZ35" s="134">
        <f t="shared" si="12"/>
        <v>0</v>
      </c>
      <c r="EA35" s="134">
        <f t="shared" si="13"/>
        <v>0</v>
      </c>
      <c r="EB35" s="151"/>
      <c r="ED35" s="1"/>
      <c r="EE35" s="1"/>
      <c r="EF35" s="1"/>
    </row>
    <row r="36" spans="1:136" x14ac:dyDescent="0.25">
      <c r="A36" s="118">
        <v>1</v>
      </c>
      <c r="B36" s="14" t="s">
        <v>62</v>
      </c>
      <c r="C36" s="13" t="s">
        <v>342</v>
      </c>
      <c r="D36" s="119" t="s">
        <v>343</v>
      </c>
      <c r="E36" s="140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2"/>
      <c r="Q36" s="144"/>
      <c r="R36" s="145"/>
      <c r="S36" s="146"/>
      <c r="T36" s="147"/>
      <c r="U36" s="148"/>
      <c r="V36" s="148"/>
      <c r="W36" s="128">
        <v>8.4</v>
      </c>
      <c r="X36" s="148"/>
      <c r="Y36" s="128">
        <v>8.4</v>
      </c>
      <c r="Z36" s="148"/>
      <c r="AA36" s="130">
        <v>6</v>
      </c>
      <c r="AB36" s="131">
        <f t="shared" si="0"/>
        <v>0</v>
      </c>
      <c r="AC36" s="147"/>
      <c r="AD36" s="148"/>
      <c r="AE36" s="148"/>
      <c r="AF36" s="128">
        <v>8.4</v>
      </c>
      <c r="AG36" s="148"/>
      <c r="AH36" s="128">
        <v>8.4</v>
      </c>
      <c r="AI36" s="148"/>
      <c r="AJ36" s="130">
        <v>6</v>
      </c>
      <c r="AK36" s="131">
        <f t="shared" si="14"/>
        <v>0</v>
      </c>
      <c r="AL36" s="147"/>
      <c r="AM36" s="148"/>
      <c r="AN36" s="148"/>
      <c r="AO36" s="128">
        <v>8.4</v>
      </c>
      <c r="AP36" s="148"/>
      <c r="AQ36" s="128">
        <v>8.4</v>
      </c>
      <c r="AR36" s="148"/>
      <c r="AS36" s="130">
        <v>6</v>
      </c>
      <c r="AT36" s="131">
        <f t="shared" si="1"/>
        <v>0</v>
      </c>
      <c r="AU36" s="149"/>
      <c r="AV36" s="150"/>
      <c r="AW36" s="150"/>
      <c r="AX36" s="134">
        <v>8.4</v>
      </c>
      <c r="AY36" s="150"/>
      <c r="AZ36" s="134">
        <v>8.4</v>
      </c>
      <c r="BA36" s="150"/>
      <c r="BB36" s="130">
        <v>6</v>
      </c>
      <c r="BC36" s="131">
        <f t="shared" si="2"/>
        <v>0</v>
      </c>
      <c r="BD36" s="149"/>
      <c r="BE36" s="150"/>
      <c r="BF36" s="150"/>
      <c r="BG36" s="134">
        <v>8.4</v>
      </c>
      <c r="BH36" s="150"/>
      <c r="BI36" s="134">
        <v>8.4</v>
      </c>
      <c r="BJ36" s="150"/>
      <c r="BK36" s="130">
        <v>6</v>
      </c>
      <c r="BL36" s="131">
        <f t="shared" si="3"/>
        <v>0</v>
      </c>
      <c r="BM36" s="149"/>
      <c r="BN36" s="150"/>
      <c r="BO36" s="150"/>
      <c r="BP36" s="134">
        <v>8.4</v>
      </c>
      <c r="BQ36" s="150"/>
      <c r="BR36" s="134">
        <v>8.4</v>
      </c>
      <c r="BS36" s="150"/>
      <c r="BT36" s="130">
        <v>6</v>
      </c>
      <c r="BU36" s="131">
        <f t="shared" si="4"/>
        <v>0</v>
      </c>
      <c r="BV36" s="149"/>
      <c r="BW36" s="150"/>
      <c r="BX36" s="150"/>
      <c r="BY36" s="134">
        <v>8.4</v>
      </c>
      <c r="BZ36" s="150"/>
      <c r="CA36" s="134">
        <v>8.4</v>
      </c>
      <c r="CB36" s="150"/>
      <c r="CC36" s="130">
        <v>6</v>
      </c>
      <c r="CD36" s="131">
        <f t="shared" si="5"/>
        <v>0</v>
      </c>
      <c r="CE36" s="149"/>
      <c r="CF36" s="150"/>
      <c r="CG36" s="150"/>
      <c r="CH36" s="134">
        <v>8.4</v>
      </c>
      <c r="CI36" s="150"/>
      <c r="CJ36" s="134">
        <v>8.4</v>
      </c>
      <c r="CK36" s="150"/>
      <c r="CL36" s="130">
        <v>6</v>
      </c>
      <c r="CM36" s="136">
        <f t="shared" si="6"/>
        <v>0</v>
      </c>
      <c r="CN36" s="149"/>
      <c r="CO36" s="150"/>
      <c r="CP36" s="150"/>
      <c r="CQ36" s="134">
        <v>8.4</v>
      </c>
      <c r="CR36" s="150"/>
      <c r="CS36" s="134">
        <v>8.4</v>
      </c>
      <c r="CT36" s="150"/>
      <c r="CU36" s="130">
        <v>6</v>
      </c>
      <c r="CV36" s="131">
        <f t="shared" si="7"/>
        <v>0</v>
      </c>
      <c r="CW36" s="149"/>
      <c r="CX36" s="150"/>
      <c r="CY36" s="150"/>
      <c r="CZ36" s="134">
        <v>8.4</v>
      </c>
      <c r="DA36" s="150"/>
      <c r="DB36" s="134">
        <v>8.4</v>
      </c>
      <c r="DC36" s="150"/>
      <c r="DD36" s="130">
        <v>6</v>
      </c>
      <c r="DE36" s="131">
        <f t="shared" si="8"/>
        <v>0</v>
      </c>
      <c r="DF36" s="149"/>
      <c r="DG36" s="150"/>
      <c r="DH36" s="150"/>
      <c r="DI36" s="134">
        <v>8.4</v>
      </c>
      <c r="DJ36" s="150"/>
      <c r="DK36" s="134">
        <v>8.4</v>
      </c>
      <c r="DL36" s="150"/>
      <c r="DM36" s="130">
        <v>6</v>
      </c>
      <c r="DN36" s="131">
        <f t="shared" si="9"/>
        <v>0</v>
      </c>
      <c r="DO36" s="149"/>
      <c r="DP36" s="150"/>
      <c r="DQ36" s="150"/>
      <c r="DR36" s="134">
        <v>8.4</v>
      </c>
      <c r="DS36" s="150"/>
      <c r="DT36" s="134">
        <v>8.4</v>
      </c>
      <c r="DU36" s="150"/>
      <c r="DV36" s="130">
        <v>6</v>
      </c>
      <c r="DW36" s="137">
        <f t="shared" si="10"/>
        <v>0</v>
      </c>
      <c r="DX36" s="151"/>
      <c r="DY36" s="134">
        <f t="shared" si="11"/>
        <v>0</v>
      </c>
      <c r="DZ36" s="134">
        <f t="shared" si="12"/>
        <v>0</v>
      </c>
      <c r="EA36" s="134">
        <f t="shared" si="13"/>
        <v>0</v>
      </c>
      <c r="EB36" s="151"/>
      <c r="ED36" s="1"/>
      <c r="EE36" s="1"/>
      <c r="EF36" s="1"/>
    </row>
    <row r="37" spans="1:136" x14ac:dyDescent="0.25">
      <c r="A37" s="118">
        <v>1</v>
      </c>
      <c r="B37" s="14" t="s">
        <v>28</v>
      </c>
      <c r="C37" s="13" t="s">
        <v>194</v>
      </c>
      <c r="D37" s="119" t="s">
        <v>195</v>
      </c>
      <c r="E37" s="120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2"/>
      <c r="Q37" s="144"/>
      <c r="R37" s="145"/>
      <c r="S37" s="146"/>
      <c r="T37" s="147"/>
      <c r="U37" s="148"/>
      <c r="V37" s="148"/>
      <c r="W37" s="128">
        <v>8.4</v>
      </c>
      <c r="X37" s="148"/>
      <c r="Y37" s="128">
        <v>8.4</v>
      </c>
      <c r="Z37" s="148"/>
      <c r="AA37" s="130">
        <v>6</v>
      </c>
      <c r="AB37" s="131">
        <f t="shared" si="0"/>
        <v>0</v>
      </c>
      <c r="AC37" s="147"/>
      <c r="AD37" s="148"/>
      <c r="AE37" s="148"/>
      <c r="AF37" s="128">
        <v>8.4</v>
      </c>
      <c r="AG37" s="148"/>
      <c r="AH37" s="128">
        <v>8.4</v>
      </c>
      <c r="AI37" s="148"/>
      <c r="AJ37" s="130">
        <v>6</v>
      </c>
      <c r="AK37" s="131">
        <f t="shared" si="14"/>
        <v>0</v>
      </c>
      <c r="AL37" s="147"/>
      <c r="AM37" s="148"/>
      <c r="AN37" s="148"/>
      <c r="AO37" s="128">
        <v>8.4</v>
      </c>
      <c r="AP37" s="148"/>
      <c r="AQ37" s="128">
        <v>8.4</v>
      </c>
      <c r="AR37" s="148"/>
      <c r="AS37" s="130">
        <v>6</v>
      </c>
      <c r="AT37" s="131">
        <f t="shared" si="1"/>
        <v>0</v>
      </c>
      <c r="AU37" s="149"/>
      <c r="AV37" s="150"/>
      <c r="AW37" s="150"/>
      <c r="AX37" s="134">
        <v>8.4</v>
      </c>
      <c r="AY37" s="150"/>
      <c r="AZ37" s="134">
        <v>8.4</v>
      </c>
      <c r="BA37" s="150"/>
      <c r="BB37" s="130">
        <v>6</v>
      </c>
      <c r="BC37" s="131">
        <f t="shared" si="2"/>
        <v>0</v>
      </c>
      <c r="BD37" s="149"/>
      <c r="BE37" s="150"/>
      <c r="BF37" s="150"/>
      <c r="BG37" s="134">
        <v>8.4</v>
      </c>
      <c r="BH37" s="150"/>
      <c r="BI37" s="134">
        <v>8.4</v>
      </c>
      <c r="BJ37" s="150"/>
      <c r="BK37" s="130">
        <v>6</v>
      </c>
      <c r="BL37" s="131">
        <f t="shared" si="3"/>
        <v>0</v>
      </c>
      <c r="BM37" s="149"/>
      <c r="BN37" s="150"/>
      <c r="BO37" s="150"/>
      <c r="BP37" s="134">
        <v>8.4</v>
      </c>
      <c r="BQ37" s="150"/>
      <c r="BR37" s="134">
        <v>8.4</v>
      </c>
      <c r="BS37" s="150"/>
      <c r="BT37" s="130">
        <v>6</v>
      </c>
      <c r="BU37" s="131">
        <f t="shared" si="4"/>
        <v>0</v>
      </c>
      <c r="BV37" s="149"/>
      <c r="BW37" s="150"/>
      <c r="BX37" s="150"/>
      <c r="BY37" s="134">
        <v>8.4</v>
      </c>
      <c r="BZ37" s="150"/>
      <c r="CA37" s="134">
        <v>8.4</v>
      </c>
      <c r="CB37" s="150"/>
      <c r="CC37" s="130">
        <v>6</v>
      </c>
      <c r="CD37" s="131">
        <f t="shared" si="5"/>
        <v>0</v>
      </c>
      <c r="CE37" s="149"/>
      <c r="CF37" s="150"/>
      <c r="CG37" s="150"/>
      <c r="CH37" s="134">
        <v>8.4</v>
      </c>
      <c r="CI37" s="150"/>
      <c r="CJ37" s="134">
        <v>8.4</v>
      </c>
      <c r="CK37" s="150"/>
      <c r="CL37" s="130">
        <v>6</v>
      </c>
      <c r="CM37" s="136">
        <f t="shared" si="6"/>
        <v>0</v>
      </c>
      <c r="CN37" s="149"/>
      <c r="CO37" s="150"/>
      <c r="CP37" s="150"/>
      <c r="CQ37" s="134">
        <v>8.4</v>
      </c>
      <c r="CR37" s="150"/>
      <c r="CS37" s="134">
        <v>8.4</v>
      </c>
      <c r="CT37" s="150"/>
      <c r="CU37" s="130">
        <v>6</v>
      </c>
      <c r="CV37" s="131">
        <f t="shared" si="7"/>
        <v>0</v>
      </c>
      <c r="CW37" s="149"/>
      <c r="CX37" s="150"/>
      <c r="CY37" s="150"/>
      <c r="CZ37" s="134">
        <v>8.4</v>
      </c>
      <c r="DA37" s="150"/>
      <c r="DB37" s="134">
        <v>8.4</v>
      </c>
      <c r="DC37" s="150"/>
      <c r="DD37" s="130">
        <v>6</v>
      </c>
      <c r="DE37" s="131">
        <f t="shared" si="8"/>
        <v>0</v>
      </c>
      <c r="DF37" s="149"/>
      <c r="DG37" s="150"/>
      <c r="DH37" s="150"/>
      <c r="DI37" s="134">
        <v>8.4</v>
      </c>
      <c r="DJ37" s="150"/>
      <c r="DK37" s="134">
        <v>8.4</v>
      </c>
      <c r="DL37" s="150"/>
      <c r="DM37" s="130">
        <v>6</v>
      </c>
      <c r="DN37" s="131">
        <f t="shared" si="9"/>
        <v>0</v>
      </c>
      <c r="DO37" s="149"/>
      <c r="DP37" s="150"/>
      <c r="DQ37" s="150"/>
      <c r="DR37" s="134">
        <v>8.4</v>
      </c>
      <c r="DS37" s="150"/>
      <c r="DT37" s="134">
        <v>8.4</v>
      </c>
      <c r="DU37" s="150"/>
      <c r="DV37" s="130">
        <v>6</v>
      </c>
      <c r="DW37" s="137">
        <f t="shared" si="10"/>
        <v>0</v>
      </c>
      <c r="DX37" s="151"/>
      <c r="DY37" s="134">
        <f t="shared" si="11"/>
        <v>0</v>
      </c>
      <c r="DZ37" s="134">
        <f t="shared" si="12"/>
        <v>0</v>
      </c>
      <c r="EA37" s="134">
        <f t="shared" si="13"/>
        <v>0</v>
      </c>
      <c r="EB37" s="151"/>
      <c r="ED37" s="1"/>
      <c r="EE37" s="1"/>
      <c r="EF37" s="1"/>
    </row>
    <row r="38" spans="1:136" x14ac:dyDescent="0.25">
      <c r="A38" s="118">
        <v>1</v>
      </c>
      <c r="B38" s="14" t="s">
        <v>127</v>
      </c>
      <c r="C38" s="13" t="s">
        <v>199</v>
      </c>
      <c r="D38" s="119" t="s">
        <v>200</v>
      </c>
      <c r="E38" s="140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2"/>
      <c r="Q38" s="144"/>
      <c r="R38" s="145"/>
      <c r="S38" s="146"/>
      <c r="T38" s="147"/>
      <c r="U38" s="148"/>
      <c r="V38" s="148"/>
      <c r="W38" s="128">
        <v>8.4</v>
      </c>
      <c r="X38" s="148"/>
      <c r="Y38" s="128">
        <v>8.4</v>
      </c>
      <c r="Z38" s="148"/>
      <c r="AA38" s="130">
        <v>6</v>
      </c>
      <c r="AB38" s="131">
        <f t="shared" si="0"/>
        <v>0</v>
      </c>
      <c r="AC38" s="147"/>
      <c r="AD38" s="148"/>
      <c r="AE38" s="148"/>
      <c r="AF38" s="128">
        <v>8.4</v>
      </c>
      <c r="AG38" s="148"/>
      <c r="AH38" s="128">
        <v>8.4</v>
      </c>
      <c r="AI38" s="148"/>
      <c r="AJ38" s="130">
        <v>6</v>
      </c>
      <c r="AK38" s="131">
        <f t="shared" si="14"/>
        <v>0</v>
      </c>
      <c r="AL38" s="147"/>
      <c r="AM38" s="148"/>
      <c r="AN38" s="148"/>
      <c r="AO38" s="128">
        <v>8.4</v>
      </c>
      <c r="AP38" s="148"/>
      <c r="AQ38" s="128">
        <v>8.4</v>
      </c>
      <c r="AR38" s="148"/>
      <c r="AS38" s="130">
        <v>6</v>
      </c>
      <c r="AT38" s="131">
        <f t="shared" si="1"/>
        <v>0</v>
      </c>
      <c r="AU38" s="149"/>
      <c r="AV38" s="150"/>
      <c r="AW38" s="150"/>
      <c r="AX38" s="134">
        <v>8.4</v>
      </c>
      <c r="AY38" s="150"/>
      <c r="AZ38" s="134">
        <v>8.4</v>
      </c>
      <c r="BA38" s="150"/>
      <c r="BB38" s="130">
        <v>6</v>
      </c>
      <c r="BC38" s="131">
        <f t="shared" si="2"/>
        <v>0</v>
      </c>
      <c r="BD38" s="149"/>
      <c r="BE38" s="150"/>
      <c r="BF38" s="150"/>
      <c r="BG38" s="134">
        <v>8.4</v>
      </c>
      <c r="BH38" s="150"/>
      <c r="BI38" s="134">
        <v>8.4</v>
      </c>
      <c r="BJ38" s="150"/>
      <c r="BK38" s="130">
        <v>6</v>
      </c>
      <c r="BL38" s="131">
        <f t="shared" si="3"/>
        <v>0</v>
      </c>
      <c r="BM38" s="149"/>
      <c r="BN38" s="150"/>
      <c r="BO38" s="150"/>
      <c r="BP38" s="134">
        <v>8.4</v>
      </c>
      <c r="BQ38" s="150"/>
      <c r="BR38" s="134">
        <v>8.4</v>
      </c>
      <c r="BS38" s="150"/>
      <c r="BT38" s="130">
        <v>6</v>
      </c>
      <c r="BU38" s="131">
        <f t="shared" si="4"/>
        <v>0</v>
      </c>
      <c r="BV38" s="149"/>
      <c r="BW38" s="150"/>
      <c r="BX38" s="150"/>
      <c r="BY38" s="134">
        <v>8.4</v>
      </c>
      <c r="BZ38" s="150"/>
      <c r="CA38" s="134">
        <v>8.4</v>
      </c>
      <c r="CB38" s="150"/>
      <c r="CC38" s="130">
        <v>6</v>
      </c>
      <c r="CD38" s="131">
        <f t="shared" si="5"/>
        <v>0</v>
      </c>
      <c r="CE38" s="149"/>
      <c r="CF38" s="150"/>
      <c r="CG38" s="150"/>
      <c r="CH38" s="134">
        <v>8.4</v>
      </c>
      <c r="CI38" s="150"/>
      <c r="CJ38" s="134">
        <v>8.4</v>
      </c>
      <c r="CK38" s="150"/>
      <c r="CL38" s="130">
        <v>6</v>
      </c>
      <c r="CM38" s="136">
        <f t="shared" si="6"/>
        <v>0</v>
      </c>
      <c r="CN38" s="149"/>
      <c r="CO38" s="150"/>
      <c r="CP38" s="150"/>
      <c r="CQ38" s="134">
        <v>8.4</v>
      </c>
      <c r="CR38" s="150"/>
      <c r="CS38" s="134">
        <v>8.4</v>
      </c>
      <c r="CT38" s="150"/>
      <c r="CU38" s="130">
        <v>6</v>
      </c>
      <c r="CV38" s="131">
        <f t="shared" si="7"/>
        <v>0</v>
      </c>
      <c r="CW38" s="149"/>
      <c r="CX38" s="150"/>
      <c r="CY38" s="150"/>
      <c r="CZ38" s="134">
        <v>8.4</v>
      </c>
      <c r="DA38" s="150"/>
      <c r="DB38" s="134">
        <v>8.4</v>
      </c>
      <c r="DC38" s="150"/>
      <c r="DD38" s="130">
        <v>6</v>
      </c>
      <c r="DE38" s="131">
        <f t="shared" si="8"/>
        <v>0</v>
      </c>
      <c r="DF38" s="149"/>
      <c r="DG38" s="150"/>
      <c r="DH38" s="150"/>
      <c r="DI38" s="134">
        <v>8.4</v>
      </c>
      <c r="DJ38" s="150"/>
      <c r="DK38" s="134">
        <v>8.4</v>
      </c>
      <c r="DL38" s="150"/>
      <c r="DM38" s="130">
        <v>6</v>
      </c>
      <c r="DN38" s="131">
        <f t="shared" si="9"/>
        <v>0</v>
      </c>
      <c r="DO38" s="149"/>
      <c r="DP38" s="150"/>
      <c r="DQ38" s="150"/>
      <c r="DR38" s="134">
        <v>8.4</v>
      </c>
      <c r="DS38" s="150"/>
      <c r="DT38" s="134">
        <v>8.4</v>
      </c>
      <c r="DU38" s="150"/>
      <c r="DV38" s="130">
        <v>6</v>
      </c>
      <c r="DW38" s="137">
        <f t="shared" si="10"/>
        <v>0</v>
      </c>
      <c r="DX38" s="151"/>
      <c r="DY38" s="134">
        <f t="shared" si="11"/>
        <v>0</v>
      </c>
      <c r="DZ38" s="134">
        <f t="shared" si="12"/>
        <v>0</v>
      </c>
      <c r="EA38" s="134">
        <f t="shared" si="13"/>
        <v>0</v>
      </c>
      <c r="EB38" s="151"/>
      <c r="ED38" s="1"/>
      <c r="EE38" s="1"/>
      <c r="EF38" s="1"/>
    </row>
    <row r="39" spans="1:136" x14ac:dyDescent="0.25">
      <c r="A39" s="118">
        <v>1</v>
      </c>
      <c r="B39" s="14" t="s">
        <v>106</v>
      </c>
      <c r="C39" s="13" t="s">
        <v>205</v>
      </c>
      <c r="D39" s="119" t="s">
        <v>206</v>
      </c>
      <c r="E39" s="120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2"/>
      <c r="Q39" s="144"/>
      <c r="R39" s="145"/>
      <c r="S39" s="146"/>
      <c r="T39" s="147"/>
      <c r="U39" s="148"/>
      <c r="V39" s="148"/>
      <c r="W39" s="128">
        <v>8.4</v>
      </c>
      <c r="X39" s="148"/>
      <c r="Y39" s="128">
        <v>8.4</v>
      </c>
      <c r="Z39" s="148"/>
      <c r="AA39" s="130">
        <v>6</v>
      </c>
      <c r="AB39" s="131">
        <f t="shared" si="0"/>
        <v>0</v>
      </c>
      <c r="AC39" s="147"/>
      <c r="AD39" s="148"/>
      <c r="AE39" s="148"/>
      <c r="AF39" s="128">
        <v>8.4</v>
      </c>
      <c r="AG39" s="148"/>
      <c r="AH39" s="128">
        <v>8.4</v>
      </c>
      <c r="AI39" s="148"/>
      <c r="AJ39" s="130">
        <v>6</v>
      </c>
      <c r="AK39" s="131">
        <f t="shared" si="14"/>
        <v>0</v>
      </c>
      <c r="AL39" s="147"/>
      <c r="AM39" s="148"/>
      <c r="AN39" s="148"/>
      <c r="AO39" s="128">
        <v>8.4</v>
      </c>
      <c r="AP39" s="148"/>
      <c r="AQ39" s="128">
        <v>8.4</v>
      </c>
      <c r="AR39" s="148"/>
      <c r="AS39" s="130">
        <v>6</v>
      </c>
      <c r="AT39" s="131">
        <f t="shared" si="1"/>
        <v>0</v>
      </c>
      <c r="AU39" s="149"/>
      <c r="AV39" s="150"/>
      <c r="AW39" s="150"/>
      <c r="AX39" s="134">
        <v>8.4</v>
      </c>
      <c r="AY39" s="150"/>
      <c r="AZ39" s="134">
        <v>8.4</v>
      </c>
      <c r="BA39" s="150"/>
      <c r="BB39" s="130">
        <v>6</v>
      </c>
      <c r="BC39" s="131">
        <f t="shared" si="2"/>
        <v>0</v>
      </c>
      <c r="BD39" s="149"/>
      <c r="BE39" s="150"/>
      <c r="BF39" s="150"/>
      <c r="BG39" s="134">
        <v>8.4</v>
      </c>
      <c r="BH39" s="150"/>
      <c r="BI39" s="134">
        <v>8.4</v>
      </c>
      <c r="BJ39" s="150"/>
      <c r="BK39" s="130">
        <v>6</v>
      </c>
      <c r="BL39" s="131">
        <f t="shared" si="3"/>
        <v>0</v>
      </c>
      <c r="BM39" s="149"/>
      <c r="BN39" s="150"/>
      <c r="BO39" s="150"/>
      <c r="BP39" s="134">
        <v>8.4</v>
      </c>
      <c r="BQ39" s="150"/>
      <c r="BR39" s="134">
        <v>8.4</v>
      </c>
      <c r="BS39" s="150"/>
      <c r="BT39" s="130">
        <v>6</v>
      </c>
      <c r="BU39" s="131">
        <f t="shared" si="4"/>
        <v>0</v>
      </c>
      <c r="BV39" s="149"/>
      <c r="BW39" s="150"/>
      <c r="BX39" s="150"/>
      <c r="BY39" s="134">
        <v>8.4</v>
      </c>
      <c r="BZ39" s="150"/>
      <c r="CA39" s="134">
        <v>8.4</v>
      </c>
      <c r="CB39" s="150"/>
      <c r="CC39" s="130">
        <v>6</v>
      </c>
      <c r="CD39" s="131">
        <f t="shared" si="5"/>
        <v>0</v>
      </c>
      <c r="CE39" s="149"/>
      <c r="CF39" s="150"/>
      <c r="CG39" s="150"/>
      <c r="CH39" s="134">
        <v>8.4</v>
      </c>
      <c r="CI39" s="150"/>
      <c r="CJ39" s="134">
        <v>8.4</v>
      </c>
      <c r="CK39" s="150"/>
      <c r="CL39" s="130">
        <v>6</v>
      </c>
      <c r="CM39" s="136">
        <f t="shared" si="6"/>
        <v>0</v>
      </c>
      <c r="CN39" s="149"/>
      <c r="CO39" s="150"/>
      <c r="CP39" s="150"/>
      <c r="CQ39" s="134">
        <v>8.4</v>
      </c>
      <c r="CR39" s="150"/>
      <c r="CS39" s="134">
        <v>8.4</v>
      </c>
      <c r="CT39" s="150"/>
      <c r="CU39" s="130">
        <v>6</v>
      </c>
      <c r="CV39" s="131">
        <f t="shared" si="7"/>
        <v>0</v>
      </c>
      <c r="CW39" s="149"/>
      <c r="CX39" s="150"/>
      <c r="CY39" s="150"/>
      <c r="CZ39" s="134">
        <v>8.4</v>
      </c>
      <c r="DA39" s="150"/>
      <c r="DB39" s="134">
        <v>8.4</v>
      </c>
      <c r="DC39" s="150"/>
      <c r="DD39" s="130">
        <v>6</v>
      </c>
      <c r="DE39" s="131">
        <f t="shared" si="8"/>
        <v>0</v>
      </c>
      <c r="DF39" s="149"/>
      <c r="DG39" s="150"/>
      <c r="DH39" s="150"/>
      <c r="DI39" s="134">
        <v>8.4</v>
      </c>
      <c r="DJ39" s="150"/>
      <c r="DK39" s="134">
        <v>8.4</v>
      </c>
      <c r="DL39" s="150"/>
      <c r="DM39" s="130">
        <v>6</v>
      </c>
      <c r="DN39" s="131">
        <f t="shared" si="9"/>
        <v>0</v>
      </c>
      <c r="DO39" s="149"/>
      <c r="DP39" s="150"/>
      <c r="DQ39" s="150"/>
      <c r="DR39" s="134">
        <v>8.4</v>
      </c>
      <c r="DS39" s="150"/>
      <c r="DT39" s="134">
        <v>8.4</v>
      </c>
      <c r="DU39" s="150"/>
      <c r="DV39" s="130">
        <v>6</v>
      </c>
      <c r="DW39" s="137">
        <f t="shared" si="10"/>
        <v>0</v>
      </c>
      <c r="DX39" s="151"/>
      <c r="DY39" s="134">
        <f t="shared" si="11"/>
        <v>0</v>
      </c>
      <c r="DZ39" s="134">
        <f t="shared" si="12"/>
        <v>0</v>
      </c>
      <c r="EA39" s="134">
        <f t="shared" si="13"/>
        <v>0</v>
      </c>
      <c r="EB39" s="151"/>
      <c r="ED39" s="1"/>
      <c r="EE39" s="1"/>
      <c r="EF39" s="1"/>
    </row>
    <row r="40" spans="1:136" x14ac:dyDescent="0.25">
      <c r="A40" s="118">
        <v>1</v>
      </c>
      <c r="B40" s="14" t="s">
        <v>28</v>
      </c>
      <c r="C40" s="13" t="s">
        <v>344</v>
      </c>
      <c r="D40" s="119" t="s">
        <v>345</v>
      </c>
      <c r="E40" s="140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2"/>
      <c r="Q40" s="144"/>
      <c r="R40" s="145"/>
      <c r="S40" s="146"/>
      <c r="T40" s="147"/>
      <c r="U40" s="148"/>
      <c r="V40" s="148"/>
      <c r="W40" s="128">
        <v>8.4</v>
      </c>
      <c r="X40" s="148"/>
      <c r="Y40" s="128">
        <v>8.4</v>
      </c>
      <c r="Z40" s="148"/>
      <c r="AA40" s="130">
        <v>6</v>
      </c>
      <c r="AB40" s="131">
        <f t="shared" si="0"/>
        <v>0</v>
      </c>
      <c r="AC40" s="147"/>
      <c r="AD40" s="148"/>
      <c r="AE40" s="148"/>
      <c r="AF40" s="128">
        <v>8.4</v>
      </c>
      <c r="AG40" s="148"/>
      <c r="AH40" s="128">
        <v>8.4</v>
      </c>
      <c r="AI40" s="148"/>
      <c r="AJ40" s="130">
        <v>6</v>
      </c>
      <c r="AK40" s="131">
        <f t="shared" si="14"/>
        <v>0</v>
      </c>
      <c r="AL40" s="147"/>
      <c r="AM40" s="148"/>
      <c r="AN40" s="148"/>
      <c r="AO40" s="128">
        <v>8.4</v>
      </c>
      <c r="AP40" s="148"/>
      <c r="AQ40" s="128">
        <v>8.4</v>
      </c>
      <c r="AR40" s="148"/>
      <c r="AS40" s="130">
        <v>6</v>
      </c>
      <c r="AT40" s="131">
        <f t="shared" si="1"/>
        <v>0</v>
      </c>
      <c r="AU40" s="149"/>
      <c r="AV40" s="150"/>
      <c r="AW40" s="150"/>
      <c r="AX40" s="134">
        <v>8.4</v>
      </c>
      <c r="AY40" s="150"/>
      <c r="AZ40" s="134">
        <v>8.4</v>
      </c>
      <c r="BA40" s="150"/>
      <c r="BB40" s="130">
        <v>6</v>
      </c>
      <c r="BC40" s="131">
        <f t="shared" si="2"/>
        <v>0</v>
      </c>
      <c r="BD40" s="149"/>
      <c r="BE40" s="150"/>
      <c r="BF40" s="150"/>
      <c r="BG40" s="134">
        <v>8.4</v>
      </c>
      <c r="BH40" s="150"/>
      <c r="BI40" s="134">
        <v>8.4</v>
      </c>
      <c r="BJ40" s="150"/>
      <c r="BK40" s="130">
        <v>6</v>
      </c>
      <c r="BL40" s="131">
        <f t="shared" si="3"/>
        <v>0</v>
      </c>
      <c r="BM40" s="149"/>
      <c r="BN40" s="150"/>
      <c r="BO40" s="150"/>
      <c r="BP40" s="134">
        <v>8.4</v>
      </c>
      <c r="BQ40" s="150"/>
      <c r="BR40" s="134">
        <v>8.4</v>
      </c>
      <c r="BS40" s="150"/>
      <c r="BT40" s="130">
        <v>6</v>
      </c>
      <c r="BU40" s="131">
        <f t="shared" si="4"/>
        <v>0</v>
      </c>
      <c r="BV40" s="149"/>
      <c r="BW40" s="150"/>
      <c r="BX40" s="150"/>
      <c r="BY40" s="134">
        <v>8.4</v>
      </c>
      <c r="BZ40" s="150"/>
      <c r="CA40" s="134">
        <v>8.4</v>
      </c>
      <c r="CB40" s="150"/>
      <c r="CC40" s="130">
        <v>6</v>
      </c>
      <c r="CD40" s="131">
        <f t="shared" si="5"/>
        <v>0</v>
      </c>
      <c r="CE40" s="149"/>
      <c r="CF40" s="150"/>
      <c r="CG40" s="150"/>
      <c r="CH40" s="134">
        <v>8.4</v>
      </c>
      <c r="CI40" s="150"/>
      <c r="CJ40" s="134">
        <v>8.4</v>
      </c>
      <c r="CK40" s="150"/>
      <c r="CL40" s="130">
        <v>6</v>
      </c>
      <c r="CM40" s="136">
        <f t="shared" si="6"/>
        <v>0</v>
      </c>
      <c r="CN40" s="149"/>
      <c r="CO40" s="150"/>
      <c r="CP40" s="150"/>
      <c r="CQ40" s="134">
        <v>8.4</v>
      </c>
      <c r="CR40" s="150"/>
      <c r="CS40" s="134">
        <v>8.4</v>
      </c>
      <c r="CT40" s="150"/>
      <c r="CU40" s="130">
        <v>6</v>
      </c>
      <c r="CV40" s="131">
        <f t="shared" si="7"/>
        <v>0</v>
      </c>
      <c r="CW40" s="149"/>
      <c r="CX40" s="150"/>
      <c r="CY40" s="150"/>
      <c r="CZ40" s="134">
        <v>8.4</v>
      </c>
      <c r="DA40" s="150"/>
      <c r="DB40" s="134">
        <v>8.4</v>
      </c>
      <c r="DC40" s="150"/>
      <c r="DD40" s="130">
        <v>6</v>
      </c>
      <c r="DE40" s="131">
        <f t="shared" si="8"/>
        <v>0</v>
      </c>
      <c r="DF40" s="149"/>
      <c r="DG40" s="150"/>
      <c r="DH40" s="150"/>
      <c r="DI40" s="134">
        <v>8.4</v>
      </c>
      <c r="DJ40" s="150"/>
      <c r="DK40" s="134">
        <v>8.4</v>
      </c>
      <c r="DL40" s="150"/>
      <c r="DM40" s="130">
        <v>6</v>
      </c>
      <c r="DN40" s="131">
        <f t="shared" si="9"/>
        <v>0</v>
      </c>
      <c r="DO40" s="149"/>
      <c r="DP40" s="150"/>
      <c r="DQ40" s="150"/>
      <c r="DR40" s="134">
        <v>8.4</v>
      </c>
      <c r="DS40" s="150"/>
      <c r="DT40" s="134">
        <v>8.4</v>
      </c>
      <c r="DU40" s="150"/>
      <c r="DV40" s="130">
        <v>6</v>
      </c>
      <c r="DW40" s="137">
        <f t="shared" si="10"/>
        <v>0</v>
      </c>
      <c r="DX40" s="151"/>
      <c r="DY40" s="134">
        <f t="shared" si="11"/>
        <v>0</v>
      </c>
      <c r="DZ40" s="134">
        <f t="shared" si="12"/>
        <v>0</v>
      </c>
      <c r="EA40" s="134">
        <f t="shared" si="13"/>
        <v>0</v>
      </c>
      <c r="EB40" s="151"/>
      <c r="ED40" s="1"/>
      <c r="EE40" s="1"/>
      <c r="EF40" s="1"/>
    </row>
    <row r="41" spans="1:136" x14ac:dyDescent="0.25">
      <c r="A41" s="118">
        <v>1</v>
      </c>
      <c r="B41" s="14" t="s">
        <v>28</v>
      </c>
      <c r="C41" s="13" t="s">
        <v>346</v>
      </c>
      <c r="D41" s="119" t="s">
        <v>224</v>
      </c>
      <c r="E41" s="120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2"/>
      <c r="Q41" s="144"/>
      <c r="R41" s="145"/>
      <c r="S41" s="146"/>
      <c r="T41" s="147"/>
      <c r="U41" s="148"/>
      <c r="V41" s="148"/>
      <c r="W41" s="128">
        <v>8.4</v>
      </c>
      <c r="X41" s="148"/>
      <c r="Y41" s="128">
        <v>8.4</v>
      </c>
      <c r="Z41" s="148"/>
      <c r="AA41" s="130">
        <v>6</v>
      </c>
      <c r="AB41" s="131">
        <f t="shared" si="0"/>
        <v>0</v>
      </c>
      <c r="AC41" s="147"/>
      <c r="AD41" s="148"/>
      <c r="AE41" s="148"/>
      <c r="AF41" s="128">
        <v>8.4</v>
      </c>
      <c r="AG41" s="148"/>
      <c r="AH41" s="128">
        <v>8.4</v>
      </c>
      <c r="AI41" s="148"/>
      <c r="AJ41" s="130">
        <v>6</v>
      </c>
      <c r="AK41" s="131">
        <f t="shared" si="14"/>
        <v>0</v>
      </c>
      <c r="AL41" s="147"/>
      <c r="AM41" s="148"/>
      <c r="AN41" s="148"/>
      <c r="AO41" s="128">
        <v>8.4</v>
      </c>
      <c r="AP41" s="148"/>
      <c r="AQ41" s="128">
        <v>8.4</v>
      </c>
      <c r="AR41" s="148"/>
      <c r="AS41" s="130">
        <v>6</v>
      </c>
      <c r="AT41" s="131">
        <f t="shared" si="1"/>
        <v>0</v>
      </c>
      <c r="AU41" s="149"/>
      <c r="AV41" s="150"/>
      <c r="AW41" s="150"/>
      <c r="AX41" s="134">
        <v>8.4</v>
      </c>
      <c r="AY41" s="150"/>
      <c r="AZ41" s="134">
        <v>8.4</v>
      </c>
      <c r="BA41" s="150"/>
      <c r="BB41" s="130">
        <v>6</v>
      </c>
      <c r="BC41" s="131">
        <f t="shared" si="2"/>
        <v>0</v>
      </c>
      <c r="BD41" s="149"/>
      <c r="BE41" s="150"/>
      <c r="BF41" s="150"/>
      <c r="BG41" s="134">
        <v>8.4</v>
      </c>
      <c r="BH41" s="150"/>
      <c r="BI41" s="134">
        <v>8.4</v>
      </c>
      <c r="BJ41" s="150"/>
      <c r="BK41" s="130">
        <v>6</v>
      </c>
      <c r="BL41" s="131">
        <f t="shared" si="3"/>
        <v>0</v>
      </c>
      <c r="BM41" s="149"/>
      <c r="BN41" s="150"/>
      <c r="BO41" s="150"/>
      <c r="BP41" s="134">
        <v>8.4</v>
      </c>
      <c r="BQ41" s="150"/>
      <c r="BR41" s="134">
        <v>8.4</v>
      </c>
      <c r="BS41" s="150"/>
      <c r="BT41" s="130">
        <v>6</v>
      </c>
      <c r="BU41" s="131">
        <f t="shared" si="4"/>
        <v>0</v>
      </c>
      <c r="BV41" s="149"/>
      <c r="BW41" s="150"/>
      <c r="BX41" s="150"/>
      <c r="BY41" s="134">
        <v>8.4</v>
      </c>
      <c r="BZ41" s="150"/>
      <c r="CA41" s="134">
        <v>8.4</v>
      </c>
      <c r="CB41" s="150"/>
      <c r="CC41" s="130">
        <v>6</v>
      </c>
      <c r="CD41" s="131">
        <f t="shared" si="5"/>
        <v>0</v>
      </c>
      <c r="CE41" s="149"/>
      <c r="CF41" s="150"/>
      <c r="CG41" s="150"/>
      <c r="CH41" s="134">
        <v>8.4</v>
      </c>
      <c r="CI41" s="150"/>
      <c r="CJ41" s="134">
        <v>8.4</v>
      </c>
      <c r="CK41" s="150"/>
      <c r="CL41" s="130">
        <v>6</v>
      </c>
      <c r="CM41" s="136">
        <f t="shared" si="6"/>
        <v>0</v>
      </c>
      <c r="CN41" s="149"/>
      <c r="CO41" s="150"/>
      <c r="CP41" s="150"/>
      <c r="CQ41" s="134">
        <v>8.4</v>
      </c>
      <c r="CR41" s="150"/>
      <c r="CS41" s="134">
        <v>8.4</v>
      </c>
      <c r="CT41" s="150"/>
      <c r="CU41" s="130">
        <v>6</v>
      </c>
      <c r="CV41" s="131">
        <f t="shared" si="7"/>
        <v>0</v>
      </c>
      <c r="CW41" s="149"/>
      <c r="CX41" s="150"/>
      <c r="CY41" s="150"/>
      <c r="CZ41" s="134">
        <v>8.4</v>
      </c>
      <c r="DA41" s="150"/>
      <c r="DB41" s="134">
        <v>8.4</v>
      </c>
      <c r="DC41" s="150"/>
      <c r="DD41" s="130">
        <v>6</v>
      </c>
      <c r="DE41" s="131">
        <f t="shared" si="8"/>
        <v>0</v>
      </c>
      <c r="DF41" s="149"/>
      <c r="DG41" s="150"/>
      <c r="DH41" s="150"/>
      <c r="DI41" s="134">
        <v>8.4</v>
      </c>
      <c r="DJ41" s="150"/>
      <c r="DK41" s="134">
        <v>8.4</v>
      </c>
      <c r="DL41" s="150"/>
      <c r="DM41" s="130">
        <v>6</v>
      </c>
      <c r="DN41" s="131">
        <f t="shared" si="9"/>
        <v>0</v>
      </c>
      <c r="DO41" s="149"/>
      <c r="DP41" s="150"/>
      <c r="DQ41" s="150"/>
      <c r="DR41" s="134">
        <v>8.4</v>
      </c>
      <c r="DS41" s="150"/>
      <c r="DT41" s="134">
        <v>8.4</v>
      </c>
      <c r="DU41" s="150"/>
      <c r="DV41" s="130">
        <v>6</v>
      </c>
      <c r="DW41" s="137">
        <f t="shared" si="10"/>
        <v>0</v>
      </c>
      <c r="DX41" s="151"/>
      <c r="DY41" s="134">
        <f t="shared" si="11"/>
        <v>0</v>
      </c>
      <c r="DZ41" s="134">
        <f t="shared" si="12"/>
        <v>0</v>
      </c>
      <c r="EA41" s="134">
        <f t="shared" si="13"/>
        <v>0</v>
      </c>
      <c r="EB41" s="151"/>
      <c r="ED41" s="1"/>
      <c r="EE41" s="1"/>
      <c r="EF41" s="1"/>
    </row>
    <row r="42" spans="1:136" x14ac:dyDescent="0.25">
      <c r="A42" s="12"/>
      <c r="B42" s="12"/>
      <c r="C42" s="12"/>
      <c r="D42" s="143"/>
      <c r="E42" s="140"/>
      <c r="F42" s="141"/>
      <c r="G42" s="141"/>
      <c r="H42" s="153"/>
      <c r="I42" s="153"/>
      <c r="J42" s="153"/>
      <c r="K42" s="153"/>
      <c r="L42" s="153"/>
      <c r="M42" s="153"/>
      <c r="N42" s="153"/>
      <c r="O42" s="153"/>
      <c r="P42" s="154"/>
      <c r="Q42" s="144"/>
      <c r="R42" s="145"/>
      <c r="S42" s="146"/>
      <c r="T42" s="147"/>
      <c r="U42" s="148"/>
      <c r="V42" s="148"/>
      <c r="W42" s="128">
        <v>8.4</v>
      </c>
      <c r="X42" s="148"/>
      <c r="Y42" s="128">
        <v>8.4</v>
      </c>
      <c r="Z42" s="148"/>
      <c r="AA42" s="130">
        <v>6</v>
      </c>
      <c r="AB42" s="131">
        <f t="shared" si="0"/>
        <v>0</v>
      </c>
      <c r="AC42" s="147"/>
      <c r="AD42" s="148"/>
      <c r="AE42" s="148"/>
      <c r="AF42" s="128">
        <v>8.4</v>
      </c>
      <c r="AG42" s="148"/>
      <c r="AH42" s="128">
        <v>8.4</v>
      </c>
      <c r="AI42" s="148"/>
      <c r="AJ42" s="130">
        <v>6</v>
      </c>
      <c r="AK42" s="131">
        <f t="shared" si="14"/>
        <v>0</v>
      </c>
      <c r="AL42" s="147"/>
      <c r="AM42" s="148"/>
      <c r="AN42" s="148"/>
      <c r="AO42" s="128">
        <v>8.4</v>
      </c>
      <c r="AP42" s="148"/>
      <c r="AQ42" s="128">
        <v>8.4</v>
      </c>
      <c r="AR42" s="148"/>
      <c r="AS42" s="130">
        <v>6</v>
      </c>
      <c r="AT42" s="131">
        <f t="shared" si="1"/>
        <v>0</v>
      </c>
      <c r="AU42" s="149"/>
      <c r="AV42" s="150"/>
      <c r="AW42" s="150"/>
      <c r="AX42" s="134">
        <v>8.4</v>
      </c>
      <c r="AY42" s="150"/>
      <c r="AZ42" s="134">
        <v>8.4</v>
      </c>
      <c r="BA42" s="150"/>
      <c r="BB42" s="130">
        <v>6</v>
      </c>
      <c r="BC42" s="131">
        <f t="shared" si="2"/>
        <v>0</v>
      </c>
      <c r="BD42" s="149"/>
      <c r="BE42" s="150"/>
      <c r="BF42" s="150"/>
      <c r="BG42" s="134">
        <v>8.4</v>
      </c>
      <c r="BH42" s="150"/>
      <c r="BI42" s="134">
        <v>8.4</v>
      </c>
      <c r="BJ42" s="150"/>
      <c r="BK42" s="130">
        <v>6</v>
      </c>
      <c r="BL42" s="131">
        <f t="shared" si="3"/>
        <v>0</v>
      </c>
      <c r="BM42" s="149"/>
      <c r="BN42" s="150"/>
      <c r="BO42" s="150"/>
      <c r="BP42" s="134">
        <v>8.4</v>
      </c>
      <c r="BQ42" s="150"/>
      <c r="BR42" s="134">
        <v>8.4</v>
      </c>
      <c r="BS42" s="150"/>
      <c r="BT42" s="130">
        <v>6</v>
      </c>
      <c r="BU42" s="131">
        <f t="shared" si="4"/>
        <v>0</v>
      </c>
      <c r="BV42" s="149"/>
      <c r="BW42" s="150"/>
      <c r="BX42" s="150"/>
      <c r="BY42" s="134">
        <v>8.4</v>
      </c>
      <c r="BZ42" s="150"/>
      <c r="CA42" s="134">
        <v>8.4</v>
      </c>
      <c r="CB42" s="150"/>
      <c r="CC42" s="130">
        <v>6</v>
      </c>
      <c r="CD42" s="131">
        <f t="shared" si="5"/>
        <v>0</v>
      </c>
      <c r="CE42" s="149"/>
      <c r="CF42" s="150"/>
      <c r="CG42" s="150"/>
      <c r="CH42" s="134">
        <v>8.4</v>
      </c>
      <c r="CI42" s="150"/>
      <c r="CJ42" s="134">
        <v>8.4</v>
      </c>
      <c r="CK42" s="150"/>
      <c r="CL42" s="130">
        <v>6</v>
      </c>
      <c r="CM42" s="136">
        <f t="shared" si="6"/>
        <v>0</v>
      </c>
      <c r="CN42" s="149"/>
      <c r="CO42" s="150"/>
      <c r="CP42" s="150"/>
      <c r="CQ42" s="134">
        <v>8.4</v>
      </c>
      <c r="CR42" s="150"/>
      <c r="CS42" s="134">
        <v>8.4</v>
      </c>
      <c r="CT42" s="150"/>
      <c r="CU42" s="130">
        <v>6</v>
      </c>
      <c r="CV42" s="131">
        <f t="shared" si="7"/>
        <v>0</v>
      </c>
      <c r="CW42" s="149"/>
      <c r="CX42" s="150"/>
      <c r="CY42" s="150"/>
      <c r="CZ42" s="134">
        <v>8.4</v>
      </c>
      <c r="DA42" s="150"/>
      <c r="DB42" s="134">
        <v>8.4</v>
      </c>
      <c r="DC42" s="150"/>
      <c r="DD42" s="130">
        <v>6</v>
      </c>
      <c r="DE42" s="131">
        <f t="shared" si="8"/>
        <v>0</v>
      </c>
      <c r="DF42" s="149"/>
      <c r="DG42" s="150"/>
      <c r="DH42" s="150"/>
      <c r="DI42" s="134">
        <v>8.4</v>
      </c>
      <c r="DJ42" s="150"/>
      <c r="DK42" s="134">
        <v>8.4</v>
      </c>
      <c r="DL42" s="150"/>
      <c r="DM42" s="130">
        <v>6</v>
      </c>
      <c r="DN42" s="131">
        <f t="shared" si="9"/>
        <v>0</v>
      </c>
      <c r="DO42" s="149"/>
      <c r="DP42" s="150"/>
      <c r="DQ42" s="150"/>
      <c r="DR42" s="134">
        <v>8.4</v>
      </c>
      <c r="DS42" s="150"/>
      <c r="DT42" s="134">
        <v>8.4</v>
      </c>
      <c r="DU42" s="150"/>
      <c r="DV42" s="130">
        <v>6</v>
      </c>
      <c r="DW42" s="137">
        <f t="shared" si="10"/>
        <v>0</v>
      </c>
      <c r="DX42" s="151"/>
      <c r="DY42" s="134">
        <f t="shared" si="11"/>
        <v>0</v>
      </c>
      <c r="DZ42" s="134">
        <f t="shared" si="12"/>
        <v>0</v>
      </c>
      <c r="EA42" s="134">
        <f t="shared" si="13"/>
        <v>0</v>
      </c>
      <c r="EB42" s="151"/>
      <c r="ED42" s="1"/>
      <c r="EE42" s="1"/>
      <c r="EF42" s="1"/>
    </row>
    <row r="43" spans="1:136" x14ac:dyDescent="0.25">
      <c r="A43" s="12"/>
      <c r="B43" s="12"/>
      <c r="C43" s="12"/>
      <c r="D43" s="143"/>
      <c r="E43" s="120"/>
      <c r="F43" s="121"/>
      <c r="G43" s="121"/>
      <c r="H43" s="155"/>
      <c r="I43" s="155"/>
      <c r="J43" s="155"/>
      <c r="K43" s="155"/>
      <c r="L43" s="155"/>
      <c r="M43" s="155"/>
      <c r="N43" s="155"/>
      <c r="O43" s="155"/>
      <c r="P43" s="156"/>
      <c r="Q43" s="144"/>
      <c r="R43" s="145"/>
      <c r="S43" s="146"/>
      <c r="T43" s="147"/>
      <c r="U43" s="148"/>
      <c r="V43" s="148"/>
      <c r="W43" s="128">
        <v>8.4</v>
      </c>
      <c r="X43" s="148"/>
      <c r="Y43" s="128">
        <v>8.4</v>
      </c>
      <c r="Z43" s="148"/>
      <c r="AA43" s="130">
        <v>6</v>
      </c>
      <c r="AB43" s="131">
        <f t="shared" si="0"/>
        <v>0</v>
      </c>
      <c r="AC43" s="147"/>
      <c r="AD43" s="148"/>
      <c r="AE43" s="148"/>
      <c r="AF43" s="128">
        <v>8.4</v>
      </c>
      <c r="AG43" s="148"/>
      <c r="AH43" s="128">
        <v>8.4</v>
      </c>
      <c r="AI43" s="148"/>
      <c r="AJ43" s="130">
        <v>6</v>
      </c>
      <c r="AK43" s="131">
        <f t="shared" si="14"/>
        <v>0</v>
      </c>
      <c r="AL43" s="147"/>
      <c r="AM43" s="148"/>
      <c r="AN43" s="148"/>
      <c r="AO43" s="128">
        <v>8.4</v>
      </c>
      <c r="AP43" s="148"/>
      <c r="AQ43" s="128">
        <v>8.4</v>
      </c>
      <c r="AR43" s="148"/>
      <c r="AS43" s="130">
        <v>6</v>
      </c>
      <c r="AT43" s="131">
        <f t="shared" si="1"/>
        <v>0</v>
      </c>
      <c r="AU43" s="149"/>
      <c r="AV43" s="150"/>
      <c r="AW43" s="150"/>
      <c r="AX43" s="134">
        <v>8.4</v>
      </c>
      <c r="AY43" s="150"/>
      <c r="AZ43" s="134">
        <v>8.4</v>
      </c>
      <c r="BA43" s="150"/>
      <c r="BB43" s="130">
        <v>6</v>
      </c>
      <c r="BC43" s="131">
        <f t="shared" si="2"/>
        <v>0</v>
      </c>
      <c r="BD43" s="149"/>
      <c r="BE43" s="150"/>
      <c r="BF43" s="150"/>
      <c r="BG43" s="134">
        <v>8.4</v>
      </c>
      <c r="BH43" s="150"/>
      <c r="BI43" s="134">
        <v>8.4</v>
      </c>
      <c r="BJ43" s="150"/>
      <c r="BK43" s="130">
        <v>6</v>
      </c>
      <c r="BL43" s="131">
        <f t="shared" si="3"/>
        <v>0</v>
      </c>
      <c r="BM43" s="149"/>
      <c r="BN43" s="150"/>
      <c r="BO43" s="150"/>
      <c r="BP43" s="134">
        <v>8.4</v>
      </c>
      <c r="BQ43" s="150"/>
      <c r="BR43" s="134">
        <v>8.4</v>
      </c>
      <c r="BS43" s="150"/>
      <c r="BT43" s="130">
        <v>6</v>
      </c>
      <c r="BU43" s="131">
        <f t="shared" si="4"/>
        <v>0</v>
      </c>
      <c r="BV43" s="149"/>
      <c r="BW43" s="150"/>
      <c r="BX43" s="150"/>
      <c r="BY43" s="134">
        <v>8.4</v>
      </c>
      <c r="BZ43" s="150"/>
      <c r="CA43" s="134">
        <v>8.4</v>
      </c>
      <c r="CB43" s="150"/>
      <c r="CC43" s="130">
        <v>6</v>
      </c>
      <c r="CD43" s="131">
        <f t="shared" si="5"/>
        <v>0</v>
      </c>
      <c r="CE43" s="149"/>
      <c r="CF43" s="150"/>
      <c r="CG43" s="150"/>
      <c r="CH43" s="134">
        <v>8.4</v>
      </c>
      <c r="CI43" s="150"/>
      <c r="CJ43" s="134">
        <v>8.4</v>
      </c>
      <c r="CK43" s="150"/>
      <c r="CL43" s="130">
        <v>6</v>
      </c>
      <c r="CM43" s="136">
        <f t="shared" si="6"/>
        <v>0</v>
      </c>
      <c r="CN43" s="149"/>
      <c r="CO43" s="150"/>
      <c r="CP43" s="150"/>
      <c r="CQ43" s="134">
        <v>8.4</v>
      </c>
      <c r="CR43" s="150"/>
      <c r="CS43" s="134">
        <v>8.4</v>
      </c>
      <c r="CT43" s="150"/>
      <c r="CU43" s="130">
        <v>6</v>
      </c>
      <c r="CV43" s="131">
        <f t="shared" si="7"/>
        <v>0</v>
      </c>
      <c r="CW43" s="149"/>
      <c r="CX43" s="150"/>
      <c r="CY43" s="150"/>
      <c r="CZ43" s="134">
        <v>8.4</v>
      </c>
      <c r="DA43" s="150"/>
      <c r="DB43" s="134">
        <v>8.4</v>
      </c>
      <c r="DC43" s="150"/>
      <c r="DD43" s="130">
        <v>6</v>
      </c>
      <c r="DE43" s="131">
        <f t="shared" si="8"/>
        <v>0</v>
      </c>
      <c r="DF43" s="149"/>
      <c r="DG43" s="150"/>
      <c r="DH43" s="150"/>
      <c r="DI43" s="134">
        <v>8.4</v>
      </c>
      <c r="DJ43" s="150"/>
      <c r="DK43" s="134">
        <v>8.4</v>
      </c>
      <c r="DL43" s="150"/>
      <c r="DM43" s="130">
        <v>6</v>
      </c>
      <c r="DN43" s="131">
        <f t="shared" si="9"/>
        <v>0</v>
      </c>
      <c r="DO43" s="149"/>
      <c r="DP43" s="150"/>
      <c r="DQ43" s="150"/>
      <c r="DR43" s="134">
        <v>8.4</v>
      </c>
      <c r="DS43" s="150"/>
      <c r="DT43" s="134">
        <v>8.4</v>
      </c>
      <c r="DU43" s="150"/>
      <c r="DV43" s="130">
        <v>6</v>
      </c>
      <c r="DW43" s="137">
        <f t="shared" si="10"/>
        <v>0</v>
      </c>
      <c r="DX43" s="151"/>
      <c r="DY43" s="134">
        <f t="shared" si="11"/>
        <v>0</v>
      </c>
      <c r="DZ43" s="134">
        <f t="shared" si="12"/>
        <v>0</v>
      </c>
      <c r="EA43" s="134">
        <f t="shared" si="13"/>
        <v>0</v>
      </c>
      <c r="EB43" s="151"/>
      <c r="ED43" s="1"/>
      <c r="EE43" s="1"/>
      <c r="EF43" s="1"/>
    </row>
    <row r="44" spans="1:136" x14ac:dyDescent="0.25">
      <c r="A44" s="12"/>
      <c r="B44" s="12"/>
      <c r="C44" s="12"/>
      <c r="D44" s="143"/>
      <c r="E44" s="140"/>
      <c r="F44" s="141"/>
      <c r="G44" s="141"/>
      <c r="H44" s="153"/>
      <c r="I44" s="153"/>
      <c r="J44" s="153"/>
      <c r="K44" s="153"/>
      <c r="L44" s="153"/>
      <c r="M44" s="153"/>
      <c r="N44" s="153"/>
      <c r="O44" s="153"/>
      <c r="P44" s="154"/>
      <c r="Q44" s="144"/>
      <c r="R44" s="145"/>
      <c r="S44" s="146"/>
      <c r="T44" s="147"/>
      <c r="U44" s="148"/>
      <c r="V44" s="148"/>
      <c r="W44" s="128">
        <v>8.4</v>
      </c>
      <c r="X44" s="148"/>
      <c r="Y44" s="128">
        <v>8.4</v>
      </c>
      <c r="Z44" s="148"/>
      <c r="AA44" s="130">
        <v>6</v>
      </c>
      <c r="AB44" s="131">
        <f t="shared" si="0"/>
        <v>0</v>
      </c>
      <c r="AC44" s="147"/>
      <c r="AD44" s="148"/>
      <c r="AE44" s="148"/>
      <c r="AF44" s="128">
        <v>8.4</v>
      </c>
      <c r="AG44" s="148"/>
      <c r="AH44" s="128">
        <v>8.4</v>
      </c>
      <c r="AI44" s="148"/>
      <c r="AJ44" s="130">
        <v>6</v>
      </c>
      <c r="AK44" s="131">
        <f t="shared" si="14"/>
        <v>0</v>
      </c>
      <c r="AL44" s="147"/>
      <c r="AM44" s="148"/>
      <c r="AN44" s="148"/>
      <c r="AO44" s="128">
        <v>8.4</v>
      </c>
      <c r="AP44" s="148"/>
      <c r="AQ44" s="128">
        <v>8.4</v>
      </c>
      <c r="AR44" s="148"/>
      <c r="AS44" s="130">
        <v>6</v>
      </c>
      <c r="AT44" s="131">
        <f t="shared" si="1"/>
        <v>0</v>
      </c>
      <c r="AU44" s="149"/>
      <c r="AV44" s="150"/>
      <c r="AW44" s="150"/>
      <c r="AX44" s="134">
        <v>8.4</v>
      </c>
      <c r="AY44" s="150"/>
      <c r="AZ44" s="134">
        <v>8.4</v>
      </c>
      <c r="BA44" s="150"/>
      <c r="BB44" s="130">
        <v>6</v>
      </c>
      <c r="BC44" s="131">
        <f t="shared" si="2"/>
        <v>0</v>
      </c>
      <c r="BD44" s="149"/>
      <c r="BE44" s="150"/>
      <c r="BF44" s="150"/>
      <c r="BG44" s="134">
        <v>8.4</v>
      </c>
      <c r="BH44" s="150"/>
      <c r="BI44" s="134">
        <v>8.4</v>
      </c>
      <c r="BJ44" s="150"/>
      <c r="BK44" s="130">
        <v>6</v>
      </c>
      <c r="BL44" s="131">
        <f t="shared" si="3"/>
        <v>0</v>
      </c>
      <c r="BM44" s="149"/>
      <c r="BN44" s="150"/>
      <c r="BO44" s="150"/>
      <c r="BP44" s="134">
        <v>8.4</v>
      </c>
      <c r="BQ44" s="150"/>
      <c r="BR44" s="134">
        <v>8.4</v>
      </c>
      <c r="BS44" s="150"/>
      <c r="BT44" s="130">
        <v>6</v>
      </c>
      <c r="BU44" s="131">
        <f t="shared" si="4"/>
        <v>0</v>
      </c>
      <c r="BV44" s="149"/>
      <c r="BW44" s="150"/>
      <c r="BX44" s="150"/>
      <c r="BY44" s="134">
        <v>8.4</v>
      </c>
      <c r="BZ44" s="150"/>
      <c r="CA44" s="134">
        <v>8.4</v>
      </c>
      <c r="CB44" s="150"/>
      <c r="CC44" s="130">
        <v>6</v>
      </c>
      <c r="CD44" s="131">
        <f t="shared" si="5"/>
        <v>0</v>
      </c>
      <c r="CE44" s="149"/>
      <c r="CF44" s="150"/>
      <c r="CG44" s="150"/>
      <c r="CH44" s="134">
        <v>8.4</v>
      </c>
      <c r="CI44" s="150"/>
      <c r="CJ44" s="134">
        <v>8.4</v>
      </c>
      <c r="CK44" s="150"/>
      <c r="CL44" s="130">
        <v>6</v>
      </c>
      <c r="CM44" s="136">
        <f t="shared" si="6"/>
        <v>0</v>
      </c>
      <c r="CN44" s="149"/>
      <c r="CO44" s="150"/>
      <c r="CP44" s="150"/>
      <c r="CQ44" s="134">
        <v>8.4</v>
      </c>
      <c r="CR44" s="150"/>
      <c r="CS44" s="134">
        <v>8.4</v>
      </c>
      <c r="CT44" s="150"/>
      <c r="CU44" s="130">
        <v>6</v>
      </c>
      <c r="CV44" s="131">
        <f t="shared" si="7"/>
        <v>0</v>
      </c>
      <c r="CW44" s="149"/>
      <c r="CX44" s="150"/>
      <c r="CY44" s="150"/>
      <c r="CZ44" s="134">
        <v>8.4</v>
      </c>
      <c r="DA44" s="150"/>
      <c r="DB44" s="134">
        <v>8.4</v>
      </c>
      <c r="DC44" s="150"/>
      <c r="DD44" s="130">
        <v>6</v>
      </c>
      <c r="DE44" s="131">
        <f t="shared" si="8"/>
        <v>0</v>
      </c>
      <c r="DF44" s="149"/>
      <c r="DG44" s="150"/>
      <c r="DH44" s="150"/>
      <c r="DI44" s="134">
        <v>8.4</v>
      </c>
      <c r="DJ44" s="150"/>
      <c r="DK44" s="134">
        <v>8.4</v>
      </c>
      <c r="DL44" s="150"/>
      <c r="DM44" s="130">
        <v>6</v>
      </c>
      <c r="DN44" s="131">
        <f t="shared" si="9"/>
        <v>0</v>
      </c>
      <c r="DO44" s="149"/>
      <c r="DP44" s="150"/>
      <c r="DQ44" s="150"/>
      <c r="DR44" s="134">
        <v>8.4</v>
      </c>
      <c r="DS44" s="150"/>
      <c r="DT44" s="134">
        <v>8.4</v>
      </c>
      <c r="DU44" s="150"/>
      <c r="DV44" s="130">
        <v>6</v>
      </c>
      <c r="DW44" s="137">
        <f t="shared" si="10"/>
        <v>0</v>
      </c>
      <c r="DX44" s="151"/>
      <c r="DY44" s="134">
        <f t="shared" si="11"/>
        <v>0</v>
      </c>
      <c r="DZ44" s="134">
        <f t="shared" si="12"/>
        <v>0</v>
      </c>
      <c r="EA44" s="134">
        <f t="shared" si="13"/>
        <v>0</v>
      </c>
      <c r="EB44" s="151"/>
      <c r="ED44" s="1"/>
      <c r="EE44" s="1"/>
      <c r="EF44" s="1"/>
    </row>
    <row r="45" spans="1:136" x14ac:dyDescent="0.25">
      <c r="A45" s="12"/>
      <c r="B45" s="12"/>
      <c r="C45" s="12"/>
      <c r="D45" s="143"/>
      <c r="E45" s="120"/>
      <c r="F45" s="121"/>
      <c r="G45" s="121"/>
      <c r="H45" s="155"/>
      <c r="I45" s="155"/>
      <c r="J45" s="155"/>
      <c r="K45" s="155"/>
      <c r="L45" s="155"/>
      <c r="M45" s="155"/>
      <c r="N45" s="155"/>
      <c r="O45" s="155"/>
      <c r="P45" s="156"/>
      <c r="Q45" s="144"/>
      <c r="R45" s="145"/>
      <c r="S45" s="146"/>
      <c r="T45" s="147"/>
      <c r="U45" s="148"/>
      <c r="V45" s="148"/>
      <c r="W45" s="128">
        <v>8.4</v>
      </c>
      <c r="X45" s="148"/>
      <c r="Y45" s="128">
        <v>8.4</v>
      </c>
      <c r="Z45" s="148"/>
      <c r="AA45" s="130">
        <v>6</v>
      </c>
      <c r="AB45" s="131">
        <f t="shared" si="0"/>
        <v>0</v>
      </c>
      <c r="AC45" s="147"/>
      <c r="AD45" s="148"/>
      <c r="AE45" s="148"/>
      <c r="AF45" s="128">
        <v>8.4</v>
      </c>
      <c r="AG45" s="148"/>
      <c r="AH45" s="128">
        <v>8.4</v>
      </c>
      <c r="AI45" s="148"/>
      <c r="AJ45" s="130">
        <v>6</v>
      </c>
      <c r="AK45" s="131">
        <f t="shared" si="14"/>
        <v>0</v>
      </c>
      <c r="AL45" s="147"/>
      <c r="AM45" s="148"/>
      <c r="AN45" s="148"/>
      <c r="AO45" s="128">
        <v>8.4</v>
      </c>
      <c r="AP45" s="148"/>
      <c r="AQ45" s="128">
        <v>8.4</v>
      </c>
      <c r="AR45" s="148"/>
      <c r="AS45" s="130">
        <v>6</v>
      </c>
      <c r="AT45" s="131">
        <f t="shared" si="1"/>
        <v>0</v>
      </c>
      <c r="AU45" s="149"/>
      <c r="AV45" s="150"/>
      <c r="AW45" s="150"/>
      <c r="AX45" s="134">
        <v>8.4</v>
      </c>
      <c r="AY45" s="150"/>
      <c r="AZ45" s="134">
        <v>8.4</v>
      </c>
      <c r="BA45" s="150"/>
      <c r="BB45" s="130">
        <v>6</v>
      </c>
      <c r="BC45" s="131">
        <f t="shared" si="2"/>
        <v>0</v>
      </c>
      <c r="BD45" s="149"/>
      <c r="BE45" s="150"/>
      <c r="BF45" s="150"/>
      <c r="BG45" s="134">
        <v>8.4</v>
      </c>
      <c r="BH45" s="150"/>
      <c r="BI45" s="134">
        <v>8.4</v>
      </c>
      <c r="BJ45" s="150"/>
      <c r="BK45" s="130">
        <v>6</v>
      </c>
      <c r="BL45" s="131">
        <f t="shared" si="3"/>
        <v>0</v>
      </c>
      <c r="BM45" s="149"/>
      <c r="BN45" s="150"/>
      <c r="BO45" s="150"/>
      <c r="BP45" s="134">
        <v>8.4</v>
      </c>
      <c r="BQ45" s="150"/>
      <c r="BR45" s="134">
        <v>8.4</v>
      </c>
      <c r="BS45" s="150"/>
      <c r="BT45" s="130">
        <v>6</v>
      </c>
      <c r="BU45" s="131">
        <f t="shared" si="4"/>
        <v>0</v>
      </c>
      <c r="BV45" s="149"/>
      <c r="BW45" s="150"/>
      <c r="BX45" s="150"/>
      <c r="BY45" s="134">
        <v>8.4</v>
      </c>
      <c r="BZ45" s="150"/>
      <c r="CA45" s="134">
        <v>8.4</v>
      </c>
      <c r="CB45" s="150"/>
      <c r="CC45" s="130">
        <v>6</v>
      </c>
      <c r="CD45" s="131">
        <f t="shared" si="5"/>
        <v>0</v>
      </c>
      <c r="CE45" s="149"/>
      <c r="CF45" s="150"/>
      <c r="CG45" s="150"/>
      <c r="CH45" s="134">
        <v>8.4</v>
      </c>
      <c r="CI45" s="150"/>
      <c r="CJ45" s="134">
        <v>8.4</v>
      </c>
      <c r="CK45" s="150"/>
      <c r="CL45" s="130">
        <v>6</v>
      </c>
      <c r="CM45" s="136">
        <f t="shared" si="6"/>
        <v>0</v>
      </c>
      <c r="CN45" s="149"/>
      <c r="CO45" s="150"/>
      <c r="CP45" s="150"/>
      <c r="CQ45" s="134">
        <v>8.4</v>
      </c>
      <c r="CR45" s="150"/>
      <c r="CS45" s="134">
        <v>8.4</v>
      </c>
      <c r="CT45" s="150"/>
      <c r="CU45" s="130">
        <v>6</v>
      </c>
      <c r="CV45" s="131">
        <f t="shared" si="7"/>
        <v>0</v>
      </c>
      <c r="CW45" s="149"/>
      <c r="CX45" s="150"/>
      <c r="CY45" s="150"/>
      <c r="CZ45" s="134">
        <v>8.4</v>
      </c>
      <c r="DA45" s="150"/>
      <c r="DB45" s="134">
        <v>8.4</v>
      </c>
      <c r="DC45" s="150"/>
      <c r="DD45" s="130">
        <v>6</v>
      </c>
      <c r="DE45" s="131">
        <f t="shared" si="8"/>
        <v>0</v>
      </c>
      <c r="DF45" s="149"/>
      <c r="DG45" s="150"/>
      <c r="DH45" s="150"/>
      <c r="DI45" s="134">
        <v>8.4</v>
      </c>
      <c r="DJ45" s="150"/>
      <c r="DK45" s="134">
        <v>8.4</v>
      </c>
      <c r="DL45" s="150"/>
      <c r="DM45" s="130">
        <v>6</v>
      </c>
      <c r="DN45" s="131">
        <f t="shared" si="9"/>
        <v>0</v>
      </c>
      <c r="DO45" s="149"/>
      <c r="DP45" s="150"/>
      <c r="DQ45" s="150"/>
      <c r="DR45" s="134">
        <v>8.4</v>
      </c>
      <c r="DS45" s="150"/>
      <c r="DT45" s="134">
        <v>8.4</v>
      </c>
      <c r="DU45" s="150"/>
      <c r="DV45" s="130">
        <v>6</v>
      </c>
      <c r="DW45" s="137">
        <f t="shared" si="10"/>
        <v>0</v>
      </c>
      <c r="DX45" s="151"/>
      <c r="DY45" s="134">
        <f t="shared" si="11"/>
        <v>0</v>
      </c>
      <c r="DZ45" s="134">
        <f t="shared" si="12"/>
        <v>0</v>
      </c>
      <c r="EA45" s="134">
        <f t="shared" si="13"/>
        <v>0</v>
      </c>
      <c r="EB45" s="151"/>
      <c r="ED45" s="1"/>
      <c r="EE45" s="1"/>
      <c r="EF45" s="1"/>
    </row>
    <row r="46" spans="1:136" x14ac:dyDescent="0.25">
      <c r="A46" s="12"/>
      <c r="B46" s="12"/>
      <c r="C46" s="12"/>
      <c r="D46" s="143"/>
      <c r="E46" s="140"/>
      <c r="F46" s="141"/>
      <c r="G46" s="141"/>
      <c r="H46" s="153"/>
      <c r="I46" s="153"/>
      <c r="J46" s="153"/>
      <c r="K46" s="153"/>
      <c r="L46" s="153"/>
      <c r="M46" s="153"/>
      <c r="N46" s="153"/>
      <c r="O46" s="153"/>
      <c r="P46" s="154"/>
      <c r="Q46" s="144"/>
      <c r="R46" s="145"/>
      <c r="S46" s="146"/>
      <c r="T46" s="147"/>
      <c r="U46" s="148"/>
      <c r="V46" s="148"/>
      <c r="W46" s="128">
        <v>8.4</v>
      </c>
      <c r="X46" s="148"/>
      <c r="Y46" s="128">
        <v>8.4</v>
      </c>
      <c r="Z46" s="148"/>
      <c r="AA46" s="130">
        <v>6</v>
      </c>
      <c r="AB46" s="131">
        <f t="shared" si="0"/>
        <v>0</v>
      </c>
      <c r="AC46" s="147"/>
      <c r="AD46" s="148"/>
      <c r="AE46" s="148"/>
      <c r="AF46" s="128">
        <v>8.4</v>
      </c>
      <c r="AG46" s="148"/>
      <c r="AH46" s="128">
        <v>8.4</v>
      </c>
      <c r="AI46" s="148"/>
      <c r="AJ46" s="130">
        <v>6</v>
      </c>
      <c r="AK46" s="131">
        <f t="shared" si="14"/>
        <v>0</v>
      </c>
      <c r="AL46" s="147"/>
      <c r="AM46" s="148"/>
      <c r="AN46" s="148"/>
      <c r="AO46" s="128">
        <v>8.4</v>
      </c>
      <c r="AP46" s="148"/>
      <c r="AQ46" s="128">
        <v>8.4</v>
      </c>
      <c r="AR46" s="148"/>
      <c r="AS46" s="130">
        <v>6</v>
      </c>
      <c r="AT46" s="131">
        <f t="shared" si="1"/>
        <v>0</v>
      </c>
      <c r="AU46" s="149"/>
      <c r="AV46" s="150"/>
      <c r="AW46" s="150"/>
      <c r="AX46" s="134">
        <v>8.4</v>
      </c>
      <c r="AY46" s="150"/>
      <c r="AZ46" s="134">
        <v>8.4</v>
      </c>
      <c r="BA46" s="150"/>
      <c r="BB46" s="130">
        <v>6</v>
      </c>
      <c r="BC46" s="131">
        <f t="shared" si="2"/>
        <v>0</v>
      </c>
      <c r="BD46" s="149"/>
      <c r="BE46" s="150"/>
      <c r="BF46" s="150"/>
      <c r="BG46" s="134">
        <v>8.4</v>
      </c>
      <c r="BH46" s="150"/>
      <c r="BI46" s="134">
        <v>8.4</v>
      </c>
      <c r="BJ46" s="150"/>
      <c r="BK46" s="130">
        <v>6</v>
      </c>
      <c r="BL46" s="131">
        <f t="shared" si="3"/>
        <v>0</v>
      </c>
      <c r="BM46" s="149"/>
      <c r="BN46" s="150"/>
      <c r="BO46" s="150"/>
      <c r="BP46" s="134">
        <v>8.4</v>
      </c>
      <c r="BQ46" s="150"/>
      <c r="BR46" s="134">
        <v>8.4</v>
      </c>
      <c r="BS46" s="150"/>
      <c r="BT46" s="130">
        <v>6</v>
      </c>
      <c r="BU46" s="131">
        <f t="shared" si="4"/>
        <v>0</v>
      </c>
      <c r="BV46" s="149"/>
      <c r="BW46" s="150"/>
      <c r="BX46" s="150"/>
      <c r="BY46" s="134">
        <v>8.4</v>
      </c>
      <c r="BZ46" s="150"/>
      <c r="CA46" s="134">
        <v>8.4</v>
      </c>
      <c r="CB46" s="150"/>
      <c r="CC46" s="130">
        <v>6</v>
      </c>
      <c r="CD46" s="131">
        <f t="shared" si="5"/>
        <v>0</v>
      </c>
      <c r="CE46" s="149"/>
      <c r="CF46" s="150"/>
      <c r="CG46" s="150"/>
      <c r="CH46" s="134">
        <v>8.4</v>
      </c>
      <c r="CI46" s="150"/>
      <c r="CJ46" s="134">
        <v>8.4</v>
      </c>
      <c r="CK46" s="150"/>
      <c r="CL46" s="130">
        <v>6</v>
      </c>
      <c r="CM46" s="136">
        <f t="shared" si="6"/>
        <v>0</v>
      </c>
      <c r="CN46" s="149"/>
      <c r="CO46" s="150"/>
      <c r="CP46" s="150"/>
      <c r="CQ46" s="134">
        <v>8.4</v>
      </c>
      <c r="CR46" s="150"/>
      <c r="CS46" s="134">
        <v>8.4</v>
      </c>
      <c r="CT46" s="150"/>
      <c r="CU46" s="130">
        <v>6</v>
      </c>
      <c r="CV46" s="131">
        <f t="shared" si="7"/>
        <v>0</v>
      </c>
      <c r="CW46" s="149"/>
      <c r="CX46" s="150"/>
      <c r="CY46" s="150"/>
      <c r="CZ46" s="134">
        <v>8.4</v>
      </c>
      <c r="DA46" s="150"/>
      <c r="DB46" s="134">
        <v>8.4</v>
      </c>
      <c r="DC46" s="150"/>
      <c r="DD46" s="130">
        <v>6</v>
      </c>
      <c r="DE46" s="131">
        <f t="shared" si="8"/>
        <v>0</v>
      </c>
      <c r="DF46" s="149"/>
      <c r="DG46" s="150"/>
      <c r="DH46" s="150"/>
      <c r="DI46" s="134">
        <v>8.4</v>
      </c>
      <c r="DJ46" s="150"/>
      <c r="DK46" s="134">
        <v>8.4</v>
      </c>
      <c r="DL46" s="150"/>
      <c r="DM46" s="130">
        <v>6</v>
      </c>
      <c r="DN46" s="131">
        <f t="shared" si="9"/>
        <v>0</v>
      </c>
      <c r="DO46" s="149"/>
      <c r="DP46" s="150"/>
      <c r="DQ46" s="150"/>
      <c r="DR46" s="134">
        <v>8.4</v>
      </c>
      <c r="DS46" s="150"/>
      <c r="DT46" s="134">
        <v>8.4</v>
      </c>
      <c r="DU46" s="150"/>
      <c r="DV46" s="130">
        <v>6</v>
      </c>
      <c r="DW46" s="137">
        <f t="shared" si="10"/>
        <v>0</v>
      </c>
      <c r="DX46" s="151"/>
      <c r="DY46" s="134">
        <f t="shared" si="11"/>
        <v>0</v>
      </c>
      <c r="DZ46" s="134">
        <f t="shared" si="12"/>
        <v>0</v>
      </c>
      <c r="EA46" s="134">
        <f t="shared" si="13"/>
        <v>0</v>
      </c>
      <c r="EB46" s="151"/>
      <c r="ED46" s="1"/>
      <c r="EE46" s="1"/>
      <c r="EF46" s="1"/>
    </row>
    <row r="47" spans="1:136" x14ac:dyDescent="0.25">
      <c r="A47" s="12"/>
      <c r="B47" s="12"/>
      <c r="C47" s="12"/>
      <c r="D47" s="143"/>
      <c r="E47" s="120"/>
      <c r="F47" s="121"/>
      <c r="G47" s="121"/>
      <c r="H47" s="155"/>
      <c r="I47" s="155"/>
      <c r="J47" s="155"/>
      <c r="K47" s="155"/>
      <c r="L47" s="155"/>
      <c r="M47" s="155"/>
      <c r="N47" s="155"/>
      <c r="O47" s="155"/>
      <c r="P47" s="156"/>
      <c r="Q47" s="144"/>
      <c r="R47" s="145"/>
      <c r="S47" s="146"/>
      <c r="T47" s="147"/>
      <c r="U47" s="148"/>
      <c r="V47" s="148"/>
      <c r="W47" s="128">
        <v>8.4</v>
      </c>
      <c r="X47" s="148"/>
      <c r="Y47" s="128">
        <v>8.4</v>
      </c>
      <c r="Z47" s="148"/>
      <c r="AA47" s="130">
        <v>6</v>
      </c>
      <c r="AB47" s="131">
        <f t="shared" si="0"/>
        <v>0</v>
      </c>
      <c r="AC47" s="147"/>
      <c r="AD47" s="148"/>
      <c r="AE47" s="148"/>
      <c r="AF47" s="128">
        <v>8.4</v>
      </c>
      <c r="AG47" s="148"/>
      <c r="AH47" s="128">
        <v>8.4</v>
      </c>
      <c r="AI47" s="148"/>
      <c r="AJ47" s="130">
        <v>6</v>
      </c>
      <c r="AK47" s="131">
        <f t="shared" si="14"/>
        <v>0</v>
      </c>
      <c r="AL47" s="147"/>
      <c r="AM47" s="148"/>
      <c r="AN47" s="148"/>
      <c r="AO47" s="128">
        <v>8.4</v>
      </c>
      <c r="AP47" s="148"/>
      <c r="AQ47" s="128">
        <v>8.4</v>
      </c>
      <c r="AR47" s="148"/>
      <c r="AS47" s="130">
        <v>6</v>
      </c>
      <c r="AT47" s="131">
        <f t="shared" si="1"/>
        <v>0</v>
      </c>
      <c r="AU47" s="149"/>
      <c r="AV47" s="150"/>
      <c r="AW47" s="150"/>
      <c r="AX47" s="134">
        <v>8.4</v>
      </c>
      <c r="AY47" s="150"/>
      <c r="AZ47" s="134">
        <v>8.4</v>
      </c>
      <c r="BA47" s="150"/>
      <c r="BB47" s="130">
        <v>6</v>
      </c>
      <c r="BC47" s="131">
        <f t="shared" si="2"/>
        <v>0</v>
      </c>
      <c r="BD47" s="149"/>
      <c r="BE47" s="150"/>
      <c r="BF47" s="150"/>
      <c r="BG47" s="134">
        <v>8.4</v>
      </c>
      <c r="BH47" s="150"/>
      <c r="BI47" s="134">
        <v>8.4</v>
      </c>
      <c r="BJ47" s="150"/>
      <c r="BK47" s="130">
        <v>6</v>
      </c>
      <c r="BL47" s="131">
        <f t="shared" si="3"/>
        <v>0</v>
      </c>
      <c r="BM47" s="149"/>
      <c r="BN47" s="150"/>
      <c r="BO47" s="150"/>
      <c r="BP47" s="134">
        <v>8.4</v>
      </c>
      <c r="BQ47" s="150"/>
      <c r="BR47" s="134">
        <v>8.4</v>
      </c>
      <c r="BS47" s="150"/>
      <c r="BT47" s="130">
        <v>6</v>
      </c>
      <c r="BU47" s="131">
        <f t="shared" si="4"/>
        <v>0</v>
      </c>
      <c r="BV47" s="149"/>
      <c r="BW47" s="150"/>
      <c r="BX47" s="150"/>
      <c r="BY47" s="134">
        <v>8.4</v>
      </c>
      <c r="BZ47" s="150"/>
      <c r="CA47" s="134">
        <v>8.4</v>
      </c>
      <c r="CB47" s="150"/>
      <c r="CC47" s="130">
        <v>6</v>
      </c>
      <c r="CD47" s="131">
        <f t="shared" si="5"/>
        <v>0</v>
      </c>
      <c r="CE47" s="149"/>
      <c r="CF47" s="150"/>
      <c r="CG47" s="150"/>
      <c r="CH47" s="134">
        <v>8.4</v>
      </c>
      <c r="CI47" s="150"/>
      <c r="CJ47" s="134">
        <v>8.4</v>
      </c>
      <c r="CK47" s="150"/>
      <c r="CL47" s="130">
        <v>6</v>
      </c>
      <c r="CM47" s="136">
        <f t="shared" si="6"/>
        <v>0</v>
      </c>
      <c r="CN47" s="149"/>
      <c r="CO47" s="150"/>
      <c r="CP47" s="150"/>
      <c r="CQ47" s="134">
        <v>8.4</v>
      </c>
      <c r="CR47" s="150"/>
      <c r="CS47" s="134">
        <v>8.4</v>
      </c>
      <c r="CT47" s="150"/>
      <c r="CU47" s="130">
        <v>6</v>
      </c>
      <c r="CV47" s="131">
        <f t="shared" si="7"/>
        <v>0</v>
      </c>
      <c r="CW47" s="149"/>
      <c r="CX47" s="150"/>
      <c r="CY47" s="150"/>
      <c r="CZ47" s="134">
        <v>8.4</v>
      </c>
      <c r="DA47" s="150"/>
      <c r="DB47" s="134">
        <v>8.4</v>
      </c>
      <c r="DC47" s="150"/>
      <c r="DD47" s="130">
        <v>6</v>
      </c>
      <c r="DE47" s="131">
        <f t="shared" si="8"/>
        <v>0</v>
      </c>
      <c r="DF47" s="149"/>
      <c r="DG47" s="150"/>
      <c r="DH47" s="150"/>
      <c r="DI47" s="134">
        <v>8.4</v>
      </c>
      <c r="DJ47" s="150"/>
      <c r="DK47" s="134">
        <v>8.4</v>
      </c>
      <c r="DL47" s="150"/>
      <c r="DM47" s="130">
        <v>6</v>
      </c>
      <c r="DN47" s="131">
        <f t="shared" si="9"/>
        <v>0</v>
      </c>
      <c r="DO47" s="149"/>
      <c r="DP47" s="150"/>
      <c r="DQ47" s="150"/>
      <c r="DR47" s="134">
        <v>8.4</v>
      </c>
      <c r="DS47" s="150"/>
      <c r="DT47" s="134">
        <v>8.4</v>
      </c>
      <c r="DU47" s="150"/>
      <c r="DV47" s="130">
        <v>6</v>
      </c>
      <c r="DW47" s="137">
        <f t="shared" si="10"/>
        <v>0</v>
      </c>
      <c r="DX47" s="151"/>
      <c r="DY47" s="134">
        <f t="shared" si="11"/>
        <v>0</v>
      </c>
      <c r="DZ47" s="134">
        <f t="shared" si="12"/>
        <v>0</v>
      </c>
      <c r="EA47" s="134">
        <f t="shared" si="13"/>
        <v>0</v>
      </c>
      <c r="EB47" s="151"/>
      <c r="ED47" s="1"/>
      <c r="EE47" s="1"/>
      <c r="EF47" s="1"/>
    </row>
    <row r="48" spans="1:136" s="161" customFormat="1" ht="8.25" x14ac:dyDescent="0.15">
      <c r="A48" s="157" t="s">
        <v>347</v>
      </c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8">
        <f>SUM(T12:T47)</f>
        <v>160.22999999999999</v>
      </c>
      <c r="U48" s="158">
        <f>SUM(U12:U47)</f>
        <v>8.4</v>
      </c>
      <c r="V48" s="158">
        <f>SUM(V13:V47)</f>
        <v>5</v>
      </c>
      <c r="W48" s="158"/>
      <c r="X48" s="158">
        <f>SUM(X13:X47)</f>
        <v>1</v>
      </c>
      <c r="Y48" s="158"/>
      <c r="Z48" s="158">
        <f>SUM(Z13:Z47)</f>
        <v>0</v>
      </c>
      <c r="AA48" s="158"/>
      <c r="AB48" s="158">
        <f>SUM(AB12:AB47)</f>
        <v>219.03</v>
      </c>
      <c r="AC48" s="158">
        <f>SUM(AC12:AC47)</f>
        <v>0</v>
      </c>
      <c r="AD48" s="158">
        <f>SUM(AD12:AD47)</f>
        <v>0</v>
      </c>
      <c r="AE48" s="158">
        <f>SUM(AE13:AE47)</f>
        <v>0</v>
      </c>
      <c r="AF48" s="158"/>
      <c r="AG48" s="158">
        <f>SUM(AG13:AG47)</f>
        <v>0</v>
      </c>
      <c r="AH48" s="158"/>
      <c r="AI48" s="158">
        <f>SUM(AI13:AI47)</f>
        <v>0</v>
      </c>
      <c r="AJ48" s="158"/>
      <c r="AK48" s="158">
        <f>SUM(AK12:AK47)</f>
        <v>219.03</v>
      </c>
      <c r="AL48" s="158">
        <f>SUM(AL12:AL47)</f>
        <v>0</v>
      </c>
      <c r="AM48" s="158">
        <f>SUM(AM12:AM47)</f>
        <v>0</v>
      </c>
      <c r="AN48" s="158">
        <f>SUM(AN13:AN47)</f>
        <v>0</v>
      </c>
      <c r="AO48" s="158"/>
      <c r="AP48" s="158">
        <f>SUM(AP13:AP47)</f>
        <v>0</v>
      </c>
      <c r="AQ48" s="158"/>
      <c r="AR48" s="158">
        <f>SUM(AR13:AR47)</f>
        <v>0</v>
      </c>
      <c r="AS48" s="158"/>
      <c r="AT48" s="158">
        <f>SUM(AT12:AT47)</f>
        <v>219.03</v>
      </c>
      <c r="AU48" s="159">
        <f>SUM(AU12:AU47)</f>
        <v>0</v>
      </c>
      <c r="AV48" s="159">
        <f>SUM(AV12:AV47)</f>
        <v>0</v>
      </c>
      <c r="AW48" s="159">
        <f>SUM(AW13:AW47)</f>
        <v>0</v>
      </c>
      <c r="AX48" s="158"/>
      <c r="AY48" s="158">
        <f>SUM(AY13:AY47)</f>
        <v>0</v>
      </c>
      <c r="AZ48" s="158"/>
      <c r="BA48" s="158">
        <f>SUM(BA13:BA47)</f>
        <v>0</v>
      </c>
      <c r="BB48" s="158"/>
      <c r="BC48" s="158">
        <f>SUM(BC12:BC47)</f>
        <v>219.03</v>
      </c>
      <c r="BD48" s="158">
        <f>SUM(BD12:BD47)</f>
        <v>0</v>
      </c>
      <c r="BE48" s="158">
        <f>SUM(BE12:BE47)</f>
        <v>0</v>
      </c>
      <c r="BF48" s="158">
        <f>SUM(BF13:BF47)</f>
        <v>0</v>
      </c>
      <c r="BG48" s="158"/>
      <c r="BH48" s="158">
        <f>SUM(BH13:BH47)</f>
        <v>0</v>
      </c>
      <c r="BI48" s="158"/>
      <c r="BJ48" s="158">
        <f>SUM(BJ13:BJ47)</f>
        <v>0</v>
      </c>
      <c r="BK48" s="158"/>
      <c r="BL48" s="158">
        <f>SUM(BL12:BL47)</f>
        <v>219.03</v>
      </c>
      <c r="BM48" s="158">
        <f>SUM(BM12:BM47)</f>
        <v>0</v>
      </c>
      <c r="BN48" s="158">
        <f>SUM(BN12:BN47)</f>
        <v>0</v>
      </c>
      <c r="BO48" s="158">
        <f>SUM(BO13:BO47)</f>
        <v>0</v>
      </c>
      <c r="BP48" s="158"/>
      <c r="BQ48" s="158">
        <f>SUM(BQ13:BQ47)</f>
        <v>0</v>
      </c>
      <c r="BR48" s="158"/>
      <c r="BS48" s="158">
        <f>SUM(BS13:BS47)</f>
        <v>0</v>
      </c>
      <c r="BT48" s="158"/>
      <c r="BU48" s="158">
        <f>SUM(BU12:BU47)</f>
        <v>219.03</v>
      </c>
      <c r="BV48" s="158">
        <f>SUM(BV12:BV47)</f>
        <v>0</v>
      </c>
      <c r="BW48" s="158">
        <f>SUM(BW12:BW47)</f>
        <v>0</v>
      </c>
      <c r="BX48" s="158">
        <f>SUM(BX13:BX47)</f>
        <v>0</v>
      </c>
      <c r="BY48" s="158"/>
      <c r="BZ48" s="158">
        <f>SUM(BZ13:BZ47)</f>
        <v>0</v>
      </c>
      <c r="CA48" s="158"/>
      <c r="CB48" s="158">
        <f>SUM(CB13:CB47)</f>
        <v>0</v>
      </c>
      <c r="CC48" s="158"/>
      <c r="CD48" s="158">
        <f>SUM(CD12:CD47)</f>
        <v>219.03</v>
      </c>
      <c r="CE48" s="158">
        <f>SUM(CE12:CE47)</f>
        <v>0</v>
      </c>
      <c r="CF48" s="158">
        <f>SUM(CF12:CF47)</f>
        <v>0</v>
      </c>
      <c r="CG48" s="158">
        <f>SUM(CG13:CG47)</f>
        <v>0</v>
      </c>
      <c r="CH48" s="158"/>
      <c r="CI48" s="158">
        <f>SUM(CI13:CI47)</f>
        <v>0</v>
      </c>
      <c r="CJ48" s="158"/>
      <c r="CK48" s="158">
        <f>SUM(CK13:CK47)</f>
        <v>0</v>
      </c>
      <c r="CL48" s="158"/>
      <c r="CM48" s="158">
        <f>SUM(CM12:CM47)</f>
        <v>379.26</v>
      </c>
      <c r="CN48" s="158">
        <f>SUM(CN12:CN47)</f>
        <v>0</v>
      </c>
      <c r="CO48" s="158">
        <f>SUM(CO12:CO47)</f>
        <v>0</v>
      </c>
      <c r="CP48" s="158">
        <f>SUM(CP13:CP47)</f>
        <v>0</v>
      </c>
      <c r="CQ48" s="158"/>
      <c r="CR48" s="158">
        <f>SUM(CR13:CR47)</f>
        <v>0</v>
      </c>
      <c r="CS48" s="158"/>
      <c r="CT48" s="158">
        <f>SUM(CT13:CT47)</f>
        <v>0</v>
      </c>
      <c r="CU48" s="158"/>
      <c r="CV48" s="158">
        <f>SUM(CV12:CV47)</f>
        <v>379.26</v>
      </c>
      <c r="CW48" s="158">
        <f>SUM(CW12:CW47)</f>
        <v>0</v>
      </c>
      <c r="CX48" s="158">
        <f>SUM(CX12:CX47)</f>
        <v>0</v>
      </c>
      <c r="CY48" s="158">
        <f>SUM(CY13:CY47)</f>
        <v>0</v>
      </c>
      <c r="CZ48" s="158"/>
      <c r="DA48" s="158">
        <f>SUM(DA13:DA47)</f>
        <v>0</v>
      </c>
      <c r="DB48" s="158"/>
      <c r="DC48" s="158">
        <f>SUM(DC13:DC47)</f>
        <v>0</v>
      </c>
      <c r="DD48" s="158"/>
      <c r="DE48" s="158">
        <f>SUM(DE12:DE47)</f>
        <v>379.26</v>
      </c>
      <c r="DF48" s="158">
        <f>SUM(DF12:DF47)</f>
        <v>0</v>
      </c>
      <c r="DG48" s="158">
        <f>SUM(DG12:DG47)</f>
        <v>0</v>
      </c>
      <c r="DH48" s="158">
        <f>SUM(DH13:DH47)</f>
        <v>0</v>
      </c>
      <c r="DI48" s="158"/>
      <c r="DJ48" s="158">
        <f>SUM(DJ13:DJ47)</f>
        <v>0</v>
      </c>
      <c r="DK48" s="158"/>
      <c r="DL48" s="158">
        <f>SUM(DL13:DL47)</f>
        <v>0</v>
      </c>
      <c r="DM48" s="158"/>
      <c r="DN48" s="158">
        <f>SUM(DN12:DN47)</f>
        <v>379.26</v>
      </c>
      <c r="DO48" s="158">
        <f>SUM(DO12:DO47)</f>
        <v>0</v>
      </c>
      <c r="DP48" s="158">
        <f>SUM(DP12:DP47)</f>
        <v>0</v>
      </c>
      <c r="DQ48" s="158">
        <f>SUM(DQ13:DQ47)</f>
        <v>0</v>
      </c>
      <c r="DR48" s="158"/>
      <c r="DS48" s="158">
        <f>SUM(DS13:DS47)</f>
        <v>0</v>
      </c>
      <c r="DT48" s="158"/>
      <c r="DU48" s="158">
        <f>SUM(DU13:DU47)</f>
        <v>0</v>
      </c>
      <c r="DV48" s="158"/>
      <c r="DW48" s="160">
        <f>SUM(DW12:DW47)</f>
        <v>379.26</v>
      </c>
      <c r="DY48" s="162"/>
      <c r="DZ48" s="157"/>
      <c r="EA48" s="163"/>
      <c r="ED48" s="164"/>
      <c r="EE48" s="164"/>
      <c r="EF48" s="164"/>
    </row>
    <row r="49" spans="1:13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65"/>
      <c r="AB49" s="1"/>
      <c r="AC49" s="1"/>
      <c r="AD49" s="1"/>
      <c r="AE49" s="1"/>
      <c r="AF49" s="1"/>
      <c r="AG49" s="1"/>
      <c r="AH49" s="1"/>
      <c r="AI49" s="1"/>
      <c r="AJ49" s="165"/>
      <c r="AK49" s="1"/>
      <c r="AL49" s="1"/>
      <c r="AM49" s="1"/>
      <c r="AN49" s="1"/>
      <c r="AO49" s="1"/>
      <c r="AP49" s="1"/>
      <c r="AQ49" s="1"/>
      <c r="AR49" s="1"/>
      <c r="AS49" s="165"/>
      <c r="AT49" s="1"/>
      <c r="AU49" s="1"/>
      <c r="AV49" s="1"/>
      <c r="AW49" s="1"/>
      <c r="AX49" s="1"/>
      <c r="AY49" s="1"/>
      <c r="AZ49" s="1"/>
      <c r="BA49" s="1"/>
      <c r="BB49" s="165"/>
      <c r="BC49" s="1"/>
      <c r="BD49" s="1"/>
      <c r="BE49" s="1"/>
      <c r="BF49" s="1"/>
      <c r="BG49" s="1"/>
      <c r="BH49" s="1"/>
      <c r="BI49" s="1"/>
      <c r="BJ49" s="1"/>
      <c r="BK49" s="165"/>
      <c r="BL49" s="1"/>
      <c r="BM49" s="1"/>
      <c r="BN49" s="1"/>
      <c r="BO49" s="1"/>
      <c r="BP49" s="1"/>
      <c r="BQ49" s="1"/>
      <c r="BR49" s="1"/>
      <c r="BS49" s="1"/>
      <c r="BT49" s="165"/>
      <c r="BU49" s="1"/>
      <c r="BV49" s="1"/>
      <c r="BW49" s="1"/>
      <c r="BX49" s="1"/>
      <c r="BY49" s="1"/>
      <c r="BZ49" s="1"/>
      <c r="CA49" s="1"/>
      <c r="CB49" s="1"/>
      <c r="CC49" s="165"/>
      <c r="CD49" s="1"/>
      <c r="CE49" s="1"/>
      <c r="CF49" s="1"/>
      <c r="CG49" s="1"/>
      <c r="CH49" s="1"/>
      <c r="CI49" s="1"/>
      <c r="CJ49" s="1"/>
      <c r="CK49" s="1"/>
      <c r="CL49" s="165"/>
      <c r="CM49" s="1"/>
      <c r="CN49" s="1"/>
      <c r="CO49" s="1"/>
      <c r="CP49" s="1"/>
      <c r="CQ49" s="1"/>
      <c r="CR49" s="1"/>
      <c r="CS49" s="1"/>
      <c r="CT49" s="1"/>
      <c r="CU49" s="165"/>
      <c r="CV49" s="1"/>
      <c r="CW49" s="1"/>
      <c r="CX49" s="1"/>
      <c r="CY49" s="1"/>
      <c r="CZ49" s="1"/>
      <c r="DA49" s="1"/>
      <c r="DB49" s="1"/>
      <c r="DC49" s="1"/>
      <c r="DD49" s="165"/>
      <c r="DE49" s="1"/>
      <c r="DF49" s="1"/>
      <c r="DG49" s="1"/>
      <c r="DH49" s="1"/>
      <c r="DI49" s="1"/>
      <c r="DJ49" s="1"/>
      <c r="DK49" s="1"/>
      <c r="DL49" s="1"/>
      <c r="DM49" s="165"/>
      <c r="DN49" s="1"/>
      <c r="DO49" s="1"/>
      <c r="DP49" s="1"/>
      <c r="DQ49" s="1"/>
      <c r="DR49" s="1"/>
      <c r="DS49" s="1"/>
      <c r="DT49" s="1"/>
      <c r="DU49" s="1"/>
      <c r="DV49" s="165"/>
      <c r="DW49" s="1"/>
      <c r="DX49" s="1"/>
      <c r="DY49" s="1"/>
      <c r="DZ49" s="1"/>
      <c r="EA49" s="1"/>
      <c r="EB49" s="1"/>
      <c r="EC49" s="1"/>
      <c r="ED49" s="1"/>
      <c r="EE49" s="1"/>
      <c r="EF49" s="1"/>
    </row>
    <row r="51" spans="1:136" x14ac:dyDescent="0.25">
      <c r="A51" s="1"/>
      <c r="B51" s="1"/>
      <c r="C51" s="1"/>
    </row>
    <row r="52" spans="1:136" x14ac:dyDescent="0.25">
      <c r="A52" s="1"/>
      <c r="B52" s="1"/>
      <c r="C52" s="1"/>
    </row>
    <row r="53" spans="1:136" x14ac:dyDescent="0.25">
      <c r="A53" s="1"/>
      <c r="B53" s="1"/>
      <c r="C53" s="1"/>
    </row>
    <row r="54" spans="1:136" x14ac:dyDescent="0.25">
      <c r="A54" s="1"/>
      <c r="B54" s="1"/>
      <c r="C54" s="1"/>
    </row>
    <row r="55" spans="1:136" x14ac:dyDescent="0.25">
      <c r="A55" s="1"/>
      <c r="B55" s="1"/>
      <c r="C55" s="1"/>
    </row>
    <row r="56" spans="1:136" x14ac:dyDescent="0.25">
      <c r="A56" s="1"/>
      <c r="B56" s="1"/>
      <c r="C56" s="1"/>
    </row>
    <row r="57" spans="1:136" x14ac:dyDescent="0.25">
      <c r="A57" s="1"/>
      <c r="B57" s="1"/>
      <c r="C57" s="1"/>
    </row>
    <row r="58" spans="1:136" x14ac:dyDescent="0.25">
      <c r="A58" s="1"/>
      <c r="B58" s="1"/>
      <c r="C58" s="1"/>
    </row>
    <row r="59" spans="1:136" x14ac:dyDescent="0.25">
      <c r="A59" s="1"/>
      <c r="B59" s="1"/>
      <c r="C59" s="1"/>
    </row>
    <row r="60" spans="1:136" x14ac:dyDescent="0.25">
      <c r="A60" s="1"/>
      <c r="B60" s="1"/>
      <c r="C60" s="1"/>
    </row>
    <row r="61" spans="1:136" x14ac:dyDescent="0.25">
      <c r="A61" s="1"/>
      <c r="B61" s="1"/>
      <c r="C61" s="1"/>
    </row>
    <row r="62" spans="1:136" x14ac:dyDescent="0.25">
      <c r="A62" s="1"/>
      <c r="B62" s="1"/>
      <c r="C62" s="1"/>
    </row>
    <row r="63" spans="1:136" x14ac:dyDescent="0.25">
      <c r="A63" s="1"/>
      <c r="B63" s="1"/>
      <c r="C63" s="1"/>
    </row>
    <row r="64" spans="1:136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</sheetData>
  <mergeCells count="102">
    <mergeCell ref="DS8:DS11"/>
    <mergeCell ref="DU8:DU11"/>
    <mergeCell ref="DW8:DW11"/>
    <mergeCell ref="DY8:DY11"/>
    <mergeCell ref="DZ8:DZ11"/>
    <mergeCell ref="EA8:EA11"/>
    <mergeCell ref="DF8:DF11"/>
    <mergeCell ref="DG8:DG11"/>
    <mergeCell ref="DH8:DH11"/>
    <mergeCell ref="DJ8:DJ11"/>
    <mergeCell ref="DL8:DL11"/>
    <mergeCell ref="DN8:DN11"/>
    <mergeCell ref="DO8:DO11"/>
    <mergeCell ref="DP8:DP11"/>
    <mergeCell ref="DQ8:DQ11"/>
    <mergeCell ref="CR8:CR11"/>
    <mergeCell ref="CT8:CT11"/>
    <mergeCell ref="CV8:CV11"/>
    <mergeCell ref="CW8:CW11"/>
    <mergeCell ref="CX8:CX11"/>
    <mergeCell ref="CY8:CY11"/>
    <mergeCell ref="DA8:DA11"/>
    <mergeCell ref="DC8:DC11"/>
    <mergeCell ref="DE8:DE11"/>
    <mergeCell ref="CE8:CE11"/>
    <mergeCell ref="CF8:CF11"/>
    <mergeCell ref="CG8:CG11"/>
    <mergeCell ref="CI8:CI11"/>
    <mergeCell ref="CK8:CK11"/>
    <mergeCell ref="CM8:CM11"/>
    <mergeCell ref="CN8:CN11"/>
    <mergeCell ref="CO8:CO11"/>
    <mergeCell ref="CP8:CP11"/>
    <mergeCell ref="BQ8:BQ11"/>
    <mergeCell ref="BS8:BS11"/>
    <mergeCell ref="BU8:BU11"/>
    <mergeCell ref="BV8:BV11"/>
    <mergeCell ref="BW8:BW11"/>
    <mergeCell ref="BX8:BX11"/>
    <mergeCell ref="BZ8:BZ11"/>
    <mergeCell ref="CB8:CB11"/>
    <mergeCell ref="CD8:CD11"/>
    <mergeCell ref="BD8:BD11"/>
    <mergeCell ref="BE8:BE11"/>
    <mergeCell ref="BF8:BF11"/>
    <mergeCell ref="BH8:BH11"/>
    <mergeCell ref="BJ8:BJ11"/>
    <mergeCell ref="BL8:BL11"/>
    <mergeCell ref="BM8:BM11"/>
    <mergeCell ref="BN8:BN11"/>
    <mergeCell ref="BO8:BO11"/>
    <mergeCell ref="AP8:AP11"/>
    <mergeCell ref="AR8:AR11"/>
    <mergeCell ref="AT8:AT11"/>
    <mergeCell ref="AU8:AU11"/>
    <mergeCell ref="AV8:AV11"/>
    <mergeCell ref="AW8:AW11"/>
    <mergeCell ref="AY8:AY11"/>
    <mergeCell ref="BA8:BA11"/>
    <mergeCell ref="BC8:BC11"/>
    <mergeCell ref="AC8:AC11"/>
    <mergeCell ref="AD8:AD11"/>
    <mergeCell ref="AE8:AE11"/>
    <mergeCell ref="AG8:AG11"/>
    <mergeCell ref="AI8:AI11"/>
    <mergeCell ref="AK8:AK11"/>
    <mergeCell ref="AL8:AL11"/>
    <mergeCell ref="AM8:AM11"/>
    <mergeCell ref="AN8:AN11"/>
    <mergeCell ref="Q8:Q11"/>
    <mergeCell ref="R8:R11"/>
    <mergeCell ref="S8:S11"/>
    <mergeCell ref="T8:T11"/>
    <mergeCell ref="U8:U11"/>
    <mergeCell ref="V8:V11"/>
    <mergeCell ref="X8:X11"/>
    <mergeCell ref="Z8:Z11"/>
    <mergeCell ref="AB8:AB11"/>
    <mergeCell ref="A7:D7"/>
    <mergeCell ref="E7:P7"/>
    <mergeCell ref="A8:D10"/>
    <mergeCell ref="E8:E11"/>
    <mergeCell ref="F8:F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A1:D1"/>
    <mergeCell ref="E1:EC3"/>
    <mergeCell ref="A2:D2"/>
    <mergeCell ref="A3:C3"/>
    <mergeCell ref="A4:D4"/>
    <mergeCell ref="E4:K4"/>
    <mergeCell ref="A5:D5"/>
    <mergeCell ref="E5:S5"/>
    <mergeCell ref="A6:D6"/>
  </mergeCells>
  <conditionalFormatting sqref="AA13:AA47 AJ13:AJ47 AS13:AS47 BB13:BB47 BK13:BK47 BT13:BT47 CC13:CC47 CL13:CL47 CU13:CU47 DD13:DD47 DM13:DM47 DV13:DV47">
    <cfRule type="cellIs" dxfId="2" priority="2" operator="equal">
      <formula>"1. / Zellwert ist gleich 10"</formula>
    </cfRule>
    <cfRule type="cellIs" dxfId="1" priority="3" operator="equal">
      <formula>8.5</formula>
    </cfRule>
    <cfRule type="cellIs" dxfId="0" priority="4" operator="equal">
      <formula>"1=8.5"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30"/>
  <sheetViews>
    <sheetView zoomScaleNormal="100" workbookViewId="0"/>
  </sheetViews>
  <sheetFormatPr baseColWidth="10" defaultColWidth="8.85546875" defaultRowHeight="15" x14ac:dyDescent="0.25"/>
  <cols>
    <col min="1" max="1" width="12.7109375" style="1" customWidth="1"/>
    <col min="2" max="2" width="11.28515625" style="1" customWidth="1"/>
    <col min="3" max="3" width="12" style="1" customWidth="1"/>
    <col min="4" max="1025" width="11.28515625" style="1" customWidth="1"/>
  </cols>
  <sheetData>
    <row r="1" spans="1:16" ht="21" x14ac:dyDescent="0.35">
      <c r="A1" s="562" t="s">
        <v>348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</row>
    <row r="2" spans="1:16" ht="21" x14ac:dyDescent="0.35">
      <c r="A2" s="562" t="e">
        <f>#REF!</f>
        <v>#REF!</v>
      </c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</row>
    <row r="3" spans="1:16" x14ac:dyDescent="0.25">
      <c r="A3" s="166" t="s">
        <v>3</v>
      </c>
      <c r="B3" s="167" t="s">
        <v>349</v>
      </c>
      <c r="C3" s="168" t="s">
        <v>350</v>
      </c>
      <c r="D3" s="167" t="s">
        <v>351</v>
      </c>
      <c r="E3" s="168" t="s">
        <v>352</v>
      </c>
      <c r="F3" s="169" t="s">
        <v>353</v>
      </c>
      <c r="G3" s="170" t="s">
        <v>354</v>
      </c>
      <c r="H3" s="167" t="s">
        <v>355</v>
      </c>
      <c r="I3" s="168" t="s">
        <v>356</v>
      </c>
      <c r="J3" s="169" t="s">
        <v>357</v>
      </c>
      <c r="K3" s="170" t="s">
        <v>358</v>
      </c>
      <c r="L3" s="167" t="s">
        <v>359</v>
      </c>
      <c r="M3" s="168" t="s">
        <v>360</v>
      </c>
      <c r="N3" s="169" t="s">
        <v>361</v>
      </c>
      <c r="O3" s="170" t="s">
        <v>362</v>
      </c>
      <c r="P3" s="171" t="s">
        <v>268</v>
      </c>
    </row>
    <row r="4" spans="1:16" x14ac:dyDescent="0.25">
      <c r="A4" s="172"/>
      <c r="B4" s="173"/>
      <c r="C4" s="174">
        <f>B4*B3</f>
        <v>0</v>
      </c>
      <c r="D4" s="173"/>
      <c r="E4" s="174">
        <f>D4*D3</f>
        <v>0</v>
      </c>
      <c r="F4" s="175"/>
      <c r="G4" s="176">
        <f>F4*F3</f>
        <v>0</v>
      </c>
      <c r="H4" s="173"/>
      <c r="I4" s="174">
        <f>H4*H3</f>
        <v>0</v>
      </c>
      <c r="J4" s="175"/>
      <c r="K4" s="176">
        <f>J4*J3</f>
        <v>0</v>
      </c>
      <c r="L4" s="173"/>
      <c r="M4" s="174">
        <f>L4*L3</f>
        <v>0</v>
      </c>
      <c r="N4" s="175"/>
      <c r="O4" s="176">
        <f>N4*N3</f>
        <v>0</v>
      </c>
      <c r="P4" s="177">
        <f t="shared" ref="P4:P29" si="0">C4+E4+G4+I4+K4+M4+O4</f>
        <v>0</v>
      </c>
    </row>
    <row r="5" spans="1:16" x14ac:dyDescent="0.25">
      <c r="A5" s="178"/>
      <c r="B5" s="179"/>
      <c r="C5" s="180">
        <f>B5*B3</f>
        <v>0</v>
      </c>
      <c r="D5" s="179"/>
      <c r="E5" s="180">
        <f>D5*D3</f>
        <v>0</v>
      </c>
      <c r="F5" s="181"/>
      <c r="G5" s="182">
        <f>F5*F3</f>
        <v>0</v>
      </c>
      <c r="H5" s="179"/>
      <c r="I5" s="180">
        <f>H5*H3</f>
        <v>0</v>
      </c>
      <c r="J5" s="181"/>
      <c r="K5" s="182">
        <f>J5*J3</f>
        <v>0</v>
      </c>
      <c r="L5" s="179"/>
      <c r="M5" s="180">
        <f>L5*L3</f>
        <v>0</v>
      </c>
      <c r="N5" s="181"/>
      <c r="O5" s="182">
        <f>N5*N3</f>
        <v>0</v>
      </c>
      <c r="P5" s="183">
        <f t="shared" si="0"/>
        <v>0</v>
      </c>
    </row>
    <row r="6" spans="1:16" x14ac:dyDescent="0.25">
      <c r="A6" s="178"/>
      <c r="B6" s="179"/>
      <c r="C6" s="180">
        <f>B6*B3</f>
        <v>0</v>
      </c>
      <c r="D6" s="179"/>
      <c r="E6" s="180">
        <f>D6*D3</f>
        <v>0</v>
      </c>
      <c r="F6" s="181"/>
      <c r="G6" s="182">
        <f>F6*F3</f>
        <v>0</v>
      </c>
      <c r="H6" s="179"/>
      <c r="I6" s="180">
        <f>H6*H3</f>
        <v>0</v>
      </c>
      <c r="J6" s="181"/>
      <c r="K6" s="182">
        <f>J6*J3</f>
        <v>0</v>
      </c>
      <c r="L6" s="179"/>
      <c r="M6" s="180">
        <f>L6*L3</f>
        <v>0</v>
      </c>
      <c r="N6" s="181"/>
      <c r="O6" s="182">
        <f>N6*N3</f>
        <v>0</v>
      </c>
      <c r="P6" s="183">
        <f t="shared" si="0"/>
        <v>0</v>
      </c>
    </row>
    <row r="7" spans="1:16" x14ac:dyDescent="0.25">
      <c r="A7" s="178"/>
      <c r="B7" s="179"/>
      <c r="C7" s="180">
        <f>B7*B3</f>
        <v>0</v>
      </c>
      <c r="D7" s="179"/>
      <c r="E7" s="180">
        <f>D7*D3</f>
        <v>0</v>
      </c>
      <c r="F7" s="181"/>
      <c r="G7" s="182">
        <f>F7*F3</f>
        <v>0</v>
      </c>
      <c r="H7" s="179"/>
      <c r="I7" s="180">
        <f>H7*H3</f>
        <v>0</v>
      </c>
      <c r="J7" s="181"/>
      <c r="K7" s="182">
        <f>J7*J3</f>
        <v>0</v>
      </c>
      <c r="L7" s="179"/>
      <c r="M7" s="180">
        <f>L7*L3</f>
        <v>0</v>
      </c>
      <c r="N7" s="181"/>
      <c r="O7" s="182">
        <f>N7*N3</f>
        <v>0</v>
      </c>
      <c r="P7" s="183">
        <f t="shared" si="0"/>
        <v>0</v>
      </c>
    </row>
    <row r="8" spans="1:16" x14ac:dyDescent="0.25">
      <c r="A8" s="178"/>
      <c r="B8" s="179"/>
      <c r="C8" s="180">
        <f>B8*B3</f>
        <v>0</v>
      </c>
      <c r="D8" s="179"/>
      <c r="E8" s="180">
        <f>D8*D3</f>
        <v>0</v>
      </c>
      <c r="F8" s="181"/>
      <c r="G8" s="182">
        <f>F8*F3</f>
        <v>0</v>
      </c>
      <c r="H8" s="179"/>
      <c r="I8" s="180">
        <f>H8*H3</f>
        <v>0</v>
      </c>
      <c r="J8" s="181"/>
      <c r="K8" s="182">
        <f>J8*J3</f>
        <v>0</v>
      </c>
      <c r="L8" s="179"/>
      <c r="M8" s="180">
        <f>L8*L3</f>
        <v>0</v>
      </c>
      <c r="N8" s="181"/>
      <c r="O8" s="182">
        <f>N8*N3</f>
        <v>0</v>
      </c>
      <c r="P8" s="183">
        <f t="shared" si="0"/>
        <v>0</v>
      </c>
    </row>
    <row r="9" spans="1:16" x14ac:dyDescent="0.25">
      <c r="A9" s="178"/>
      <c r="B9" s="179"/>
      <c r="C9" s="180">
        <f>B9*B3</f>
        <v>0</v>
      </c>
      <c r="D9" s="179"/>
      <c r="E9" s="180">
        <f>D9*D3</f>
        <v>0</v>
      </c>
      <c r="F9" s="181"/>
      <c r="G9" s="182">
        <f>F9*F3</f>
        <v>0</v>
      </c>
      <c r="H9" s="179"/>
      <c r="I9" s="180">
        <f>H9*H3</f>
        <v>0</v>
      </c>
      <c r="J9" s="181"/>
      <c r="K9" s="182">
        <f>J9*J3</f>
        <v>0</v>
      </c>
      <c r="L9" s="179"/>
      <c r="M9" s="180">
        <f>L9*L3</f>
        <v>0</v>
      </c>
      <c r="N9" s="181"/>
      <c r="O9" s="182">
        <f>N9*N3</f>
        <v>0</v>
      </c>
      <c r="P9" s="183">
        <f t="shared" si="0"/>
        <v>0</v>
      </c>
    </row>
    <row r="10" spans="1:16" x14ac:dyDescent="0.25">
      <c r="A10" s="178"/>
      <c r="B10" s="179"/>
      <c r="C10" s="180">
        <f>B10*B3</f>
        <v>0</v>
      </c>
      <c r="D10" s="179"/>
      <c r="E10" s="180">
        <f>D10*D3</f>
        <v>0</v>
      </c>
      <c r="F10" s="181"/>
      <c r="G10" s="182">
        <f>F10*F3</f>
        <v>0</v>
      </c>
      <c r="H10" s="179"/>
      <c r="I10" s="180">
        <f>H10*H3</f>
        <v>0</v>
      </c>
      <c r="J10" s="181"/>
      <c r="K10" s="182">
        <f>J10*J3</f>
        <v>0</v>
      </c>
      <c r="L10" s="179"/>
      <c r="M10" s="180">
        <f>L10*L3</f>
        <v>0</v>
      </c>
      <c r="N10" s="181"/>
      <c r="O10" s="182">
        <f>N10*N3</f>
        <v>0</v>
      </c>
      <c r="P10" s="183">
        <f t="shared" si="0"/>
        <v>0</v>
      </c>
    </row>
    <row r="11" spans="1:16" x14ac:dyDescent="0.25">
      <c r="A11" s="178"/>
      <c r="B11" s="179"/>
      <c r="C11" s="180">
        <f>B11*B3</f>
        <v>0</v>
      </c>
      <c r="D11" s="179"/>
      <c r="E11" s="180">
        <f>D11*D3</f>
        <v>0</v>
      </c>
      <c r="F11" s="181"/>
      <c r="G11" s="182">
        <f>F11*F3</f>
        <v>0</v>
      </c>
      <c r="H11" s="179"/>
      <c r="I11" s="180">
        <f>H11*H3</f>
        <v>0</v>
      </c>
      <c r="J11" s="181"/>
      <c r="K11" s="182">
        <f>J11*J3</f>
        <v>0</v>
      </c>
      <c r="L11" s="179"/>
      <c r="M11" s="180">
        <f>L11*L3</f>
        <v>0</v>
      </c>
      <c r="N11" s="181"/>
      <c r="O11" s="182">
        <f>N11*N3</f>
        <v>0</v>
      </c>
      <c r="P11" s="183">
        <f t="shared" si="0"/>
        <v>0</v>
      </c>
    </row>
    <row r="12" spans="1:16" x14ac:dyDescent="0.25">
      <c r="A12" s="178"/>
      <c r="B12" s="179"/>
      <c r="C12" s="180">
        <f>B12*B3</f>
        <v>0</v>
      </c>
      <c r="D12" s="179"/>
      <c r="E12" s="180">
        <f>D12*D3</f>
        <v>0</v>
      </c>
      <c r="F12" s="181"/>
      <c r="G12" s="182">
        <f>F12*F3</f>
        <v>0</v>
      </c>
      <c r="H12" s="179"/>
      <c r="I12" s="180">
        <f>H12*H3</f>
        <v>0</v>
      </c>
      <c r="J12" s="181"/>
      <c r="K12" s="182">
        <f>J12*J3</f>
        <v>0</v>
      </c>
      <c r="L12" s="179"/>
      <c r="M12" s="180">
        <f>L12*L3</f>
        <v>0</v>
      </c>
      <c r="N12" s="181"/>
      <c r="O12" s="182">
        <f>N12*N3</f>
        <v>0</v>
      </c>
      <c r="P12" s="183">
        <f t="shared" si="0"/>
        <v>0</v>
      </c>
    </row>
    <row r="13" spans="1:16" x14ac:dyDescent="0.25">
      <c r="A13" s="178"/>
      <c r="B13" s="179"/>
      <c r="C13" s="180">
        <f>B13*B3</f>
        <v>0</v>
      </c>
      <c r="D13" s="179"/>
      <c r="E13" s="180">
        <f>D13*D3</f>
        <v>0</v>
      </c>
      <c r="F13" s="181"/>
      <c r="G13" s="182">
        <f>F13*F3</f>
        <v>0</v>
      </c>
      <c r="H13" s="179"/>
      <c r="I13" s="180">
        <f>H13*H3</f>
        <v>0</v>
      </c>
      <c r="J13" s="181"/>
      <c r="K13" s="182">
        <f>J13*J3</f>
        <v>0</v>
      </c>
      <c r="L13" s="179"/>
      <c r="M13" s="180">
        <f>L13*L3</f>
        <v>0</v>
      </c>
      <c r="N13" s="181"/>
      <c r="O13" s="182">
        <f>N13*N3</f>
        <v>0</v>
      </c>
      <c r="P13" s="183">
        <f t="shared" si="0"/>
        <v>0</v>
      </c>
    </row>
    <row r="14" spans="1:16" x14ac:dyDescent="0.25">
      <c r="A14" s="178"/>
      <c r="B14" s="179"/>
      <c r="C14" s="180">
        <f>B14*B3</f>
        <v>0</v>
      </c>
      <c r="D14" s="179"/>
      <c r="E14" s="180">
        <f>D14*D3</f>
        <v>0</v>
      </c>
      <c r="F14" s="181"/>
      <c r="G14" s="182">
        <f>F14*F3</f>
        <v>0</v>
      </c>
      <c r="H14" s="179"/>
      <c r="I14" s="180">
        <f>H14*H3</f>
        <v>0</v>
      </c>
      <c r="J14" s="181"/>
      <c r="K14" s="182">
        <f>J14*J3</f>
        <v>0</v>
      </c>
      <c r="L14" s="179"/>
      <c r="M14" s="180">
        <f>L14*L3</f>
        <v>0</v>
      </c>
      <c r="N14" s="181"/>
      <c r="O14" s="182">
        <f>N14*N3</f>
        <v>0</v>
      </c>
      <c r="P14" s="183">
        <f t="shared" si="0"/>
        <v>0</v>
      </c>
    </row>
    <row r="15" spans="1:16" x14ac:dyDescent="0.25">
      <c r="A15" s="178"/>
      <c r="B15" s="179"/>
      <c r="C15" s="180">
        <f>B15*B3</f>
        <v>0</v>
      </c>
      <c r="D15" s="179"/>
      <c r="E15" s="180">
        <f>D15*D3</f>
        <v>0</v>
      </c>
      <c r="F15" s="181"/>
      <c r="G15" s="182">
        <f>F15*F3</f>
        <v>0</v>
      </c>
      <c r="H15" s="179"/>
      <c r="I15" s="180">
        <f>H15*H3</f>
        <v>0</v>
      </c>
      <c r="J15" s="181"/>
      <c r="K15" s="182">
        <f>J15*J3</f>
        <v>0</v>
      </c>
      <c r="L15" s="179"/>
      <c r="M15" s="180">
        <f>L15*L3</f>
        <v>0</v>
      </c>
      <c r="N15" s="181"/>
      <c r="O15" s="182">
        <f>N15*N3</f>
        <v>0</v>
      </c>
      <c r="P15" s="183">
        <f t="shared" si="0"/>
        <v>0</v>
      </c>
    </row>
    <row r="16" spans="1:16" x14ac:dyDescent="0.25">
      <c r="A16" s="178"/>
      <c r="B16" s="179"/>
      <c r="C16" s="180">
        <f>B16*B3</f>
        <v>0</v>
      </c>
      <c r="D16" s="179"/>
      <c r="E16" s="180">
        <f>D16*D3</f>
        <v>0</v>
      </c>
      <c r="F16" s="181"/>
      <c r="G16" s="182">
        <f>F16*F3</f>
        <v>0</v>
      </c>
      <c r="H16" s="179"/>
      <c r="I16" s="180">
        <f>H16*H3</f>
        <v>0</v>
      </c>
      <c r="J16" s="181"/>
      <c r="K16" s="182">
        <f>J16*J3</f>
        <v>0</v>
      </c>
      <c r="L16" s="179"/>
      <c r="M16" s="180">
        <f>L16*L3</f>
        <v>0</v>
      </c>
      <c r="N16" s="181"/>
      <c r="O16" s="182">
        <f>N16*N3</f>
        <v>0</v>
      </c>
      <c r="P16" s="183">
        <f t="shared" si="0"/>
        <v>0</v>
      </c>
    </row>
    <row r="17" spans="1:16" x14ac:dyDescent="0.25">
      <c r="A17" s="178"/>
      <c r="B17" s="179"/>
      <c r="C17" s="180">
        <f>B17*B3</f>
        <v>0</v>
      </c>
      <c r="D17" s="179"/>
      <c r="E17" s="180">
        <f>D17*D3</f>
        <v>0</v>
      </c>
      <c r="F17" s="181"/>
      <c r="G17" s="182">
        <f>F17*F3</f>
        <v>0</v>
      </c>
      <c r="H17" s="179"/>
      <c r="I17" s="180">
        <f>H17*H3</f>
        <v>0</v>
      </c>
      <c r="J17" s="181"/>
      <c r="K17" s="182">
        <f>J17*J3</f>
        <v>0</v>
      </c>
      <c r="L17" s="179"/>
      <c r="M17" s="180">
        <f>L17*L3</f>
        <v>0</v>
      </c>
      <c r="N17" s="181"/>
      <c r="O17" s="182">
        <f>N17*N3</f>
        <v>0</v>
      </c>
      <c r="P17" s="183">
        <f t="shared" si="0"/>
        <v>0</v>
      </c>
    </row>
    <row r="18" spans="1:16" x14ac:dyDescent="0.25">
      <c r="A18" s="178"/>
      <c r="B18" s="179"/>
      <c r="C18" s="180">
        <f>B18*B3</f>
        <v>0</v>
      </c>
      <c r="D18" s="179"/>
      <c r="E18" s="180">
        <f>D18*D3</f>
        <v>0</v>
      </c>
      <c r="F18" s="181"/>
      <c r="G18" s="182">
        <f>F18*F3</f>
        <v>0</v>
      </c>
      <c r="H18" s="179"/>
      <c r="I18" s="180">
        <f>H18*H3</f>
        <v>0</v>
      </c>
      <c r="J18" s="181"/>
      <c r="K18" s="182">
        <f>J18*J3</f>
        <v>0</v>
      </c>
      <c r="L18" s="179"/>
      <c r="M18" s="180">
        <f>L18*L3</f>
        <v>0</v>
      </c>
      <c r="N18" s="181"/>
      <c r="O18" s="182">
        <f>N18*N3</f>
        <v>0</v>
      </c>
      <c r="P18" s="183">
        <f t="shared" si="0"/>
        <v>0</v>
      </c>
    </row>
    <row r="19" spans="1:16" x14ac:dyDescent="0.25">
      <c r="A19" s="178"/>
      <c r="B19" s="179"/>
      <c r="C19" s="180">
        <f>B19*B3</f>
        <v>0</v>
      </c>
      <c r="D19" s="179"/>
      <c r="E19" s="180">
        <f>D19*D3</f>
        <v>0</v>
      </c>
      <c r="F19" s="181"/>
      <c r="G19" s="182">
        <f>F19*F3</f>
        <v>0</v>
      </c>
      <c r="H19" s="179"/>
      <c r="I19" s="180">
        <f>H19*H3</f>
        <v>0</v>
      </c>
      <c r="J19" s="181"/>
      <c r="K19" s="182">
        <f>J19*J3</f>
        <v>0</v>
      </c>
      <c r="L19" s="179"/>
      <c r="M19" s="180">
        <f>L19*L7</f>
        <v>0</v>
      </c>
      <c r="N19" s="181"/>
      <c r="O19" s="182">
        <f>N19*N3</f>
        <v>0</v>
      </c>
      <c r="P19" s="183">
        <f t="shared" si="0"/>
        <v>0</v>
      </c>
    </row>
    <row r="20" spans="1:16" x14ac:dyDescent="0.25">
      <c r="A20" s="178"/>
      <c r="B20" s="179"/>
      <c r="C20" s="180">
        <f>B20*B3</f>
        <v>0</v>
      </c>
      <c r="D20" s="179"/>
      <c r="E20" s="180">
        <f>D20*D3</f>
        <v>0</v>
      </c>
      <c r="F20" s="181"/>
      <c r="G20" s="182">
        <f>F20*F3</f>
        <v>0</v>
      </c>
      <c r="H20" s="179"/>
      <c r="I20" s="180">
        <f>H20*H3</f>
        <v>0</v>
      </c>
      <c r="J20" s="181"/>
      <c r="K20" s="182">
        <f>J20*J3</f>
        <v>0</v>
      </c>
      <c r="L20" s="179"/>
      <c r="M20" s="180">
        <f>L20*L3</f>
        <v>0</v>
      </c>
      <c r="N20" s="181"/>
      <c r="O20" s="182">
        <f>N20*N3</f>
        <v>0</v>
      </c>
      <c r="P20" s="183">
        <f t="shared" si="0"/>
        <v>0</v>
      </c>
    </row>
    <row r="21" spans="1:16" x14ac:dyDescent="0.25">
      <c r="A21" s="178"/>
      <c r="B21" s="179"/>
      <c r="C21" s="180">
        <f>B21*B3</f>
        <v>0</v>
      </c>
      <c r="D21" s="179"/>
      <c r="E21" s="180">
        <f>D21*D3</f>
        <v>0</v>
      </c>
      <c r="F21" s="181"/>
      <c r="G21" s="182">
        <f>F21*F3</f>
        <v>0</v>
      </c>
      <c r="H21" s="179"/>
      <c r="I21" s="180">
        <f>H21*H3</f>
        <v>0</v>
      </c>
      <c r="J21" s="181"/>
      <c r="K21" s="182">
        <f>J21*J3</f>
        <v>0</v>
      </c>
      <c r="L21" s="179"/>
      <c r="M21" s="180">
        <f>L21*L3</f>
        <v>0</v>
      </c>
      <c r="N21" s="181"/>
      <c r="O21" s="182">
        <f>N21*N3</f>
        <v>0</v>
      </c>
      <c r="P21" s="183">
        <f t="shared" si="0"/>
        <v>0</v>
      </c>
    </row>
    <row r="22" spans="1:16" x14ac:dyDescent="0.25">
      <c r="A22" s="178"/>
      <c r="B22" s="179"/>
      <c r="C22" s="180">
        <f>B22*B3</f>
        <v>0</v>
      </c>
      <c r="D22" s="179"/>
      <c r="E22" s="180">
        <f>D22*D3</f>
        <v>0</v>
      </c>
      <c r="F22" s="181"/>
      <c r="G22" s="182">
        <f>F22*F3</f>
        <v>0</v>
      </c>
      <c r="H22" s="179"/>
      <c r="I22" s="180">
        <f>H22*H3</f>
        <v>0</v>
      </c>
      <c r="J22" s="181"/>
      <c r="K22" s="182">
        <f>J22*J3</f>
        <v>0</v>
      </c>
      <c r="L22" s="179"/>
      <c r="M22" s="180">
        <f>L22*L3</f>
        <v>0</v>
      </c>
      <c r="N22" s="181"/>
      <c r="O22" s="182">
        <f>N22*N3</f>
        <v>0</v>
      </c>
      <c r="P22" s="183">
        <f t="shared" si="0"/>
        <v>0</v>
      </c>
    </row>
    <row r="23" spans="1:16" x14ac:dyDescent="0.25">
      <c r="A23" s="178"/>
      <c r="B23" s="179"/>
      <c r="C23" s="180">
        <f>B23*B3</f>
        <v>0</v>
      </c>
      <c r="D23" s="179"/>
      <c r="E23" s="180">
        <f>D23*D3</f>
        <v>0</v>
      </c>
      <c r="F23" s="181"/>
      <c r="G23" s="182">
        <f>F23*F3</f>
        <v>0</v>
      </c>
      <c r="H23" s="179"/>
      <c r="I23" s="180">
        <f>H23*H3</f>
        <v>0</v>
      </c>
      <c r="J23" s="181"/>
      <c r="K23" s="182">
        <f>J23*J3</f>
        <v>0</v>
      </c>
      <c r="L23" s="179"/>
      <c r="M23" s="180">
        <f>L23*L3</f>
        <v>0</v>
      </c>
      <c r="N23" s="181"/>
      <c r="O23" s="182">
        <f>N23*N3</f>
        <v>0</v>
      </c>
      <c r="P23" s="183">
        <f t="shared" si="0"/>
        <v>0</v>
      </c>
    </row>
    <row r="24" spans="1:16" x14ac:dyDescent="0.25">
      <c r="A24" s="178"/>
      <c r="B24" s="179"/>
      <c r="C24" s="180">
        <f>B24*B3</f>
        <v>0</v>
      </c>
      <c r="D24" s="179"/>
      <c r="E24" s="180">
        <f>D24*D3</f>
        <v>0</v>
      </c>
      <c r="F24" s="181"/>
      <c r="G24" s="182">
        <f>F24*F3</f>
        <v>0</v>
      </c>
      <c r="H24" s="179"/>
      <c r="I24" s="180">
        <f>H24*H3</f>
        <v>0</v>
      </c>
      <c r="J24" s="181"/>
      <c r="K24" s="182">
        <f>J24*J3</f>
        <v>0</v>
      </c>
      <c r="L24" s="179"/>
      <c r="M24" s="180">
        <f>L24*L3</f>
        <v>0</v>
      </c>
      <c r="N24" s="181"/>
      <c r="O24" s="182">
        <f>N24*N3</f>
        <v>0</v>
      </c>
      <c r="P24" s="183">
        <f t="shared" si="0"/>
        <v>0</v>
      </c>
    </row>
    <row r="25" spans="1:16" x14ac:dyDescent="0.25">
      <c r="A25" s="178"/>
      <c r="B25" s="179"/>
      <c r="C25" s="180">
        <f>B25*B3</f>
        <v>0</v>
      </c>
      <c r="D25" s="179"/>
      <c r="E25" s="180">
        <f>D25*D3</f>
        <v>0</v>
      </c>
      <c r="F25" s="181"/>
      <c r="G25" s="182">
        <f>F25*F3</f>
        <v>0</v>
      </c>
      <c r="H25" s="179"/>
      <c r="I25" s="180">
        <f>H25*H3</f>
        <v>0</v>
      </c>
      <c r="J25" s="181"/>
      <c r="K25" s="182">
        <f>J25*J3</f>
        <v>0</v>
      </c>
      <c r="L25" s="179"/>
      <c r="M25" s="180">
        <f>L25*L3</f>
        <v>0</v>
      </c>
      <c r="N25" s="181"/>
      <c r="O25" s="182">
        <f>N25*N3</f>
        <v>0</v>
      </c>
      <c r="P25" s="183">
        <f t="shared" si="0"/>
        <v>0</v>
      </c>
    </row>
    <row r="26" spans="1:16" x14ac:dyDescent="0.25">
      <c r="A26" s="178"/>
      <c r="B26" s="179"/>
      <c r="C26" s="180">
        <f>B26*B3</f>
        <v>0</v>
      </c>
      <c r="D26" s="179"/>
      <c r="E26" s="180">
        <f>D26*D3</f>
        <v>0</v>
      </c>
      <c r="F26" s="181"/>
      <c r="G26" s="182">
        <f>F26*F3</f>
        <v>0</v>
      </c>
      <c r="H26" s="179"/>
      <c r="I26" s="180">
        <f>H26*H3</f>
        <v>0</v>
      </c>
      <c r="J26" s="181"/>
      <c r="K26" s="182">
        <f>J26*J3</f>
        <v>0</v>
      </c>
      <c r="L26" s="179"/>
      <c r="M26" s="180">
        <f>L26*L3</f>
        <v>0</v>
      </c>
      <c r="N26" s="181"/>
      <c r="O26" s="182">
        <f>N26*N3</f>
        <v>0</v>
      </c>
      <c r="P26" s="183">
        <f t="shared" si="0"/>
        <v>0</v>
      </c>
    </row>
    <row r="27" spans="1:16" x14ac:dyDescent="0.25">
      <c r="A27" s="178"/>
      <c r="B27" s="179"/>
      <c r="C27" s="180">
        <f>B27*B3</f>
        <v>0</v>
      </c>
      <c r="D27" s="179"/>
      <c r="E27" s="180">
        <f>D27*D3</f>
        <v>0</v>
      </c>
      <c r="F27" s="181"/>
      <c r="G27" s="182">
        <f>F27*F3</f>
        <v>0</v>
      </c>
      <c r="H27" s="179"/>
      <c r="I27" s="180">
        <f>H27*H3</f>
        <v>0</v>
      </c>
      <c r="J27" s="181"/>
      <c r="K27" s="182">
        <f>J27*J3</f>
        <v>0</v>
      </c>
      <c r="L27" s="179"/>
      <c r="M27" s="180">
        <f>L27*L3</f>
        <v>0</v>
      </c>
      <c r="N27" s="181"/>
      <c r="O27" s="182">
        <f>N27*N3</f>
        <v>0</v>
      </c>
      <c r="P27" s="183">
        <f t="shared" si="0"/>
        <v>0</v>
      </c>
    </row>
    <row r="28" spans="1:16" x14ac:dyDescent="0.25">
      <c r="A28" s="178"/>
      <c r="B28" s="179"/>
      <c r="C28" s="180">
        <f>B28*B3</f>
        <v>0</v>
      </c>
      <c r="D28" s="179"/>
      <c r="E28" s="180">
        <f>D28*D3</f>
        <v>0</v>
      </c>
      <c r="F28" s="181"/>
      <c r="G28" s="182">
        <f>F28*F3</f>
        <v>0</v>
      </c>
      <c r="H28" s="179"/>
      <c r="I28" s="180">
        <f>H28*H3</f>
        <v>0</v>
      </c>
      <c r="J28" s="181"/>
      <c r="K28" s="182">
        <f>J28*J3</f>
        <v>0</v>
      </c>
      <c r="L28" s="179"/>
      <c r="M28" s="180">
        <f>L28*L3</f>
        <v>0</v>
      </c>
      <c r="N28" s="181"/>
      <c r="O28" s="182">
        <f>N28*N3</f>
        <v>0</v>
      </c>
      <c r="P28" s="183">
        <f t="shared" si="0"/>
        <v>0</v>
      </c>
    </row>
    <row r="29" spans="1:16" x14ac:dyDescent="0.25">
      <c r="A29" s="184"/>
      <c r="B29" s="185"/>
      <c r="C29" s="186">
        <f>B29*B3</f>
        <v>0</v>
      </c>
      <c r="D29" s="185"/>
      <c r="E29" s="186">
        <f>D29*D3</f>
        <v>0</v>
      </c>
      <c r="F29" s="187"/>
      <c r="G29" s="188">
        <f>F29*F3</f>
        <v>0</v>
      </c>
      <c r="H29" s="185"/>
      <c r="I29" s="186">
        <f>H29*H3</f>
        <v>0</v>
      </c>
      <c r="J29" s="187"/>
      <c r="K29" s="188">
        <f>J29*J3</f>
        <v>0</v>
      </c>
      <c r="L29" s="185"/>
      <c r="M29" s="186">
        <f>L29*L3</f>
        <v>0</v>
      </c>
      <c r="N29" s="187"/>
      <c r="O29" s="188">
        <f>N29*N3</f>
        <v>0</v>
      </c>
      <c r="P29" s="189">
        <f t="shared" si="0"/>
        <v>0</v>
      </c>
    </row>
    <row r="30" spans="1:16" x14ac:dyDescent="0.25">
      <c r="P30" s="190">
        <f>SUM(P4:P29)</f>
        <v>0</v>
      </c>
    </row>
  </sheetData>
  <mergeCells count="2">
    <mergeCell ref="A1:P1"/>
    <mergeCell ref="A2:P2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Personalstammdaten</vt:lpstr>
      <vt:lpstr>Dienstplan Version 1.0</vt:lpstr>
      <vt:lpstr>Monat</vt:lpstr>
      <vt:lpstr>Wochen</vt:lpstr>
      <vt:lpstr>Stundenkontrolle</vt:lpstr>
      <vt:lpstr>Uniformen</vt:lpstr>
      <vt:lpstr>Wochen!Druckbereich</vt:lpstr>
      <vt:lpstr>o0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 Leuker</dc:creator>
  <dc:description/>
  <cp:lastModifiedBy>Oliv Küche</cp:lastModifiedBy>
  <cp:revision>2</cp:revision>
  <cp:lastPrinted>2025-11-15T16:48:13Z</cp:lastPrinted>
  <dcterms:created xsi:type="dcterms:W3CDTF">2010-04-25T08:41:32Z</dcterms:created>
  <dcterms:modified xsi:type="dcterms:W3CDTF">2026-01-14T09:41:17Z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