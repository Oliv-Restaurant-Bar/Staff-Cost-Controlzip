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bern/Desktop/DP 2026/"/>
    </mc:Choice>
  </mc:AlternateContent>
  <xr:revisionPtr revIDLastSave="0" documentId="8_{8017E114-B644-924A-9CDD-5D9265EBF87B}" xr6:coauthVersionLast="47" xr6:coauthVersionMax="47" xr10:uidLastSave="{00000000-0000-0000-0000-000000000000}"/>
  <bookViews>
    <workbookView xWindow="4860" yWindow="520" windowWidth="23940" windowHeight="16400" tabRatio="500" activeTab="2" xr2:uid="{00000000-000D-0000-FFFF-FFFF00000000}"/>
  </bookViews>
  <sheets>
    <sheet name="Personalstammdaten" sheetId="2" state="hidden" r:id="rId1"/>
    <sheet name="Dienstplan Version 1.0" sheetId="3" r:id="rId2"/>
    <sheet name="Januar 26" sheetId="7" r:id="rId3"/>
    <sheet name="Februar 26" sheetId="11" r:id="rId4"/>
    <sheet name="Tabelle5" sheetId="12" r:id="rId5"/>
    <sheet name="Tabelle3" sheetId="10" r:id="rId6"/>
    <sheet name="Tabelle1" sheetId="8" r:id="rId7"/>
    <sheet name="Tabelle2" sheetId="9" r:id="rId8"/>
    <sheet name="Stundenkontrolle" sheetId="5" state="hidden" r:id="rId9"/>
    <sheet name="Uniformen" sheetId="6" state="hidden" r:id="rId10"/>
  </sheets>
  <definedNames>
    <definedName name="_xlnm.Print_Area" localSheetId="3">'Februar 26'!$A$1:$CB$71</definedName>
    <definedName name="_xlnm.Print_Area" localSheetId="2">'Januar 26'!$A$1:$CB$71</definedName>
    <definedName name="o0">Stundenkontrolle!$V$17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D69" i="11" l="1"/>
  <c r="AG69" i="11"/>
  <c r="CR63" i="11"/>
  <c r="CQ63" i="11"/>
  <c r="CP63" i="11"/>
  <c r="CO63" i="11"/>
  <c r="CN63" i="11"/>
  <c r="CM63" i="11"/>
  <c r="CL63" i="11"/>
  <c r="CK63" i="11"/>
  <c r="CJ63" i="11"/>
  <c r="CI63" i="11"/>
  <c r="CH63" i="11"/>
  <c r="CG63" i="11"/>
  <c r="CF63" i="11"/>
  <c r="CE63" i="11"/>
  <c r="AU63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H63" i="11"/>
  <c r="CR62" i="11"/>
  <c r="CQ62" i="11"/>
  <c r="CP62" i="11"/>
  <c r="CO62" i="11"/>
  <c r="CN62" i="11"/>
  <c r="CM62" i="11"/>
  <c r="CL62" i="11"/>
  <c r="CK62" i="11"/>
  <c r="CJ62" i="11"/>
  <c r="CI62" i="11"/>
  <c r="CH62" i="11"/>
  <c r="CG62" i="11"/>
  <c r="CF62" i="11"/>
  <c r="CE62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H62" i="11"/>
  <c r="CR61" i="11"/>
  <c r="CQ61" i="11"/>
  <c r="CP61" i="11"/>
  <c r="CO61" i="11"/>
  <c r="CN61" i="11"/>
  <c r="CM61" i="11"/>
  <c r="CL61" i="11"/>
  <c r="CK61" i="11"/>
  <c r="CJ61" i="11"/>
  <c r="CI61" i="11"/>
  <c r="CH61" i="11"/>
  <c r="CG61" i="11"/>
  <c r="CF61" i="11"/>
  <c r="CE61" i="11"/>
  <c r="CB61" i="11" s="1"/>
  <c r="AU61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CR60" i="11"/>
  <c r="CQ60" i="11"/>
  <c r="CP60" i="11"/>
  <c r="CO60" i="11"/>
  <c r="CN60" i="11"/>
  <c r="CM60" i="11"/>
  <c r="CL60" i="11"/>
  <c r="CK60" i="11"/>
  <c r="CJ60" i="11"/>
  <c r="CI60" i="11"/>
  <c r="CH60" i="11"/>
  <c r="CG60" i="11"/>
  <c r="CF60" i="11"/>
  <c r="CE60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CR59" i="11"/>
  <c r="CQ59" i="11"/>
  <c r="CP59" i="11"/>
  <c r="CO59" i="11"/>
  <c r="CN59" i="11"/>
  <c r="CM59" i="11"/>
  <c r="CL59" i="11"/>
  <c r="CK59" i="11"/>
  <c r="CJ59" i="11"/>
  <c r="CI59" i="11"/>
  <c r="CH59" i="11"/>
  <c r="CG59" i="11"/>
  <c r="CF59" i="11"/>
  <c r="CE59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CR58" i="11"/>
  <c r="CQ58" i="11"/>
  <c r="CP58" i="11"/>
  <c r="CO58" i="11"/>
  <c r="CN58" i="11"/>
  <c r="CM58" i="11"/>
  <c r="CL58" i="11"/>
  <c r="CK58" i="11"/>
  <c r="CJ58" i="11"/>
  <c r="CI58" i="11"/>
  <c r="CH58" i="11"/>
  <c r="CG58" i="11"/>
  <c r="CF58" i="11"/>
  <c r="CE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CR57" i="11"/>
  <c r="CQ57" i="11"/>
  <c r="CP57" i="11"/>
  <c r="CO57" i="11"/>
  <c r="CN57" i="11"/>
  <c r="CM57" i="11"/>
  <c r="CL57" i="11"/>
  <c r="CK57" i="11"/>
  <c r="CJ57" i="11"/>
  <c r="CI57" i="11"/>
  <c r="CH57" i="11"/>
  <c r="CG57" i="11"/>
  <c r="CF57" i="11"/>
  <c r="CE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CR56" i="11"/>
  <c r="CQ56" i="11"/>
  <c r="CP56" i="11"/>
  <c r="CO56" i="11"/>
  <c r="CN56" i="11"/>
  <c r="CM56" i="11"/>
  <c r="CL56" i="11"/>
  <c r="CK56" i="11"/>
  <c r="CJ56" i="11"/>
  <c r="CI56" i="11"/>
  <c r="CH56" i="11"/>
  <c r="CG56" i="11"/>
  <c r="CF56" i="11"/>
  <c r="CE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CR55" i="11"/>
  <c r="CQ55" i="11"/>
  <c r="CP55" i="11"/>
  <c r="CO55" i="11"/>
  <c r="CN55" i="11"/>
  <c r="CM55" i="11"/>
  <c r="CL55" i="11"/>
  <c r="CK55" i="11"/>
  <c r="CJ55" i="11"/>
  <c r="CI55" i="11"/>
  <c r="CH55" i="11"/>
  <c r="CG55" i="11"/>
  <c r="CF55" i="11"/>
  <c r="CE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CR54" i="11"/>
  <c r="CQ54" i="11"/>
  <c r="CP54" i="11"/>
  <c r="CO54" i="11"/>
  <c r="CN54" i="11"/>
  <c r="CM54" i="11"/>
  <c r="CL54" i="11"/>
  <c r="CK54" i="11"/>
  <c r="CJ54" i="11"/>
  <c r="CI54" i="11"/>
  <c r="CH54" i="11"/>
  <c r="CG54" i="11"/>
  <c r="CF54" i="11"/>
  <c r="CE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CR53" i="11"/>
  <c r="CQ53" i="11"/>
  <c r="CP53" i="11"/>
  <c r="CO53" i="11"/>
  <c r="CN53" i="11"/>
  <c r="CM53" i="11"/>
  <c r="CL53" i="11"/>
  <c r="CK53" i="11"/>
  <c r="CJ53" i="11"/>
  <c r="CI53" i="11"/>
  <c r="CH53" i="11"/>
  <c r="CG53" i="11"/>
  <c r="CF53" i="11"/>
  <c r="CE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CR52" i="11"/>
  <c r="CQ52" i="11"/>
  <c r="CP52" i="11"/>
  <c r="CO52" i="11"/>
  <c r="CN52" i="11"/>
  <c r="CM52" i="11"/>
  <c r="CL52" i="11"/>
  <c r="CK52" i="11"/>
  <c r="CJ52" i="11"/>
  <c r="CI52" i="11"/>
  <c r="CH52" i="11"/>
  <c r="CG52" i="11"/>
  <c r="CF52" i="11"/>
  <c r="CE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CR51" i="11"/>
  <c r="CQ51" i="11"/>
  <c r="CP51" i="11"/>
  <c r="CO51" i="11"/>
  <c r="CN51" i="11"/>
  <c r="CM51" i="11"/>
  <c r="CL51" i="11"/>
  <c r="CK51" i="11"/>
  <c r="CJ51" i="11"/>
  <c r="CI51" i="11"/>
  <c r="CH51" i="11"/>
  <c r="CG51" i="11"/>
  <c r="CF51" i="11"/>
  <c r="CE51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CR50" i="11"/>
  <c r="CQ50" i="11"/>
  <c r="CP50" i="11"/>
  <c r="CO50" i="11"/>
  <c r="CN50" i="11"/>
  <c r="CM50" i="11"/>
  <c r="CL50" i="11"/>
  <c r="CK50" i="11"/>
  <c r="CJ50" i="11"/>
  <c r="CI50" i="11"/>
  <c r="CH50" i="11"/>
  <c r="CG50" i="11"/>
  <c r="CF50" i="11"/>
  <c r="CE50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CR49" i="11"/>
  <c r="CQ49" i="11"/>
  <c r="CP49" i="11"/>
  <c r="CO49" i="11"/>
  <c r="CN49" i="11"/>
  <c r="CM49" i="11"/>
  <c r="CL49" i="11"/>
  <c r="CK49" i="11"/>
  <c r="CJ49" i="11"/>
  <c r="CI49" i="11"/>
  <c r="CH49" i="11"/>
  <c r="CG49" i="11"/>
  <c r="CF49" i="11"/>
  <c r="CE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CR48" i="11"/>
  <c r="CQ48" i="11"/>
  <c r="CP48" i="11"/>
  <c r="CO48" i="11"/>
  <c r="CN48" i="11"/>
  <c r="CM48" i="11"/>
  <c r="CL48" i="11"/>
  <c r="CK48" i="11"/>
  <c r="CJ48" i="11"/>
  <c r="CI48" i="11"/>
  <c r="CH48" i="11"/>
  <c r="CG48" i="11"/>
  <c r="CF48" i="11"/>
  <c r="CE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CR47" i="11"/>
  <c r="CQ47" i="11"/>
  <c r="CP47" i="11"/>
  <c r="CO47" i="11"/>
  <c r="CN47" i="11"/>
  <c r="CM47" i="11"/>
  <c r="CL47" i="11"/>
  <c r="CK47" i="11"/>
  <c r="CJ47" i="11"/>
  <c r="CI47" i="11"/>
  <c r="CH47" i="11"/>
  <c r="CG47" i="11"/>
  <c r="CF47" i="11"/>
  <c r="CE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CG41" i="11"/>
  <c r="CE41" i="11"/>
  <c r="BD41" i="11"/>
  <c r="BH41" i="11" s="1"/>
  <c r="AJ41" i="11"/>
  <c r="AH41" i="11"/>
  <c r="G41" i="11"/>
  <c r="K41" i="11" s="1"/>
  <c r="CQ40" i="11"/>
  <c r="CO40" i="11"/>
  <c r="CM40" i="11"/>
  <c r="CK40" i="11"/>
  <c r="CI40" i="11"/>
  <c r="CG40" i="11"/>
  <c r="CE40" i="11"/>
  <c r="AT40" i="11"/>
  <c r="AR40" i="11"/>
  <c r="AP40" i="11"/>
  <c r="AN40" i="11"/>
  <c r="AL40" i="11"/>
  <c r="AJ40" i="11"/>
  <c r="AH40" i="11"/>
  <c r="CH39" i="11"/>
  <c r="CD39" i="11"/>
  <c r="AK39" i="11"/>
  <c r="AG39" i="11"/>
  <c r="CD33" i="11"/>
  <c r="AG33" i="11"/>
  <c r="CR27" i="11"/>
  <c r="CQ27" i="11"/>
  <c r="CP27" i="11"/>
  <c r="CO27" i="11"/>
  <c r="CN27" i="11"/>
  <c r="CM27" i="11"/>
  <c r="CL27" i="11"/>
  <c r="CK27" i="11"/>
  <c r="CJ27" i="11"/>
  <c r="CI27" i="11"/>
  <c r="CH27" i="11"/>
  <c r="CG27" i="11"/>
  <c r="CF27" i="11"/>
  <c r="CE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CR26" i="11"/>
  <c r="CQ26" i="11"/>
  <c r="CP26" i="11"/>
  <c r="CO26" i="11"/>
  <c r="CN26" i="11"/>
  <c r="CM26" i="11"/>
  <c r="CL26" i="11"/>
  <c r="CK26" i="11"/>
  <c r="CJ26" i="11"/>
  <c r="CI26" i="11"/>
  <c r="CH26" i="11"/>
  <c r="CG26" i="11"/>
  <c r="CF26" i="11"/>
  <c r="CE26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H26" i="11"/>
  <c r="AE26" i="11" s="1"/>
  <c r="CR25" i="11"/>
  <c r="CQ25" i="11"/>
  <c r="CP25" i="11"/>
  <c r="CO25" i="11"/>
  <c r="CN25" i="11"/>
  <c r="CM25" i="11"/>
  <c r="CL25" i="11"/>
  <c r="CK25" i="11"/>
  <c r="CJ25" i="11"/>
  <c r="CI25" i="11"/>
  <c r="CH25" i="11"/>
  <c r="CG25" i="11"/>
  <c r="CF25" i="11"/>
  <c r="CE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CR24" i="11"/>
  <c r="CQ24" i="11"/>
  <c r="CP24" i="11"/>
  <c r="CO24" i="11"/>
  <c r="CN24" i="11"/>
  <c r="CM24" i="11"/>
  <c r="CL24" i="11"/>
  <c r="CK24" i="11"/>
  <c r="CJ24" i="11"/>
  <c r="CB24" i="11" s="1"/>
  <c r="CI24" i="11"/>
  <c r="CH24" i="11"/>
  <c r="CG24" i="11"/>
  <c r="CF24" i="11"/>
  <c r="CE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CR23" i="11"/>
  <c r="CQ23" i="11"/>
  <c r="CP23" i="11"/>
  <c r="CO23" i="11"/>
  <c r="CN23" i="11"/>
  <c r="CM23" i="11"/>
  <c r="CL23" i="11"/>
  <c r="CK23" i="11"/>
  <c r="CJ23" i="11"/>
  <c r="CI23" i="11"/>
  <c r="CH23" i="11"/>
  <c r="CG23" i="11"/>
  <c r="CF23" i="11"/>
  <c r="CE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CR22" i="11"/>
  <c r="CQ22" i="11"/>
  <c r="CP22" i="11"/>
  <c r="CO22" i="11"/>
  <c r="CN22" i="11"/>
  <c r="CM22" i="11"/>
  <c r="CL22" i="11"/>
  <c r="CK22" i="11"/>
  <c r="CJ22" i="11"/>
  <c r="CI22" i="11"/>
  <c r="CH22" i="11"/>
  <c r="CG22" i="11"/>
  <c r="CF22" i="11"/>
  <c r="CE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CR18" i="11"/>
  <c r="CQ18" i="11"/>
  <c r="CP18" i="11"/>
  <c r="CO18" i="11"/>
  <c r="CN18" i="11"/>
  <c r="CM18" i="11"/>
  <c r="CL18" i="11"/>
  <c r="CK18" i="11"/>
  <c r="CJ18" i="11"/>
  <c r="CI18" i="11"/>
  <c r="CH18" i="11"/>
  <c r="CG18" i="11"/>
  <c r="CF18" i="11"/>
  <c r="CE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CR17" i="11"/>
  <c r="CQ17" i="11"/>
  <c r="CP17" i="11"/>
  <c r="CO17" i="11"/>
  <c r="CN17" i="11"/>
  <c r="CM17" i="11"/>
  <c r="CL17" i="11"/>
  <c r="CK17" i="11"/>
  <c r="CJ17" i="11"/>
  <c r="CI17" i="11"/>
  <c r="CH17" i="11"/>
  <c r="CG17" i="11"/>
  <c r="CF17" i="11"/>
  <c r="CE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CR15" i="11"/>
  <c r="CQ15" i="11"/>
  <c r="CP15" i="11"/>
  <c r="CO15" i="11"/>
  <c r="CN15" i="11"/>
  <c r="CM15" i="11"/>
  <c r="CL15" i="11"/>
  <c r="CK15" i="11"/>
  <c r="CJ15" i="11"/>
  <c r="CI15" i="11"/>
  <c r="CH15" i="11"/>
  <c r="CG15" i="11"/>
  <c r="CF15" i="11"/>
  <c r="CE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CR14" i="11"/>
  <c r="CQ14" i="11"/>
  <c r="CP14" i="11"/>
  <c r="CO14" i="11"/>
  <c r="CN14" i="11"/>
  <c r="CM14" i="11"/>
  <c r="CL14" i="11"/>
  <c r="CK14" i="11"/>
  <c r="CJ14" i="11"/>
  <c r="CI14" i="11"/>
  <c r="CH14" i="11"/>
  <c r="CG14" i="11"/>
  <c r="CF14" i="11"/>
  <c r="CE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CR13" i="11"/>
  <c r="CQ13" i="11"/>
  <c r="CP13" i="11"/>
  <c r="CO13" i="11"/>
  <c r="CN13" i="11"/>
  <c r="CM13" i="11"/>
  <c r="CL13" i="11"/>
  <c r="CK13" i="11"/>
  <c r="CJ13" i="11"/>
  <c r="CI13" i="11"/>
  <c r="CH13" i="11"/>
  <c r="CG13" i="11"/>
  <c r="CF13" i="11"/>
  <c r="CE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CR12" i="11"/>
  <c r="CQ12" i="11"/>
  <c r="CP12" i="11"/>
  <c r="CO12" i="11"/>
  <c r="CN12" i="11"/>
  <c r="CM12" i="11"/>
  <c r="CL12" i="11"/>
  <c r="CK12" i="11"/>
  <c r="CJ12" i="11"/>
  <c r="CI12" i="11"/>
  <c r="CH12" i="11"/>
  <c r="CG12" i="11"/>
  <c r="CF12" i="11"/>
  <c r="CE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CR11" i="11"/>
  <c r="CQ11" i="11"/>
  <c r="CP11" i="11"/>
  <c r="CO11" i="11"/>
  <c r="CN11" i="11"/>
  <c r="CM11" i="11"/>
  <c r="CL11" i="11"/>
  <c r="CK11" i="11"/>
  <c r="CJ11" i="11"/>
  <c r="CI11" i="11"/>
  <c r="CH11" i="11"/>
  <c r="CG11" i="11"/>
  <c r="CF11" i="11"/>
  <c r="CE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CR10" i="11"/>
  <c r="CQ10" i="11"/>
  <c r="CP10" i="11"/>
  <c r="CO10" i="11"/>
  <c r="CN10" i="11"/>
  <c r="CM10" i="11"/>
  <c r="CL10" i="11"/>
  <c r="CK10" i="11"/>
  <c r="CJ10" i="11"/>
  <c r="CI10" i="11"/>
  <c r="CH10" i="11"/>
  <c r="CG10" i="11"/>
  <c r="CF10" i="11"/>
  <c r="CE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CG4" i="11"/>
  <c r="CE4" i="11"/>
  <c r="BD4" i="11"/>
  <c r="CI4" i="11" s="1"/>
  <c r="AJ4" i="11"/>
  <c r="AH4" i="11"/>
  <c r="G4" i="11"/>
  <c r="AL4" i="11" s="1"/>
  <c r="CQ3" i="11"/>
  <c r="CO3" i="11"/>
  <c r="CM3" i="11"/>
  <c r="CK3" i="11"/>
  <c r="CI3" i="11"/>
  <c r="CG3" i="11"/>
  <c r="CE3" i="11"/>
  <c r="AT3" i="11"/>
  <c r="AR3" i="11"/>
  <c r="AP3" i="11"/>
  <c r="AN3" i="11"/>
  <c r="AL3" i="11"/>
  <c r="AJ3" i="11"/>
  <c r="AH3" i="11"/>
  <c r="CH2" i="11"/>
  <c r="CD2" i="11"/>
  <c r="AK2" i="11"/>
  <c r="AG2" i="11"/>
  <c r="CD69" i="7"/>
  <c r="CR63" i="7"/>
  <c r="CQ63" i="7"/>
  <c r="CP63" i="7"/>
  <c r="CO63" i="7"/>
  <c r="CN63" i="7"/>
  <c r="CM63" i="7"/>
  <c r="CL63" i="7"/>
  <c r="CK63" i="7"/>
  <c r="CJ63" i="7"/>
  <c r="CI63" i="7"/>
  <c r="CH63" i="7"/>
  <c r="CG63" i="7"/>
  <c r="CF63" i="7"/>
  <c r="CE63" i="7"/>
  <c r="CR62" i="7"/>
  <c r="CQ62" i="7"/>
  <c r="CP62" i="7"/>
  <c r="CO62" i="7"/>
  <c r="CN62" i="7"/>
  <c r="CM62" i="7"/>
  <c r="CL62" i="7"/>
  <c r="CK62" i="7"/>
  <c r="CJ62" i="7"/>
  <c r="CI62" i="7"/>
  <c r="CH62" i="7"/>
  <c r="CG62" i="7"/>
  <c r="CF62" i="7"/>
  <c r="CE62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R60" i="7"/>
  <c r="CQ60" i="7"/>
  <c r="CP60" i="7"/>
  <c r="CO60" i="7"/>
  <c r="CN60" i="7"/>
  <c r="CM60" i="7"/>
  <c r="CL60" i="7"/>
  <c r="CK60" i="7"/>
  <c r="CJ60" i="7"/>
  <c r="CI60" i="7"/>
  <c r="CH60" i="7"/>
  <c r="CG60" i="7"/>
  <c r="CF60" i="7"/>
  <c r="CE60" i="7"/>
  <c r="CR59" i="7"/>
  <c r="CQ59" i="7"/>
  <c r="CP59" i="7"/>
  <c r="CO59" i="7"/>
  <c r="CN59" i="7"/>
  <c r="CM59" i="7"/>
  <c r="CL59" i="7"/>
  <c r="CK59" i="7"/>
  <c r="CJ59" i="7"/>
  <c r="CI59" i="7"/>
  <c r="CH59" i="7"/>
  <c r="CG59" i="7"/>
  <c r="CF59" i="7"/>
  <c r="CE59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R57" i="7"/>
  <c r="CQ57" i="7"/>
  <c r="CP57" i="7"/>
  <c r="CO57" i="7"/>
  <c r="CN57" i="7"/>
  <c r="CM57" i="7"/>
  <c r="CL57" i="7"/>
  <c r="CK57" i="7"/>
  <c r="CJ57" i="7"/>
  <c r="CI57" i="7"/>
  <c r="CH57" i="7"/>
  <c r="CG57" i="7"/>
  <c r="CF57" i="7"/>
  <c r="CE57" i="7"/>
  <c r="CR56" i="7"/>
  <c r="CQ56" i="7"/>
  <c r="CP56" i="7"/>
  <c r="CO56" i="7"/>
  <c r="CN56" i="7"/>
  <c r="CM56" i="7"/>
  <c r="CL56" i="7"/>
  <c r="CK56" i="7"/>
  <c r="CJ56" i="7"/>
  <c r="CI56" i="7"/>
  <c r="CH56" i="7"/>
  <c r="CG56" i="7"/>
  <c r="CF56" i="7"/>
  <c r="CE56" i="7"/>
  <c r="CR55" i="7"/>
  <c r="CQ55" i="7"/>
  <c r="CP55" i="7"/>
  <c r="CO55" i="7"/>
  <c r="CN55" i="7"/>
  <c r="CM55" i="7"/>
  <c r="CL55" i="7"/>
  <c r="CK55" i="7"/>
  <c r="CJ55" i="7"/>
  <c r="CI55" i="7"/>
  <c r="CH55" i="7"/>
  <c r="CG55" i="7"/>
  <c r="CF55" i="7"/>
  <c r="CE55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R53" i="7"/>
  <c r="CQ53" i="7"/>
  <c r="CP53" i="7"/>
  <c r="CO53" i="7"/>
  <c r="CN53" i="7"/>
  <c r="CM53" i="7"/>
  <c r="CL53" i="7"/>
  <c r="CK53" i="7"/>
  <c r="CJ53" i="7"/>
  <c r="CI53" i="7"/>
  <c r="CH53" i="7"/>
  <c r="CG53" i="7"/>
  <c r="CF53" i="7"/>
  <c r="CE53" i="7"/>
  <c r="CR52" i="7"/>
  <c r="CQ52" i="7"/>
  <c r="CP52" i="7"/>
  <c r="CO52" i="7"/>
  <c r="CN52" i="7"/>
  <c r="CM52" i="7"/>
  <c r="CL52" i="7"/>
  <c r="CK52" i="7"/>
  <c r="CJ52" i="7"/>
  <c r="CI52" i="7"/>
  <c r="CH52" i="7"/>
  <c r="CG52" i="7"/>
  <c r="CF52" i="7"/>
  <c r="CE52" i="7"/>
  <c r="CR51" i="7"/>
  <c r="CQ51" i="7"/>
  <c r="CP51" i="7"/>
  <c r="CO51" i="7"/>
  <c r="CN51" i="7"/>
  <c r="CM51" i="7"/>
  <c r="CL51" i="7"/>
  <c r="CK51" i="7"/>
  <c r="CJ51" i="7"/>
  <c r="CI51" i="7"/>
  <c r="CH51" i="7"/>
  <c r="CG51" i="7"/>
  <c r="CF51" i="7"/>
  <c r="CE51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R49" i="7"/>
  <c r="CQ49" i="7"/>
  <c r="CP49" i="7"/>
  <c r="CO49" i="7"/>
  <c r="CN49" i="7"/>
  <c r="CM49" i="7"/>
  <c r="CL49" i="7"/>
  <c r="CK49" i="7"/>
  <c r="CJ49" i="7"/>
  <c r="CI49" i="7"/>
  <c r="CH49" i="7"/>
  <c r="CG49" i="7"/>
  <c r="CF49" i="7"/>
  <c r="CE49" i="7"/>
  <c r="CR48" i="7"/>
  <c r="CQ48" i="7"/>
  <c r="CP48" i="7"/>
  <c r="CO48" i="7"/>
  <c r="CN48" i="7"/>
  <c r="CM48" i="7"/>
  <c r="CL48" i="7"/>
  <c r="CK48" i="7"/>
  <c r="CJ48" i="7"/>
  <c r="CI48" i="7"/>
  <c r="CH48" i="7"/>
  <c r="CG48" i="7"/>
  <c r="CF48" i="7"/>
  <c r="CE48" i="7"/>
  <c r="CR47" i="7"/>
  <c r="CQ47" i="7"/>
  <c r="CP47" i="7"/>
  <c r="CO47" i="7"/>
  <c r="CN47" i="7"/>
  <c r="CM47" i="7"/>
  <c r="CL47" i="7"/>
  <c r="CK47" i="7"/>
  <c r="CJ47" i="7"/>
  <c r="CI47" i="7"/>
  <c r="CH47" i="7"/>
  <c r="CG47" i="7"/>
  <c r="CF47" i="7"/>
  <c r="CE47" i="7"/>
  <c r="CG41" i="7"/>
  <c r="CE41" i="7"/>
  <c r="BD41" i="7"/>
  <c r="CI41" i="7" s="1"/>
  <c r="CQ40" i="7"/>
  <c r="CO40" i="7"/>
  <c r="CM40" i="7"/>
  <c r="CK40" i="7"/>
  <c r="CI40" i="7"/>
  <c r="CG40" i="7"/>
  <c r="CE40" i="7"/>
  <c r="CH39" i="7"/>
  <c r="CD39" i="7"/>
  <c r="AG69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J41" i="7"/>
  <c r="AH41" i="7"/>
  <c r="G41" i="7"/>
  <c r="AL41" i="7" s="1"/>
  <c r="AT40" i="7"/>
  <c r="AR40" i="7"/>
  <c r="AP40" i="7"/>
  <c r="AN40" i="7"/>
  <c r="AL40" i="7"/>
  <c r="AJ40" i="7"/>
  <c r="AH40" i="7"/>
  <c r="AK39" i="7"/>
  <c r="AG39" i="7"/>
  <c r="CD33" i="7"/>
  <c r="CR27" i="7"/>
  <c r="CQ27" i="7"/>
  <c r="CP27" i="7"/>
  <c r="CO27" i="7"/>
  <c r="CN27" i="7"/>
  <c r="CM27" i="7"/>
  <c r="CL27" i="7"/>
  <c r="CK27" i="7"/>
  <c r="CJ27" i="7"/>
  <c r="CI27" i="7"/>
  <c r="CH27" i="7"/>
  <c r="CG27" i="7"/>
  <c r="CF27" i="7"/>
  <c r="CE27" i="7"/>
  <c r="CR26" i="7"/>
  <c r="CQ26" i="7"/>
  <c r="CP26" i="7"/>
  <c r="CO26" i="7"/>
  <c r="CN26" i="7"/>
  <c r="CM26" i="7"/>
  <c r="CL26" i="7"/>
  <c r="CK26" i="7"/>
  <c r="CJ26" i="7"/>
  <c r="CI26" i="7"/>
  <c r="CH26" i="7"/>
  <c r="CG26" i="7"/>
  <c r="CF26" i="7"/>
  <c r="CE26" i="7"/>
  <c r="CR25" i="7"/>
  <c r="CQ25" i="7"/>
  <c r="CP25" i="7"/>
  <c r="CO25" i="7"/>
  <c r="CN25" i="7"/>
  <c r="CM25" i="7"/>
  <c r="CL25" i="7"/>
  <c r="CK25" i="7"/>
  <c r="CJ25" i="7"/>
  <c r="CI25" i="7"/>
  <c r="CH25" i="7"/>
  <c r="CG25" i="7"/>
  <c r="CF25" i="7"/>
  <c r="CE25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R23" i="7"/>
  <c r="CQ23" i="7"/>
  <c r="CP23" i="7"/>
  <c r="CO23" i="7"/>
  <c r="CN23" i="7"/>
  <c r="CM23" i="7"/>
  <c r="CL23" i="7"/>
  <c r="CK23" i="7"/>
  <c r="CJ23" i="7"/>
  <c r="CI23" i="7"/>
  <c r="CH23" i="7"/>
  <c r="CG23" i="7"/>
  <c r="CF23" i="7"/>
  <c r="CE23" i="7"/>
  <c r="CR22" i="7"/>
  <c r="CQ22" i="7"/>
  <c r="CP22" i="7"/>
  <c r="CO22" i="7"/>
  <c r="CN22" i="7"/>
  <c r="CM22" i="7"/>
  <c r="CL22" i="7"/>
  <c r="CK22" i="7"/>
  <c r="CJ22" i="7"/>
  <c r="CI22" i="7"/>
  <c r="CH22" i="7"/>
  <c r="CG22" i="7"/>
  <c r="CF22" i="7"/>
  <c r="CE22" i="7"/>
  <c r="CR21" i="7"/>
  <c r="CQ21" i="7"/>
  <c r="CP21" i="7"/>
  <c r="CO21" i="7"/>
  <c r="CN21" i="7"/>
  <c r="CM21" i="7"/>
  <c r="CL21" i="7"/>
  <c r="CK21" i="7"/>
  <c r="CJ21" i="7"/>
  <c r="CI21" i="7"/>
  <c r="CH21" i="7"/>
  <c r="CG21" i="7"/>
  <c r="CF21" i="7"/>
  <c r="CE21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R19" i="7"/>
  <c r="CQ19" i="7"/>
  <c r="CP19" i="7"/>
  <c r="CO19" i="7"/>
  <c r="CN19" i="7"/>
  <c r="CM19" i="7"/>
  <c r="CL19" i="7"/>
  <c r="CK19" i="7"/>
  <c r="CJ19" i="7"/>
  <c r="CI19" i="7"/>
  <c r="CH19" i="7"/>
  <c r="CG19" i="7"/>
  <c r="CF19" i="7"/>
  <c r="CE19" i="7"/>
  <c r="CR18" i="7"/>
  <c r="CQ18" i="7"/>
  <c r="CP18" i="7"/>
  <c r="CO18" i="7"/>
  <c r="CN18" i="7"/>
  <c r="CM18" i="7"/>
  <c r="CL18" i="7"/>
  <c r="CK18" i="7"/>
  <c r="CJ18" i="7"/>
  <c r="CI18" i="7"/>
  <c r="CH18" i="7"/>
  <c r="CG18" i="7"/>
  <c r="CF18" i="7"/>
  <c r="CE18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R16" i="7"/>
  <c r="CQ16" i="7"/>
  <c r="CP16" i="7"/>
  <c r="CO16" i="7"/>
  <c r="CN16" i="7"/>
  <c r="CM16" i="7"/>
  <c r="CL16" i="7"/>
  <c r="CK16" i="7"/>
  <c r="CJ16" i="7"/>
  <c r="CI16" i="7"/>
  <c r="CH16" i="7"/>
  <c r="CG16" i="7"/>
  <c r="CF16" i="7"/>
  <c r="CE16" i="7"/>
  <c r="CR15" i="7"/>
  <c r="CQ15" i="7"/>
  <c r="CP15" i="7"/>
  <c r="CO15" i="7"/>
  <c r="CN15" i="7"/>
  <c r="CM15" i="7"/>
  <c r="CL15" i="7"/>
  <c r="CK15" i="7"/>
  <c r="CJ15" i="7"/>
  <c r="CI15" i="7"/>
  <c r="CH15" i="7"/>
  <c r="CG15" i="7"/>
  <c r="CF15" i="7"/>
  <c r="CE15" i="7"/>
  <c r="CR14" i="7"/>
  <c r="CQ14" i="7"/>
  <c r="CP14" i="7"/>
  <c r="CO14" i="7"/>
  <c r="CN14" i="7"/>
  <c r="CM14" i="7"/>
  <c r="CL14" i="7"/>
  <c r="CK14" i="7"/>
  <c r="CJ14" i="7"/>
  <c r="CI14" i="7"/>
  <c r="CH14" i="7"/>
  <c r="CG14" i="7"/>
  <c r="CF14" i="7"/>
  <c r="CE14" i="7"/>
  <c r="CR13" i="7"/>
  <c r="CQ13" i="7"/>
  <c r="CP13" i="7"/>
  <c r="CO13" i="7"/>
  <c r="CN13" i="7"/>
  <c r="CM13" i="7"/>
  <c r="CL13" i="7"/>
  <c r="CK13" i="7"/>
  <c r="CJ13" i="7"/>
  <c r="CI13" i="7"/>
  <c r="CH13" i="7"/>
  <c r="CG13" i="7"/>
  <c r="CF13" i="7"/>
  <c r="CE13" i="7"/>
  <c r="CR12" i="7"/>
  <c r="CQ12" i="7"/>
  <c r="CP12" i="7"/>
  <c r="CO12" i="7"/>
  <c r="CN12" i="7"/>
  <c r="CM12" i="7"/>
  <c r="CL12" i="7"/>
  <c r="CK12" i="7"/>
  <c r="CJ12" i="7"/>
  <c r="CI12" i="7"/>
  <c r="CH12" i="7"/>
  <c r="CG12" i="7"/>
  <c r="CF12" i="7"/>
  <c r="CE12" i="7"/>
  <c r="CR11" i="7"/>
  <c r="CQ11" i="7"/>
  <c r="CP11" i="7"/>
  <c r="CO11" i="7"/>
  <c r="CN11" i="7"/>
  <c r="CM11" i="7"/>
  <c r="CL11" i="7"/>
  <c r="CK11" i="7"/>
  <c r="CJ11" i="7"/>
  <c r="CI11" i="7"/>
  <c r="CH11" i="7"/>
  <c r="CG11" i="7"/>
  <c r="CF11" i="7"/>
  <c r="CE11" i="7"/>
  <c r="CR10" i="7"/>
  <c r="CQ10" i="7"/>
  <c r="CP10" i="7"/>
  <c r="CO10" i="7"/>
  <c r="CN10" i="7"/>
  <c r="CM10" i="7"/>
  <c r="CL10" i="7"/>
  <c r="CK10" i="7"/>
  <c r="CJ10" i="7"/>
  <c r="CI10" i="7"/>
  <c r="CH10" i="7"/>
  <c r="CG10" i="7"/>
  <c r="CF10" i="7"/>
  <c r="CE10" i="7"/>
  <c r="CG4" i="7"/>
  <c r="CE4" i="7"/>
  <c r="BD4" i="7"/>
  <c r="CI4" i="7" s="1"/>
  <c r="CQ3" i="7"/>
  <c r="CO3" i="7"/>
  <c r="CM3" i="7"/>
  <c r="CK3" i="7"/>
  <c r="CI3" i="7"/>
  <c r="CG3" i="7"/>
  <c r="CE3" i="7"/>
  <c r="CH2" i="7"/>
  <c r="CD2" i="7"/>
  <c r="AG33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J4" i="7"/>
  <c r="AH4" i="7"/>
  <c r="G4" i="7"/>
  <c r="AL4" i="7" s="1"/>
  <c r="AT3" i="7"/>
  <c r="AR3" i="7"/>
  <c r="AP3" i="7"/>
  <c r="AN3" i="7"/>
  <c r="AL3" i="7"/>
  <c r="AJ3" i="7"/>
  <c r="AH3" i="7"/>
  <c r="AK2" i="7"/>
  <c r="AG2" i="7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CB20" i="11" l="1"/>
  <c r="CP31" i="11"/>
  <c r="CH31" i="11"/>
  <c r="AP31" i="11"/>
  <c r="CG31" i="11"/>
  <c r="AN67" i="11"/>
  <c r="CO31" i="11"/>
  <c r="CO32" i="11" s="1"/>
  <c r="CO33" i="11" s="1"/>
  <c r="CO34" i="11" s="1"/>
  <c r="BV5" i="11" s="1"/>
  <c r="AE18" i="11"/>
  <c r="AE17" i="11"/>
  <c r="AE25" i="11"/>
  <c r="AE53" i="11"/>
  <c r="CB60" i="11"/>
  <c r="AE61" i="11"/>
  <c r="CB56" i="11"/>
  <c r="CB52" i="11"/>
  <c r="CB54" i="11"/>
  <c r="CF67" i="11"/>
  <c r="CN67" i="11"/>
  <c r="CB51" i="11"/>
  <c r="CB62" i="11"/>
  <c r="CB63" i="11"/>
  <c r="AE27" i="11"/>
  <c r="AL67" i="11"/>
  <c r="AT67" i="11"/>
  <c r="CK67" i="11"/>
  <c r="AH67" i="11"/>
  <c r="AP67" i="11"/>
  <c r="CG67" i="11"/>
  <c r="CG68" i="11" s="1"/>
  <c r="CG69" i="11" s="1"/>
  <c r="CG70" i="11" s="1"/>
  <c r="BF42" i="11" s="1"/>
  <c r="CO67" i="11"/>
  <c r="AE62" i="11"/>
  <c r="AE63" i="11"/>
  <c r="CF31" i="11"/>
  <c r="CN31" i="11"/>
  <c r="CB25" i="11"/>
  <c r="CB27" i="11"/>
  <c r="CB21" i="11"/>
  <c r="CB22" i="11"/>
  <c r="CB26" i="11"/>
  <c r="BH4" i="11"/>
  <c r="BL4" i="11" s="1"/>
  <c r="BP4" i="11" s="1"/>
  <c r="BT4" i="11" s="1"/>
  <c r="CB48" i="11"/>
  <c r="CH67" i="11"/>
  <c r="CP67" i="11"/>
  <c r="CJ67" i="11"/>
  <c r="CR67" i="11"/>
  <c r="CI67" i="11"/>
  <c r="CQ67" i="11"/>
  <c r="CB50" i="11"/>
  <c r="CB59" i="11"/>
  <c r="CB49" i="11"/>
  <c r="CE67" i="11"/>
  <c r="CB53" i="11"/>
  <c r="CB58" i="11"/>
  <c r="CL67" i="11"/>
  <c r="CB55" i="11"/>
  <c r="CM67" i="11"/>
  <c r="CM68" i="11" s="1"/>
  <c r="CM69" i="11" s="1"/>
  <c r="CM70" i="11" s="1"/>
  <c r="BR42" i="11" s="1"/>
  <c r="CB57" i="11"/>
  <c r="AE48" i="11"/>
  <c r="AK67" i="11"/>
  <c r="AS67" i="11"/>
  <c r="AO67" i="11"/>
  <c r="AJ67" i="11"/>
  <c r="AR67" i="11"/>
  <c r="AR68" i="11" s="1"/>
  <c r="AR69" i="11" s="1"/>
  <c r="AR70" i="11" s="1"/>
  <c r="Y42" i="11" s="1"/>
  <c r="AE57" i="11"/>
  <c r="AM67" i="11"/>
  <c r="AU67" i="11"/>
  <c r="AT68" i="11" s="1"/>
  <c r="AT69" i="11" s="1"/>
  <c r="AT70" i="11" s="1"/>
  <c r="AC42" i="11" s="1"/>
  <c r="AI67" i="11"/>
  <c r="AH68" i="11" s="1"/>
  <c r="AQ67" i="11"/>
  <c r="AP68" i="11" s="1"/>
  <c r="AP69" i="11" s="1"/>
  <c r="AP70" i="11" s="1"/>
  <c r="U42" i="11" s="1"/>
  <c r="AE51" i="11"/>
  <c r="AE52" i="11"/>
  <c r="AE55" i="11"/>
  <c r="AE56" i="11"/>
  <c r="AE50" i="11"/>
  <c r="AE58" i="11"/>
  <c r="AE59" i="11"/>
  <c r="AE60" i="11"/>
  <c r="AE54" i="11"/>
  <c r="AE49" i="11"/>
  <c r="CQ31" i="11"/>
  <c r="CB14" i="11"/>
  <c r="CB18" i="11"/>
  <c r="CB17" i="11"/>
  <c r="CB15" i="11"/>
  <c r="CI31" i="11"/>
  <c r="CE31" i="11"/>
  <c r="CJ31" i="11"/>
  <c r="CR31" i="11"/>
  <c r="CB12" i="11"/>
  <c r="CB16" i="11"/>
  <c r="CB23" i="11"/>
  <c r="CB13" i="11"/>
  <c r="CB11" i="11"/>
  <c r="CB19" i="11"/>
  <c r="CK31" i="11"/>
  <c r="CM31" i="11"/>
  <c r="AE15" i="11"/>
  <c r="AE23" i="11"/>
  <c r="AE24" i="11"/>
  <c r="AE22" i="11"/>
  <c r="AE21" i="11"/>
  <c r="AE20" i="11"/>
  <c r="AE19" i="11"/>
  <c r="AQ31" i="11"/>
  <c r="AP32" i="11" s="1"/>
  <c r="AP33" i="11" s="1"/>
  <c r="AP34" i="11" s="1"/>
  <c r="U5" i="11" s="1"/>
  <c r="AI31" i="11"/>
  <c r="AE16" i="11"/>
  <c r="AE14" i="11"/>
  <c r="AH31" i="11"/>
  <c r="AJ31" i="11"/>
  <c r="AR31" i="11"/>
  <c r="AE13" i="11"/>
  <c r="AK31" i="11"/>
  <c r="AS31" i="11"/>
  <c r="AL31" i="11"/>
  <c r="AT31" i="11"/>
  <c r="AE12" i="11"/>
  <c r="AU31" i="11"/>
  <c r="K4" i="11"/>
  <c r="AN4" i="11" s="1"/>
  <c r="AO31" i="11"/>
  <c r="AE11" i="11"/>
  <c r="AM31" i="11"/>
  <c r="O41" i="11"/>
  <c r="S41" i="11" s="1"/>
  <c r="AN41" i="11"/>
  <c r="BL41" i="11"/>
  <c r="BP41" i="11" s="1"/>
  <c r="CK41" i="11"/>
  <c r="O4" i="11"/>
  <c r="S4" i="11" s="1"/>
  <c r="AL41" i="11"/>
  <c r="CL31" i="11"/>
  <c r="CI41" i="11"/>
  <c r="AN31" i="11"/>
  <c r="CE67" i="7"/>
  <c r="CM67" i="7"/>
  <c r="BH4" i="7"/>
  <c r="BL4" i="7" s="1"/>
  <c r="BP4" i="7" s="1"/>
  <c r="BT4" i="7" s="1"/>
  <c r="CL31" i="7"/>
  <c r="AH31" i="7"/>
  <c r="AP31" i="7"/>
  <c r="CK67" i="7"/>
  <c r="CB51" i="7"/>
  <c r="AE57" i="7"/>
  <c r="AE63" i="7"/>
  <c r="AL67" i="7"/>
  <c r="AT67" i="7"/>
  <c r="CB58" i="7"/>
  <c r="CB27" i="7"/>
  <c r="AM67" i="7"/>
  <c r="AK67" i="7"/>
  <c r="AS67" i="7"/>
  <c r="CB56" i="7"/>
  <c r="AO31" i="7"/>
  <c r="CH31" i="7"/>
  <c r="CB17" i="7"/>
  <c r="CB19" i="7"/>
  <c r="AR67" i="7"/>
  <c r="AH67" i="7"/>
  <c r="CO67" i="7"/>
  <c r="CB54" i="7"/>
  <c r="CB62" i="7"/>
  <c r="AE15" i="7"/>
  <c r="CJ31" i="7"/>
  <c r="CP31" i="7"/>
  <c r="CB16" i="7"/>
  <c r="CB24" i="7"/>
  <c r="CB25" i="7"/>
  <c r="AJ67" i="7"/>
  <c r="AE49" i="7"/>
  <c r="AP67" i="7"/>
  <c r="AE56" i="7"/>
  <c r="CG67" i="7"/>
  <c r="AE14" i="7"/>
  <c r="AE22" i="7"/>
  <c r="CK31" i="7"/>
  <c r="CB15" i="7"/>
  <c r="CB18" i="7"/>
  <c r="CB23" i="7"/>
  <c r="CB26" i="7"/>
  <c r="AO67" i="7"/>
  <c r="CL67" i="7"/>
  <c r="CF67" i="7"/>
  <c r="CN67" i="7"/>
  <c r="CB52" i="7"/>
  <c r="CB53" i="7"/>
  <c r="CB61" i="7"/>
  <c r="CB59" i="7"/>
  <c r="CB60" i="7"/>
  <c r="AE53" i="7"/>
  <c r="AE54" i="7"/>
  <c r="CB22" i="7"/>
  <c r="AI31" i="7"/>
  <c r="AN67" i="7"/>
  <c r="AE21" i="7"/>
  <c r="CE31" i="7"/>
  <c r="AQ31" i="7"/>
  <c r="AE52" i="7"/>
  <c r="CB50" i="7"/>
  <c r="K4" i="7"/>
  <c r="AJ31" i="7"/>
  <c r="AE19" i="7"/>
  <c r="AE24" i="7"/>
  <c r="AE27" i="7"/>
  <c r="AI67" i="7"/>
  <c r="AQ67" i="7"/>
  <c r="AE59" i="7"/>
  <c r="CB49" i="7"/>
  <c r="CB57" i="7"/>
  <c r="CB14" i="7"/>
  <c r="K41" i="7"/>
  <c r="O41" i="7" s="1"/>
  <c r="S41" i="7" s="1"/>
  <c r="W41" i="7" s="1"/>
  <c r="AE12" i="7"/>
  <c r="AE60" i="7"/>
  <c r="AL31" i="7"/>
  <c r="AR31" i="7"/>
  <c r="AE16" i="7"/>
  <c r="AM31" i="7"/>
  <c r="AK31" i="7"/>
  <c r="AS31" i="7"/>
  <c r="AE18" i="7"/>
  <c r="AE26" i="7"/>
  <c r="CB11" i="7"/>
  <c r="CF31" i="7"/>
  <c r="CN31" i="7"/>
  <c r="CB21" i="7"/>
  <c r="AE51" i="7"/>
  <c r="AE55" i="7"/>
  <c r="BH41" i="7"/>
  <c r="CI67" i="7"/>
  <c r="CQ67" i="7"/>
  <c r="CM31" i="7"/>
  <c r="AE20" i="7"/>
  <c r="AE61" i="7"/>
  <c r="AT31" i="7"/>
  <c r="AN31" i="7"/>
  <c r="AE17" i="7"/>
  <c r="AE23" i="7"/>
  <c r="AE25" i="7"/>
  <c r="CI31" i="7"/>
  <c r="CQ31" i="7"/>
  <c r="CB12" i="7"/>
  <c r="CG31" i="7"/>
  <c r="CO31" i="7"/>
  <c r="CB20" i="7"/>
  <c r="AE50" i="7"/>
  <c r="AE58" i="7"/>
  <c r="AE62" i="7"/>
  <c r="CJ67" i="7"/>
  <c r="CH67" i="7"/>
  <c r="CP67" i="7"/>
  <c r="CB55" i="7"/>
  <c r="CB63" i="7"/>
  <c r="AE11" i="7"/>
  <c r="AU31" i="7"/>
  <c r="AE48" i="7"/>
  <c r="AU67" i="7"/>
  <c r="CB48" i="7"/>
  <c r="CR67" i="7"/>
  <c r="CR31" i="7"/>
  <c r="AP41" i="7"/>
  <c r="CK4" i="7"/>
  <c r="CB13" i="7"/>
  <c r="AE13" i="7"/>
  <c r="AE22" i="3"/>
  <c r="CK68" i="11" l="1"/>
  <c r="CK69" i="11" s="1"/>
  <c r="CK70" i="11" s="1"/>
  <c r="BN42" i="11" s="1"/>
  <c r="AN68" i="11"/>
  <c r="AN69" i="11" s="1"/>
  <c r="AN70" i="11" s="1"/>
  <c r="Q42" i="11" s="1"/>
  <c r="CM32" i="11"/>
  <c r="CM33" i="11" s="1"/>
  <c r="CM34" i="11" s="1"/>
  <c r="BR5" i="11" s="1"/>
  <c r="CG32" i="11"/>
  <c r="CG33" i="11" s="1"/>
  <c r="CG34" i="11" s="1"/>
  <c r="BF5" i="11" s="1"/>
  <c r="CE68" i="11"/>
  <c r="CE69" i="11" s="1"/>
  <c r="CE70" i="11" s="1"/>
  <c r="CE32" i="11"/>
  <c r="CE33" i="11" s="1"/>
  <c r="CE34" i="11" s="1"/>
  <c r="CI68" i="11"/>
  <c r="CI69" i="11" s="1"/>
  <c r="CI70" i="11" s="1"/>
  <c r="BJ42" i="11" s="1"/>
  <c r="AJ68" i="11"/>
  <c r="AJ69" i="11" s="1"/>
  <c r="AJ70" i="11" s="1"/>
  <c r="I42" i="11" s="1"/>
  <c r="CQ68" i="11"/>
  <c r="CQ69" i="11" s="1"/>
  <c r="CQ70" i="11" s="1"/>
  <c r="BZ42" i="11" s="1"/>
  <c r="AL68" i="11"/>
  <c r="AL69" i="11" s="1"/>
  <c r="AL70" i="11" s="1"/>
  <c r="M42" i="11" s="1"/>
  <c r="CO68" i="11"/>
  <c r="CO69" i="11" s="1"/>
  <c r="CO70" i="11" s="1"/>
  <c r="BV42" i="11" s="1"/>
  <c r="CK32" i="11"/>
  <c r="CK33" i="11" s="1"/>
  <c r="CK34" i="11" s="1"/>
  <c r="BN5" i="11" s="1"/>
  <c r="CM4" i="11"/>
  <c r="CK4" i="11"/>
  <c r="AH69" i="11"/>
  <c r="AH70" i="11" s="1"/>
  <c r="E42" i="11" s="1"/>
  <c r="CI32" i="11"/>
  <c r="CI33" i="11" s="1"/>
  <c r="CI34" i="11" s="1"/>
  <c r="BJ5" i="11" s="1"/>
  <c r="CQ32" i="11"/>
  <c r="CQ33" i="11" s="1"/>
  <c r="CQ34" i="11" s="1"/>
  <c r="BZ5" i="11" s="1"/>
  <c r="AN32" i="11"/>
  <c r="AN33" i="11" s="1"/>
  <c r="AN34" i="11" s="1"/>
  <c r="Q5" i="11" s="1"/>
  <c r="AH32" i="11"/>
  <c r="AH33" i="11" s="1"/>
  <c r="AH34" i="11" s="1"/>
  <c r="E5" i="11" s="1"/>
  <c r="AT32" i="11"/>
  <c r="AT33" i="11" s="1"/>
  <c r="AT34" i="11" s="1"/>
  <c r="AC5" i="11" s="1"/>
  <c r="AR32" i="11"/>
  <c r="AR33" i="11" s="1"/>
  <c r="AR34" i="11" s="1"/>
  <c r="Y5" i="11" s="1"/>
  <c r="AL32" i="11"/>
  <c r="AL33" i="11" s="1"/>
  <c r="AL34" i="11" s="1"/>
  <c r="M5" i="11" s="1"/>
  <c r="AJ32" i="11"/>
  <c r="AJ33" i="11" s="1"/>
  <c r="AJ34" i="11" s="1"/>
  <c r="I5" i="11" s="1"/>
  <c r="BT41" i="11"/>
  <c r="CM41" i="11"/>
  <c r="AP4" i="11"/>
  <c r="W4" i="11"/>
  <c r="BX4" i="11"/>
  <c r="CQ4" i="11" s="1"/>
  <c r="CO4" i="11"/>
  <c r="AP41" i="11"/>
  <c r="W41" i="11"/>
  <c r="CM4" i="7"/>
  <c r="CK68" i="7"/>
  <c r="CK69" i="7" s="1"/>
  <c r="CK70" i="7" s="1"/>
  <c r="BN42" i="7" s="1"/>
  <c r="CM68" i="7"/>
  <c r="CM69" i="7" s="1"/>
  <c r="CM70" i="7" s="1"/>
  <c r="BR42" i="7" s="1"/>
  <c r="CE68" i="7"/>
  <c r="CE69" i="7" s="1"/>
  <c r="CE70" i="7" s="1"/>
  <c r="CK32" i="7"/>
  <c r="CK33" i="7" s="1"/>
  <c r="CK34" i="7" s="1"/>
  <c r="BN5" i="7" s="1"/>
  <c r="CG32" i="7"/>
  <c r="CG33" i="7" s="1"/>
  <c r="CG34" i="7" s="1"/>
  <c r="BF5" i="7" s="1"/>
  <c r="AP68" i="7"/>
  <c r="AP69" i="7" s="1"/>
  <c r="AP70" i="7" s="1"/>
  <c r="U42" i="7" s="1"/>
  <c r="CM32" i="7"/>
  <c r="CM33" i="7" s="1"/>
  <c r="CM34" i="7" s="1"/>
  <c r="BR5" i="7" s="1"/>
  <c r="CQ32" i="7"/>
  <c r="CQ33" i="7" s="1"/>
  <c r="CQ34" i="7" s="1"/>
  <c r="BZ5" i="7" s="1"/>
  <c r="CO32" i="7"/>
  <c r="CO33" i="7" s="1"/>
  <c r="CO34" i="7" s="1"/>
  <c r="BV5" i="7" s="1"/>
  <c r="CI68" i="7"/>
  <c r="CI69" i="7" s="1"/>
  <c r="CI70" i="7" s="1"/>
  <c r="BJ42" i="7" s="1"/>
  <c r="AJ68" i="7"/>
  <c r="AJ69" i="7" s="1"/>
  <c r="AJ70" i="7" s="1"/>
  <c r="I42" i="7" s="1"/>
  <c r="AT68" i="7"/>
  <c r="AT69" i="7" s="1"/>
  <c r="AT70" i="7" s="1"/>
  <c r="AC42" i="7" s="1"/>
  <c r="AH68" i="7"/>
  <c r="AH69" i="7" s="1"/>
  <c r="AH70" i="7" s="1"/>
  <c r="AL68" i="7"/>
  <c r="AL69" i="7" s="1"/>
  <c r="AL70" i="7" s="1"/>
  <c r="M42" i="7" s="1"/>
  <c r="AR32" i="7"/>
  <c r="AR33" i="7" s="1"/>
  <c r="AR34" i="7" s="1"/>
  <c r="Y5" i="7" s="1"/>
  <c r="AP32" i="7"/>
  <c r="AP33" i="7" s="1"/>
  <c r="AP34" i="7" s="1"/>
  <c r="U5" i="7" s="1"/>
  <c r="AL32" i="7"/>
  <c r="AL33" i="7" s="1"/>
  <c r="AL34" i="7" s="1"/>
  <c r="M5" i="7" s="1"/>
  <c r="AJ32" i="7"/>
  <c r="AJ33" i="7" s="1"/>
  <c r="AJ34" i="7" s="1"/>
  <c r="I5" i="7" s="1"/>
  <c r="AH32" i="7"/>
  <c r="AH33" i="7" s="1"/>
  <c r="AH34" i="7" s="1"/>
  <c r="E5" i="7" s="1"/>
  <c r="AR68" i="7"/>
  <c r="AR69" i="7" s="1"/>
  <c r="AR70" i="7" s="1"/>
  <c r="Y42" i="7" s="1"/>
  <c r="AN32" i="7"/>
  <c r="AN33" i="7" s="1"/>
  <c r="AN34" i="7" s="1"/>
  <c r="Q5" i="7" s="1"/>
  <c r="CE32" i="7"/>
  <c r="CE33" i="7" s="1"/>
  <c r="CE34" i="7" s="1"/>
  <c r="BB5" i="7" s="1"/>
  <c r="AN41" i="7"/>
  <c r="CO68" i="7"/>
  <c r="CO69" i="7" s="1"/>
  <c r="CO70" i="7" s="1"/>
  <c r="BV42" i="7" s="1"/>
  <c r="CK41" i="7"/>
  <c r="BL41" i="7"/>
  <c r="BP41" i="7" s="1"/>
  <c r="CI32" i="7"/>
  <c r="CI33" i="7" s="1"/>
  <c r="CI34" i="7" s="1"/>
  <c r="BJ5" i="7" s="1"/>
  <c r="AN68" i="7"/>
  <c r="AN69" i="7" s="1"/>
  <c r="AN70" i="7" s="1"/>
  <c r="Q42" i="7" s="1"/>
  <c r="CQ68" i="7"/>
  <c r="CQ69" i="7" s="1"/>
  <c r="CQ70" i="7" s="1"/>
  <c r="BZ42" i="7" s="1"/>
  <c r="AT32" i="7"/>
  <c r="AT33" i="7" s="1"/>
  <c r="AT34" i="7" s="1"/>
  <c r="AC5" i="7" s="1"/>
  <c r="CG68" i="7"/>
  <c r="CG69" i="7" s="1"/>
  <c r="CG70" i="7" s="1"/>
  <c r="BF42" i="7" s="1"/>
  <c r="AN4" i="7"/>
  <c r="O4" i="7"/>
  <c r="S4" i="7" s="1"/>
  <c r="AA41" i="7"/>
  <c r="AT41" i="7" s="1"/>
  <c r="AR41" i="7"/>
  <c r="BX4" i="7"/>
  <c r="CQ4" i="7" s="1"/>
  <c r="CO4" i="7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V68" i="11" l="1"/>
  <c r="CS68" i="11"/>
  <c r="AH71" i="11"/>
  <c r="AI71" i="11" s="1"/>
  <c r="AE42" i="11" s="1"/>
  <c r="CS32" i="11"/>
  <c r="AH35" i="11"/>
  <c r="AI35" i="11" s="1"/>
  <c r="AE5" i="11" s="1"/>
  <c r="AV32" i="11"/>
  <c r="BB5" i="11"/>
  <c r="CE35" i="11"/>
  <c r="CF35" i="11" s="1"/>
  <c r="CB5" i="11" s="1"/>
  <c r="CO41" i="11"/>
  <c r="BX41" i="11"/>
  <c r="CQ41" i="11" s="1"/>
  <c r="AA4" i="11"/>
  <c r="AT4" i="11" s="1"/>
  <c r="AR4" i="11"/>
  <c r="CE71" i="11"/>
  <c r="CF71" i="11" s="1"/>
  <c r="CB42" i="11" s="1"/>
  <c r="BB42" i="11"/>
  <c r="AR41" i="11"/>
  <c r="AA41" i="11"/>
  <c r="AT41" i="11" s="1"/>
  <c r="CS32" i="7"/>
  <c r="CE35" i="7"/>
  <c r="CF35" i="7" s="1"/>
  <c r="CB5" i="7" s="1"/>
  <c r="CS68" i="7"/>
  <c r="BT41" i="7"/>
  <c r="CM41" i="7"/>
  <c r="AV32" i="7"/>
  <c r="AP4" i="7"/>
  <c r="W4" i="7"/>
  <c r="AH35" i="7"/>
  <c r="AI35" i="7" s="1"/>
  <c r="AE5" i="7" s="1"/>
  <c r="AV68" i="7"/>
  <c r="CE71" i="7"/>
  <c r="CF71" i="7" s="1"/>
  <c r="CB42" i="7" s="1"/>
  <c r="BB42" i="7"/>
  <c r="E42" i="7"/>
  <c r="AH71" i="7"/>
  <c r="AI71" i="7" s="1"/>
  <c r="AE42" i="7" s="1"/>
  <c r="AE18" i="3"/>
  <c r="AE27" i="3"/>
  <c r="AE24" i="3"/>
  <c r="AE25" i="3"/>
  <c r="AE21" i="3"/>
  <c r="AE26" i="3"/>
  <c r="AE11" i="3"/>
  <c r="AE12" i="3"/>
  <c r="AE16" i="3"/>
  <c r="AE20" i="3"/>
  <c r="AE23" i="3"/>
  <c r="AE15" i="3"/>
  <c r="AE14" i="3"/>
  <c r="AE19" i="3"/>
  <c r="AE13" i="3"/>
  <c r="AE17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A4" i="7" l="1"/>
  <c r="AT4" i="7" s="1"/>
  <c r="AR4" i="7"/>
  <c r="BX41" i="7"/>
  <c r="CQ41" i="7" s="1"/>
  <c r="CO41" i="7"/>
  <c r="AU29" i="3"/>
  <c r="AU43" i="3" s="1"/>
  <c r="AT29" i="3"/>
  <c r="AT43" i="3" s="1"/>
  <c r="AS29" i="3"/>
  <c r="AS43" i="3" s="1"/>
  <c r="AR29" i="3"/>
  <c r="AR43" i="3" s="1"/>
  <c r="AQ29" i="3"/>
  <c r="AQ43" i="3" s="1"/>
  <c r="AP29" i="3"/>
  <c r="AP43" i="3" s="1"/>
  <c r="AO29" i="3"/>
  <c r="AO43" i="3" s="1"/>
  <c r="AN29" i="3"/>
  <c r="AN43" i="3" s="1"/>
  <c r="AM29" i="3"/>
  <c r="AM43" i="3" s="1"/>
  <c r="AL29" i="3"/>
  <c r="AL43" i="3" s="1"/>
  <c r="AK29" i="3"/>
  <c r="AK43" i="3" s="1"/>
  <c r="AJ29" i="3"/>
  <c r="AJ43" i="3" s="1"/>
  <c r="AI29" i="3"/>
  <c r="AI43" i="3" s="1"/>
  <c r="AH29" i="3"/>
  <c r="AH43" i="3" s="1"/>
  <c r="AH44" i="3" l="1"/>
  <c r="AG2" i="3"/>
  <c r="AJ4" i="3"/>
  <c r="AH4" i="3"/>
  <c r="O29" i="6"/>
  <c r="M29" i="6"/>
  <c r="K29" i="6"/>
  <c r="I29" i="6"/>
  <c r="G29" i="6"/>
  <c r="E29" i="6"/>
  <c r="C29" i="6"/>
  <c r="O28" i="6"/>
  <c r="M28" i="6"/>
  <c r="K28" i="6"/>
  <c r="I28" i="6"/>
  <c r="G28" i="6"/>
  <c r="E28" i="6"/>
  <c r="C28" i="6"/>
  <c r="O27" i="6"/>
  <c r="M27" i="6"/>
  <c r="K27" i="6"/>
  <c r="I27" i="6"/>
  <c r="G27" i="6"/>
  <c r="P27" i="6" s="1"/>
  <c r="E27" i="6"/>
  <c r="C27" i="6"/>
  <c r="O26" i="6"/>
  <c r="M26" i="6"/>
  <c r="K26" i="6"/>
  <c r="I26" i="6"/>
  <c r="G26" i="6"/>
  <c r="E26" i="6"/>
  <c r="C26" i="6"/>
  <c r="O25" i="6"/>
  <c r="M25" i="6"/>
  <c r="K25" i="6"/>
  <c r="I25" i="6"/>
  <c r="G25" i="6"/>
  <c r="E25" i="6"/>
  <c r="C25" i="6"/>
  <c r="P25" i="6" s="1"/>
  <c r="O24" i="6"/>
  <c r="M24" i="6"/>
  <c r="K24" i="6"/>
  <c r="I24" i="6"/>
  <c r="G24" i="6"/>
  <c r="E24" i="6"/>
  <c r="C24" i="6"/>
  <c r="P24" i="6" s="1"/>
  <c r="O23" i="6"/>
  <c r="M23" i="6"/>
  <c r="K23" i="6"/>
  <c r="I23" i="6"/>
  <c r="G23" i="6"/>
  <c r="E23" i="6"/>
  <c r="C23" i="6"/>
  <c r="P23" i="6" s="1"/>
  <c r="O22" i="6"/>
  <c r="M22" i="6"/>
  <c r="K22" i="6"/>
  <c r="I22" i="6"/>
  <c r="G22" i="6"/>
  <c r="E22" i="6"/>
  <c r="C22" i="6"/>
  <c r="O21" i="6"/>
  <c r="M21" i="6"/>
  <c r="P21" i="6" s="1"/>
  <c r="K21" i="6"/>
  <c r="I21" i="6"/>
  <c r="G21" i="6"/>
  <c r="E21" i="6"/>
  <c r="C21" i="6"/>
  <c r="O20" i="6"/>
  <c r="M20" i="6"/>
  <c r="K20" i="6"/>
  <c r="P20" i="6" s="1"/>
  <c r="I20" i="6"/>
  <c r="G20" i="6"/>
  <c r="E20" i="6"/>
  <c r="C20" i="6"/>
  <c r="O19" i="6"/>
  <c r="M19" i="6"/>
  <c r="K19" i="6"/>
  <c r="I19" i="6"/>
  <c r="P19" i="6" s="1"/>
  <c r="G19" i="6"/>
  <c r="E19" i="6"/>
  <c r="C19" i="6"/>
  <c r="O18" i="6"/>
  <c r="M18" i="6"/>
  <c r="K18" i="6"/>
  <c r="I18" i="6"/>
  <c r="G18" i="6"/>
  <c r="E18" i="6"/>
  <c r="C18" i="6"/>
  <c r="O17" i="6"/>
  <c r="M17" i="6"/>
  <c r="K17" i="6"/>
  <c r="I17" i="6"/>
  <c r="G17" i="6"/>
  <c r="E17" i="6"/>
  <c r="C17" i="6"/>
  <c r="O16" i="6"/>
  <c r="M16" i="6"/>
  <c r="K16" i="6"/>
  <c r="I16" i="6"/>
  <c r="G16" i="6"/>
  <c r="E16" i="6"/>
  <c r="C16" i="6"/>
  <c r="P16" i="6" s="1"/>
  <c r="O15" i="6"/>
  <c r="M15" i="6"/>
  <c r="K15" i="6"/>
  <c r="I15" i="6"/>
  <c r="G15" i="6"/>
  <c r="E15" i="6"/>
  <c r="C15" i="6"/>
  <c r="P15" i="6" s="1"/>
  <c r="O14" i="6"/>
  <c r="M14" i="6"/>
  <c r="K14" i="6"/>
  <c r="I14" i="6"/>
  <c r="G14" i="6"/>
  <c r="E14" i="6"/>
  <c r="C14" i="6"/>
  <c r="O13" i="6"/>
  <c r="M13" i="6"/>
  <c r="K13" i="6"/>
  <c r="I13" i="6"/>
  <c r="G13" i="6"/>
  <c r="E13" i="6"/>
  <c r="C13" i="6"/>
  <c r="O12" i="6"/>
  <c r="M12" i="6"/>
  <c r="K12" i="6"/>
  <c r="P12" i="6" s="1"/>
  <c r="I12" i="6"/>
  <c r="G12" i="6"/>
  <c r="E12" i="6"/>
  <c r="C12" i="6"/>
  <c r="O11" i="6"/>
  <c r="M11" i="6"/>
  <c r="K11" i="6"/>
  <c r="I11" i="6"/>
  <c r="G11" i="6"/>
  <c r="E11" i="6"/>
  <c r="C11" i="6"/>
  <c r="O10" i="6"/>
  <c r="M10" i="6"/>
  <c r="K10" i="6"/>
  <c r="I10" i="6"/>
  <c r="G10" i="6"/>
  <c r="E10" i="6"/>
  <c r="C10" i="6"/>
  <c r="P10" i="6" s="1"/>
  <c r="O9" i="6"/>
  <c r="M9" i="6"/>
  <c r="K9" i="6"/>
  <c r="I9" i="6"/>
  <c r="G9" i="6"/>
  <c r="E9" i="6"/>
  <c r="C9" i="6"/>
  <c r="P9" i="6" s="1"/>
  <c r="O8" i="6"/>
  <c r="M8" i="6"/>
  <c r="K8" i="6"/>
  <c r="I8" i="6"/>
  <c r="G8" i="6"/>
  <c r="P8" i="6" s="1"/>
  <c r="E8" i="6"/>
  <c r="C8" i="6"/>
  <c r="O7" i="6"/>
  <c r="M7" i="6"/>
  <c r="K7" i="6"/>
  <c r="I7" i="6"/>
  <c r="G7" i="6"/>
  <c r="E7" i="6"/>
  <c r="P7" i="6" s="1"/>
  <c r="C7" i="6"/>
  <c r="O6" i="6"/>
  <c r="M6" i="6"/>
  <c r="K6" i="6"/>
  <c r="I6" i="6"/>
  <c r="G6" i="6"/>
  <c r="E6" i="6"/>
  <c r="C6" i="6"/>
  <c r="O5" i="6"/>
  <c r="M5" i="6"/>
  <c r="K5" i="6"/>
  <c r="I5" i="6"/>
  <c r="G5" i="6"/>
  <c r="E5" i="6"/>
  <c r="C5" i="6"/>
  <c r="O4" i="6"/>
  <c r="M4" i="6"/>
  <c r="K4" i="6"/>
  <c r="I4" i="6"/>
  <c r="G4" i="6"/>
  <c r="E4" i="6"/>
  <c r="C4" i="6"/>
  <c r="A2" i="6"/>
  <c r="DU48" i="5"/>
  <c r="DU5" i="5" s="1"/>
  <c r="DS48" i="5"/>
  <c r="DQ48" i="5"/>
  <c r="DP48" i="5"/>
  <c r="DP5" i="5" s="1"/>
  <c r="DO48" i="5"/>
  <c r="DL48" i="5"/>
  <c r="DL5" i="5" s="1"/>
  <c r="DJ48" i="5"/>
  <c r="DJ5" i="5" s="1"/>
  <c r="DH48" i="5"/>
  <c r="DH5" i="5"/>
  <c r="DG48" i="5"/>
  <c r="DF48" i="5"/>
  <c r="DC48" i="5"/>
  <c r="DC5" i="5" s="1"/>
  <c r="DA48" i="5"/>
  <c r="CY48" i="5"/>
  <c r="CX48" i="5"/>
  <c r="CX5" i="5" s="1"/>
  <c r="CW48" i="5"/>
  <c r="CW5" i="5" s="1"/>
  <c r="CT48" i="5"/>
  <c r="CT5" i="5" s="1"/>
  <c r="CR48" i="5"/>
  <c r="CP48" i="5"/>
  <c r="CO48" i="5"/>
  <c r="CN48" i="5"/>
  <c r="CK48" i="5"/>
  <c r="CI48" i="5"/>
  <c r="CG48" i="5"/>
  <c r="CG5" i="5" s="1"/>
  <c r="CF48" i="5"/>
  <c r="CF5" i="5" s="1"/>
  <c r="CE48" i="5"/>
  <c r="CB48" i="5"/>
  <c r="BZ48" i="5"/>
  <c r="BX48" i="5"/>
  <c r="BW48" i="5"/>
  <c r="BV48" i="5"/>
  <c r="BS48" i="5"/>
  <c r="BS5" i="5" s="1"/>
  <c r="BQ48" i="5"/>
  <c r="BQ5" i="5" s="1"/>
  <c r="BO48" i="5"/>
  <c r="BN48" i="5"/>
  <c r="BM48" i="5"/>
  <c r="BJ48" i="5"/>
  <c r="BH48" i="5"/>
  <c r="BH5" i="5"/>
  <c r="BF48" i="5"/>
  <c r="BE48" i="5"/>
  <c r="BD48" i="5"/>
  <c r="BA48" i="5"/>
  <c r="AY48" i="5"/>
  <c r="AW48" i="5"/>
  <c r="AV48" i="5"/>
  <c r="AV5" i="5"/>
  <c r="AU48" i="5"/>
  <c r="AU5" i="5" s="1"/>
  <c r="AR48" i="5"/>
  <c r="AR5" i="5" s="1"/>
  <c r="AP48" i="5"/>
  <c r="AN48" i="5"/>
  <c r="AN5" i="5" s="1"/>
  <c r="AM48" i="5"/>
  <c r="AL48" i="5"/>
  <c r="AI48" i="5"/>
  <c r="AI5" i="5"/>
  <c r="AG48" i="5"/>
  <c r="AG5" i="5" s="1"/>
  <c r="AE48" i="5"/>
  <c r="AE5" i="5" s="1"/>
  <c r="AD48" i="5"/>
  <c r="AC48" i="5"/>
  <c r="AC5" i="5" s="1"/>
  <c r="Z48" i="5"/>
  <c r="X48" i="5"/>
  <c r="V48" i="5"/>
  <c r="U48" i="5"/>
  <c r="T48" i="5"/>
  <c r="T5" i="5" s="1"/>
  <c r="EA47" i="5"/>
  <c r="DZ47" i="5"/>
  <c r="DY47" i="5"/>
  <c r="AB47" i="5"/>
  <c r="AK47" i="5" s="1"/>
  <c r="AT47" i="5" s="1"/>
  <c r="BC47" i="5" s="1"/>
  <c r="BL47" i="5" s="1"/>
  <c r="BU47" i="5" s="1"/>
  <c r="CD47" i="5" s="1"/>
  <c r="CM47" i="5" s="1"/>
  <c r="CV47" i="5" s="1"/>
  <c r="DE47" i="5" s="1"/>
  <c r="DN47" i="5" s="1"/>
  <c r="DW47" i="5" s="1"/>
  <c r="EA46" i="5"/>
  <c r="DZ46" i="5"/>
  <c r="DY46" i="5"/>
  <c r="AB46" i="5"/>
  <c r="AK46" i="5"/>
  <c r="AT46" i="5" s="1"/>
  <c r="BC46" i="5" s="1"/>
  <c r="BL46" i="5" s="1"/>
  <c r="BU46" i="5" s="1"/>
  <c r="CD46" i="5" s="1"/>
  <c r="CM46" i="5" s="1"/>
  <c r="CV46" i="5" s="1"/>
  <c r="DE46" i="5" s="1"/>
  <c r="DN46" i="5" s="1"/>
  <c r="DW46" i="5" s="1"/>
  <c r="EA45" i="5"/>
  <c r="DZ45" i="5"/>
  <c r="DY45" i="5"/>
  <c r="AB45" i="5"/>
  <c r="AK45" i="5"/>
  <c r="AT45" i="5" s="1"/>
  <c r="BC45" i="5" s="1"/>
  <c r="BL45" i="5" s="1"/>
  <c r="BU45" i="5" s="1"/>
  <c r="CD45" i="5" s="1"/>
  <c r="CM45" i="5" s="1"/>
  <c r="CV45" i="5" s="1"/>
  <c r="DE45" i="5" s="1"/>
  <c r="DN45" i="5" s="1"/>
  <c r="DW45" i="5" s="1"/>
  <c r="EA44" i="5"/>
  <c r="DZ44" i="5"/>
  <c r="DY44" i="5"/>
  <c r="AB44" i="5"/>
  <c r="AK44" i="5" s="1"/>
  <c r="AT44" i="5" s="1"/>
  <c r="BC44" i="5" s="1"/>
  <c r="BL44" i="5" s="1"/>
  <c r="BU44" i="5" s="1"/>
  <c r="CD44" i="5" s="1"/>
  <c r="CM44" i="5" s="1"/>
  <c r="CV44" i="5" s="1"/>
  <c r="DE44" i="5" s="1"/>
  <c r="DN44" i="5" s="1"/>
  <c r="DW44" i="5" s="1"/>
  <c r="EA43" i="5"/>
  <c r="DZ43" i="5"/>
  <c r="DY43" i="5"/>
  <c r="AB43" i="5"/>
  <c r="AK43" i="5" s="1"/>
  <c r="AT43" i="5" s="1"/>
  <c r="BC43" i="5" s="1"/>
  <c r="BL43" i="5" s="1"/>
  <c r="BU43" i="5" s="1"/>
  <c r="CD43" i="5" s="1"/>
  <c r="CM43" i="5" s="1"/>
  <c r="CV43" i="5" s="1"/>
  <c r="DE43" i="5" s="1"/>
  <c r="DN43" i="5" s="1"/>
  <c r="DW43" i="5" s="1"/>
  <c r="EA42" i="5"/>
  <c r="DZ42" i="5"/>
  <c r="DY42" i="5"/>
  <c r="AB42" i="5"/>
  <c r="AK42" i="5" s="1"/>
  <c r="AT42" i="5" s="1"/>
  <c r="BC42" i="5" s="1"/>
  <c r="BL42" i="5" s="1"/>
  <c r="BU42" i="5" s="1"/>
  <c r="CD42" i="5" s="1"/>
  <c r="CM42" i="5" s="1"/>
  <c r="CV42" i="5" s="1"/>
  <c r="DE42" i="5" s="1"/>
  <c r="DN42" i="5" s="1"/>
  <c r="DW42" i="5" s="1"/>
  <c r="EA41" i="5"/>
  <c r="DZ41" i="5"/>
  <c r="DY41" i="5"/>
  <c r="AB41" i="5"/>
  <c r="AK41" i="5" s="1"/>
  <c r="AT41" i="5" s="1"/>
  <c r="BC41" i="5" s="1"/>
  <c r="BL41" i="5" s="1"/>
  <c r="BU41" i="5" s="1"/>
  <c r="CD41" i="5" s="1"/>
  <c r="CM41" i="5" s="1"/>
  <c r="CV41" i="5" s="1"/>
  <c r="DE41" i="5" s="1"/>
  <c r="DN41" i="5" s="1"/>
  <c r="DW41" i="5" s="1"/>
  <c r="EA40" i="5"/>
  <c r="DZ40" i="5"/>
  <c r="DY40" i="5"/>
  <c r="AB40" i="5"/>
  <c r="AK40" i="5" s="1"/>
  <c r="AT40" i="5" s="1"/>
  <c r="BC40" i="5" s="1"/>
  <c r="BL40" i="5" s="1"/>
  <c r="BU40" i="5" s="1"/>
  <c r="CD40" i="5" s="1"/>
  <c r="CM40" i="5" s="1"/>
  <c r="CV40" i="5" s="1"/>
  <c r="DE40" i="5" s="1"/>
  <c r="DN40" i="5" s="1"/>
  <c r="DW40" i="5" s="1"/>
  <c r="EA39" i="5"/>
  <c r="DZ39" i="5"/>
  <c r="DY39" i="5"/>
  <c r="AK39" i="5"/>
  <c r="AT39" i="5" s="1"/>
  <c r="BC39" i="5" s="1"/>
  <c r="BL39" i="5" s="1"/>
  <c r="BU39" i="5" s="1"/>
  <c r="CD39" i="5" s="1"/>
  <c r="CM39" i="5" s="1"/>
  <c r="CV39" i="5" s="1"/>
  <c r="DE39" i="5" s="1"/>
  <c r="DN39" i="5" s="1"/>
  <c r="DW39" i="5" s="1"/>
  <c r="AB39" i="5"/>
  <c r="EA38" i="5"/>
  <c r="DZ38" i="5"/>
  <c r="DY38" i="5"/>
  <c r="AB38" i="5"/>
  <c r="AK38" i="5" s="1"/>
  <c r="AT38" i="5" s="1"/>
  <c r="BC38" i="5" s="1"/>
  <c r="BL38" i="5" s="1"/>
  <c r="BU38" i="5" s="1"/>
  <c r="CD38" i="5" s="1"/>
  <c r="CM38" i="5" s="1"/>
  <c r="CV38" i="5" s="1"/>
  <c r="DE38" i="5" s="1"/>
  <c r="DN38" i="5" s="1"/>
  <c r="DW38" i="5" s="1"/>
  <c r="EA37" i="5"/>
  <c r="DZ37" i="5"/>
  <c r="DY37" i="5"/>
  <c r="AB37" i="5"/>
  <c r="AK37" i="5" s="1"/>
  <c r="AT37" i="5" s="1"/>
  <c r="BC37" i="5" s="1"/>
  <c r="BL37" i="5" s="1"/>
  <c r="BU37" i="5" s="1"/>
  <c r="CD37" i="5" s="1"/>
  <c r="CM37" i="5" s="1"/>
  <c r="CV37" i="5" s="1"/>
  <c r="DE37" i="5" s="1"/>
  <c r="DN37" i="5" s="1"/>
  <c r="DW37" i="5" s="1"/>
  <c r="EA36" i="5"/>
  <c r="DZ36" i="5"/>
  <c r="DY36" i="5"/>
  <c r="AB36" i="5"/>
  <c r="AK36" i="5" s="1"/>
  <c r="AT36" i="5" s="1"/>
  <c r="BC36" i="5" s="1"/>
  <c r="BL36" i="5" s="1"/>
  <c r="BU36" i="5" s="1"/>
  <c r="CD36" i="5" s="1"/>
  <c r="CM36" i="5" s="1"/>
  <c r="CV36" i="5" s="1"/>
  <c r="DE36" i="5" s="1"/>
  <c r="DN36" i="5" s="1"/>
  <c r="DW36" i="5" s="1"/>
  <c r="EA35" i="5"/>
  <c r="DZ35" i="5"/>
  <c r="DY35" i="5"/>
  <c r="AK35" i="5"/>
  <c r="AT35" i="5" s="1"/>
  <c r="BC35" i="5" s="1"/>
  <c r="BL35" i="5" s="1"/>
  <c r="BU35" i="5" s="1"/>
  <c r="CD35" i="5" s="1"/>
  <c r="CM35" i="5" s="1"/>
  <c r="CV35" i="5" s="1"/>
  <c r="DE35" i="5" s="1"/>
  <c r="DN35" i="5" s="1"/>
  <c r="DW35" i="5" s="1"/>
  <c r="AB35" i="5"/>
  <c r="EA34" i="5"/>
  <c r="DZ34" i="5"/>
  <c r="DY34" i="5"/>
  <c r="AB34" i="5"/>
  <c r="AK34" i="5" s="1"/>
  <c r="AT34" i="5" s="1"/>
  <c r="BC34" i="5" s="1"/>
  <c r="BL34" i="5" s="1"/>
  <c r="BU34" i="5" s="1"/>
  <c r="CD34" i="5" s="1"/>
  <c r="CM34" i="5" s="1"/>
  <c r="CV34" i="5" s="1"/>
  <c r="DE34" i="5" s="1"/>
  <c r="DN34" i="5" s="1"/>
  <c r="DW34" i="5" s="1"/>
  <c r="EA33" i="5"/>
  <c r="DZ33" i="5"/>
  <c r="DY33" i="5"/>
  <c r="AB33" i="5"/>
  <c r="AK33" i="5"/>
  <c r="AT33" i="5" s="1"/>
  <c r="BC33" i="5" s="1"/>
  <c r="BL33" i="5" s="1"/>
  <c r="BU33" i="5" s="1"/>
  <c r="CD33" i="5" s="1"/>
  <c r="CM33" i="5" s="1"/>
  <c r="CV33" i="5" s="1"/>
  <c r="DE33" i="5" s="1"/>
  <c r="DN33" i="5" s="1"/>
  <c r="DW33" i="5" s="1"/>
  <c r="EA32" i="5"/>
  <c r="DZ32" i="5"/>
  <c r="DY32" i="5"/>
  <c r="AB32" i="5"/>
  <c r="AK32" i="5" s="1"/>
  <c r="AT32" i="5" s="1"/>
  <c r="BC32" i="5" s="1"/>
  <c r="BL32" i="5" s="1"/>
  <c r="BU32" i="5" s="1"/>
  <c r="CD32" i="5" s="1"/>
  <c r="CM32" i="5" s="1"/>
  <c r="CV32" i="5" s="1"/>
  <c r="DE32" i="5" s="1"/>
  <c r="DN32" i="5" s="1"/>
  <c r="DW32" i="5" s="1"/>
  <c r="EA31" i="5"/>
  <c r="DZ31" i="5"/>
  <c r="DY31" i="5"/>
  <c r="AK31" i="5"/>
  <c r="AT31" i="5" s="1"/>
  <c r="BC31" i="5" s="1"/>
  <c r="BL31" i="5" s="1"/>
  <c r="BU31" i="5" s="1"/>
  <c r="CD31" i="5" s="1"/>
  <c r="CM31" i="5" s="1"/>
  <c r="CV31" i="5" s="1"/>
  <c r="DE31" i="5" s="1"/>
  <c r="DN31" i="5" s="1"/>
  <c r="DW31" i="5" s="1"/>
  <c r="AB31" i="5"/>
  <c r="EA30" i="5"/>
  <c r="DZ30" i="5"/>
  <c r="DY30" i="5"/>
  <c r="AB30" i="5"/>
  <c r="AK30" i="5" s="1"/>
  <c r="AT30" i="5" s="1"/>
  <c r="BC30" i="5" s="1"/>
  <c r="BL30" i="5" s="1"/>
  <c r="BU30" i="5" s="1"/>
  <c r="CD30" i="5" s="1"/>
  <c r="CM30" i="5" s="1"/>
  <c r="CV30" i="5" s="1"/>
  <c r="DE30" i="5" s="1"/>
  <c r="DN30" i="5" s="1"/>
  <c r="DW30" i="5" s="1"/>
  <c r="EA29" i="5"/>
  <c r="DZ29" i="5"/>
  <c r="DY29" i="5"/>
  <c r="AB29" i="5"/>
  <c r="AK29" i="5"/>
  <c r="AT29" i="5" s="1"/>
  <c r="BC29" i="5" s="1"/>
  <c r="BL29" i="5" s="1"/>
  <c r="BU29" i="5" s="1"/>
  <c r="CD29" i="5" s="1"/>
  <c r="CM29" i="5" s="1"/>
  <c r="CV29" i="5" s="1"/>
  <c r="DE29" i="5" s="1"/>
  <c r="DN29" i="5" s="1"/>
  <c r="DW29" i="5" s="1"/>
  <c r="EA28" i="5"/>
  <c r="DZ28" i="5"/>
  <c r="DY28" i="5"/>
  <c r="AB28" i="5"/>
  <c r="AK28" i="5" s="1"/>
  <c r="AT28" i="5" s="1"/>
  <c r="BC28" i="5" s="1"/>
  <c r="BL28" i="5" s="1"/>
  <c r="BU28" i="5" s="1"/>
  <c r="CD28" i="5" s="1"/>
  <c r="CM28" i="5" s="1"/>
  <c r="CV28" i="5" s="1"/>
  <c r="DE28" i="5" s="1"/>
  <c r="DN28" i="5" s="1"/>
  <c r="DW28" i="5" s="1"/>
  <c r="EA27" i="5"/>
  <c r="DZ27" i="5"/>
  <c r="DY27" i="5"/>
  <c r="AB27" i="5"/>
  <c r="AK27" i="5" s="1"/>
  <c r="AT27" i="5" s="1"/>
  <c r="BC27" i="5" s="1"/>
  <c r="BL27" i="5" s="1"/>
  <c r="BU27" i="5" s="1"/>
  <c r="CD27" i="5" s="1"/>
  <c r="CM27" i="5" s="1"/>
  <c r="CV27" i="5" s="1"/>
  <c r="DE27" i="5" s="1"/>
  <c r="DN27" i="5" s="1"/>
  <c r="DW27" i="5" s="1"/>
  <c r="EA26" i="5"/>
  <c r="DZ26" i="5"/>
  <c r="DY26" i="5"/>
  <c r="AB26" i="5"/>
  <c r="AK26" i="5" s="1"/>
  <c r="AT26" i="5" s="1"/>
  <c r="BC26" i="5" s="1"/>
  <c r="BL26" i="5" s="1"/>
  <c r="BU26" i="5" s="1"/>
  <c r="CD26" i="5" s="1"/>
  <c r="CM26" i="5" s="1"/>
  <c r="CV26" i="5" s="1"/>
  <c r="DE26" i="5" s="1"/>
  <c r="DN26" i="5" s="1"/>
  <c r="DW26" i="5" s="1"/>
  <c r="EA25" i="5"/>
  <c r="DZ25" i="5"/>
  <c r="DY25" i="5"/>
  <c r="AK25" i="5"/>
  <c r="AT25" i="5"/>
  <c r="BC25" i="5" s="1"/>
  <c r="BL25" i="5"/>
  <c r="BU25" i="5" s="1"/>
  <c r="CD25" i="5" s="1"/>
  <c r="CM25" i="5" s="1"/>
  <c r="CV25" i="5" s="1"/>
  <c r="DE25" i="5" s="1"/>
  <c r="DN25" i="5" s="1"/>
  <c r="DW25" i="5" s="1"/>
  <c r="AB25" i="5"/>
  <c r="EA24" i="5"/>
  <c r="DZ24" i="5"/>
  <c r="DY24" i="5"/>
  <c r="AB24" i="5"/>
  <c r="AK24" i="5"/>
  <c r="AT24" i="5" s="1"/>
  <c r="BC24" i="5" s="1"/>
  <c r="BL24" i="5" s="1"/>
  <c r="BU24" i="5" s="1"/>
  <c r="CD24" i="5" s="1"/>
  <c r="CM24" i="5" s="1"/>
  <c r="CV24" i="5" s="1"/>
  <c r="DE24" i="5" s="1"/>
  <c r="DN24" i="5" s="1"/>
  <c r="DW24" i="5" s="1"/>
  <c r="EA23" i="5"/>
  <c r="DZ23" i="5"/>
  <c r="DY23" i="5"/>
  <c r="AB23" i="5"/>
  <c r="AK23" i="5" s="1"/>
  <c r="AT23" i="5"/>
  <c r="BC23" i="5" s="1"/>
  <c r="BL23" i="5" s="1"/>
  <c r="BU23" i="5" s="1"/>
  <c r="CD23" i="5" s="1"/>
  <c r="CM23" i="5" s="1"/>
  <c r="CV23" i="5" s="1"/>
  <c r="DE23" i="5" s="1"/>
  <c r="DN23" i="5" s="1"/>
  <c r="DW23" i="5" s="1"/>
  <c r="EA22" i="5"/>
  <c r="DZ22" i="5"/>
  <c r="DY22" i="5"/>
  <c r="AB22" i="5"/>
  <c r="AK22" i="5" s="1"/>
  <c r="AT22" i="5" s="1"/>
  <c r="BC22" i="5" s="1"/>
  <c r="BL22" i="5" s="1"/>
  <c r="BU22" i="5" s="1"/>
  <c r="CD22" i="5" s="1"/>
  <c r="CM22" i="5" s="1"/>
  <c r="CV22" i="5" s="1"/>
  <c r="DE22" i="5" s="1"/>
  <c r="DN22" i="5" s="1"/>
  <c r="DW22" i="5" s="1"/>
  <c r="EA21" i="5"/>
  <c r="DZ21" i="5"/>
  <c r="DY21" i="5"/>
  <c r="AB21" i="5"/>
  <c r="AK21" i="5" s="1"/>
  <c r="AT21" i="5" s="1"/>
  <c r="BC21" i="5" s="1"/>
  <c r="BL21" i="5" s="1"/>
  <c r="BU21" i="5" s="1"/>
  <c r="CD21" i="5" s="1"/>
  <c r="CM21" i="5" s="1"/>
  <c r="CV21" i="5" s="1"/>
  <c r="DE21" i="5" s="1"/>
  <c r="DN21" i="5" s="1"/>
  <c r="DW21" i="5" s="1"/>
  <c r="EA20" i="5"/>
  <c r="DZ20" i="5"/>
  <c r="DY20" i="5"/>
  <c r="AB20" i="5"/>
  <c r="AK20" i="5" s="1"/>
  <c r="AT20" i="5" s="1"/>
  <c r="BC20" i="5" s="1"/>
  <c r="BL20" i="5" s="1"/>
  <c r="BU20" i="5" s="1"/>
  <c r="CD20" i="5" s="1"/>
  <c r="CM20" i="5" s="1"/>
  <c r="CV20" i="5" s="1"/>
  <c r="DE20" i="5" s="1"/>
  <c r="DN20" i="5" s="1"/>
  <c r="DW20" i="5" s="1"/>
  <c r="EA19" i="5"/>
  <c r="DZ19" i="5"/>
  <c r="DY19" i="5"/>
  <c r="AB19" i="5"/>
  <c r="AK19" i="5" s="1"/>
  <c r="AT19" i="5" s="1"/>
  <c r="BC19" i="5" s="1"/>
  <c r="BL19" i="5" s="1"/>
  <c r="BU19" i="5" s="1"/>
  <c r="CD19" i="5" s="1"/>
  <c r="CM19" i="5" s="1"/>
  <c r="CV19" i="5" s="1"/>
  <c r="DE19" i="5" s="1"/>
  <c r="DN19" i="5" s="1"/>
  <c r="DW19" i="5" s="1"/>
  <c r="EA18" i="5"/>
  <c r="DZ18" i="5"/>
  <c r="DY18" i="5"/>
  <c r="AB18" i="5"/>
  <c r="AK18" i="5" s="1"/>
  <c r="AT18" i="5" s="1"/>
  <c r="BC18" i="5" s="1"/>
  <c r="BL18" i="5" s="1"/>
  <c r="BU18" i="5" s="1"/>
  <c r="CD18" i="5" s="1"/>
  <c r="CM18" i="5" s="1"/>
  <c r="CV18" i="5" s="1"/>
  <c r="DE18" i="5" s="1"/>
  <c r="DN18" i="5" s="1"/>
  <c r="DW18" i="5" s="1"/>
  <c r="EA17" i="5"/>
  <c r="DZ17" i="5"/>
  <c r="DY17" i="5"/>
  <c r="AK17" i="5"/>
  <c r="AT17" i="5"/>
  <c r="BC17" i="5" s="1"/>
  <c r="BL17" i="5" s="1"/>
  <c r="BU17" i="5" s="1"/>
  <c r="CD17" i="5" s="1"/>
  <c r="CM17" i="5" s="1"/>
  <c r="CV17" i="5" s="1"/>
  <c r="DE17" i="5" s="1"/>
  <c r="DN17" i="5" s="1"/>
  <c r="DW17" i="5" s="1"/>
  <c r="AB17" i="5"/>
  <c r="EA16" i="5"/>
  <c r="DZ16" i="5"/>
  <c r="DY16" i="5"/>
  <c r="AB16" i="5"/>
  <c r="AK16" i="5"/>
  <c r="AT16" i="5" s="1"/>
  <c r="BC16" i="5" s="1"/>
  <c r="BL16" i="5" s="1"/>
  <c r="BU16" i="5" s="1"/>
  <c r="CD16" i="5" s="1"/>
  <c r="CM16" i="5" s="1"/>
  <c r="CV16" i="5" s="1"/>
  <c r="DE16" i="5" s="1"/>
  <c r="DN16" i="5" s="1"/>
  <c r="DW16" i="5" s="1"/>
  <c r="EA15" i="5"/>
  <c r="DZ15" i="5"/>
  <c r="DY15" i="5"/>
  <c r="AB15" i="5"/>
  <c r="AK15" i="5" s="1"/>
  <c r="AT15" i="5" s="1"/>
  <c r="BC15" i="5" s="1"/>
  <c r="BL15" i="5" s="1"/>
  <c r="BU15" i="5" s="1"/>
  <c r="CD15" i="5" s="1"/>
  <c r="CM15" i="5" s="1"/>
  <c r="CV15" i="5" s="1"/>
  <c r="DE15" i="5" s="1"/>
  <c r="DN15" i="5" s="1"/>
  <c r="DW15" i="5" s="1"/>
  <c r="EA14" i="5"/>
  <c r="DZ14" i="5"/>
  <c r="DY14" i="5"/>
  <c r="AB14" i="5"/>
  <c r="EA13" i="5"/>
  <c r="DZ13" i="5"/>
  <c r="DY13" i="5"/>
  <c r="AB13" i="5"/>
  <c r="AK13" i="5" s="1"/>
  <c r="DS5" i="5"/>
  <c r="DQ5" i="5"/>
  <c r="DO5" i="5"/>
  <c r="DG5" i="5"/>
  <c r="DF5" i="5"/>
  <c r="DA5" i="5"/>
  <c r="CY5" i="5"/>
  <c r="CR5" i="5"/>
  <c r="CP5" i="5"/>
  <c r="CO5" i="5"/>
  <c r="CN5" i="5"/>
  <c r="CK5" i="5"/>
  <c r="CI5" i="5"/>
  <c r="CE5" i="5"/>
  <c r="CB5" i="5"/>
  <c r="BZ5" i="5"/>
  <c r="BX5" i="5"/>
  <c r="BW5" i="5"/>
  <c r="BV5" i="5"/>
  <c r="BO5" i="5"/>
  <c r="BN5" i="5"/>
  <c r="BM5" i="5"/>
  <c r="BJ5" i="5"/>
  <c r="BF5" i="5"/>
  <c r="BE5" i="5"/>
  <c r="BD5" i="5"/>
  <c r="BA5" i="5"/>
  <c r="AY5" i="5"/>
  <c r="AW5" i="5"/>
  <c r="AP5" i="5"/>
  <c r="AM5" i="5"/>
  <c r="AL5" i="5"/>
  <c r="AD5" i="5"/>
  <c r="Z5" i="5"/>
  <c r="X5" i="5"/>
  <c r="V5" i="5"/>
  <c r="U5" i="5"/>
  <c r="E4" i="5"/>
  <c r="D3" i="5"/>
  <c r="AG45" i="3"/>
  <c r="G4" i="3"/>
  <c r="K4" i="3" s="1"/>
  <c r="AT3" i="3"/>
  <c r="AR3" i="3"/>
  <c r="AP3" i="3"/>
  <c r="AN3" i="3"/>
  <c r="AL3" i="3"/>
  <c r="AJ3" i="3"/>
  <c r="AH3" i="3"/>
  <c r="AK2" i="3"/>
  <c r="J1" i="2"/>
  <c r="P29" i="6"/>
  <c r="P4" i="6"/>
  <c r="P28" i="6"/>
  <c r="P11" i="6"/>
  <c r="P6" i="6" l="1"/>
  <c r="P17" i="6"/>
  <c r="P26" i="6"/>
  <c r="P5" i="6"/>
  <c r="P14" i="6"/>
  <c r="P22" i="6"/>
  <c r="P13" i="6"/>
  <c r="P18" i="6"/>
  <c r="AT13" i="5"/>
  <c r="AK14" i="5"/>
  <c r="AT14" i="5" s="1"/>
  <c r="BC14" i="5" s="1"/>
  <c r="BL14" i="5" s="1"/>
  <c r="BU14" i="5" s="1"/>
  <c r="CD14" i="5" s="1"/>
  <c r="CM14" i="5" s="1"/>
  <c r="CV14" i="5" s="1"/>
  <c r="DE14" i="5" s="1"/>
  <c r="DN14" i="5" s="1"/>
  <c r="DW14" i="5" s="1"/>
  <c r="AB48" i="5"/>
  <c r="AB5" i="5" s="1"/>
  <c r="AJ44" i="3"/>
  <c r="AL4" i="3"/>
  <c r="AN4" i="3"/>
  <c r="O4" i="3"/>
  <c r="S4" i="3" s="1"/>
  <c r="P30" i="6" l="1"/>
  <c r="AT48" i="5"/>
  <c r="AT5" i="5" s="1"/>
  <c r="BC13" i="5"/>
  <c r="AK48" i="5"/>
  <c r="AK5" i="5" s="1"/>
  <c r="AR44" i="3"/>
  <c r="AL44" i="3"/>
  <c r="AT44" i="3"/>
  <c r="AP44" i="3"/>
  <c r="AN44" i="3"/>
  <c r="AN45" i="3" s="1"/>
  <c r="W4" i="3"/>
  <c r="AP4" i="3"/>
  <c r="AV44" i="3" l="1"/>
  <c r="BC48" i="5"/>
  <c r="BC5" i="5" s="1"/>
  <c r="BL13" i="5"/>
  <c r="AP45" i="3"/>
  <c r="AP46" i="3" s="1"/>
  <c r="U5" i="3" s="1"/>
  <c r="AR45" i="3"/>
  <c r="AR46" i="3" s="1"/>
  <c r="Y5" i="3" s="1"/>
  <c r="AL45" i="3"/>
  <c r="AL46" i="3" s="1"/>
  <c r="M5" i="3" s="1"/>
  <c r="AN46" i="3"/>
  <c r="Q5" i="3" s="1"/>
  <c r="AJ45" i="3"/>
  <c r="AJ46" i="3" s="1"/>
  <c r="AT45" i="3"/>
  <c r="AR4" i="3"/>
  <c r="AA4" i="3"/>
  <c r="AT4" i="3" s="1"/>
  <c r="BL48" i="5" l="1"/>
  <c r="BL5" i="5" s="1"/>
  <c r="BU13" i="5"/>
  <c r="AT46" i="3"/>
  <c r="AC5" i="3" s="1"/>
  <c r="I5" i="3"/>
  <c r="BU48" i="5" l="1"/>
  <c r="BU5" i="5" s="1"/>
  <c r="CD13" i="5"/>
  <c r="AH45" i="3"/>
  <c r="AH46" i="3" s="1"/>
  <c r="AH47" i="3" s="1"/>
  <c r="AI47" i="3" s="1"/>
  <c r="AE5" i="3" s="1"/>
  <c r="CD48" i="5" l="1"/>
  <c r="CD5" i="5" s="1"/>
  <c r="CM13" i="5"/>
  <c r="E5" i="3"/>
  <c r="CM48" i="5" l="1"/>
  <c r="CM5" i="5" s="1"/>
  <c r="CV13" i="5"/>
  <c r="DE13" i="5" l="1"/>
  <c r="CV48" i="5"/>
  <c r="CV5" i="5" s="1"/>
  <c r="DE48" i="5" l="1"/>
  <c r="DE5" i="5" s="1"/>
  <c r="DN13" i="5"/>
  <c r="DN48" i="5" l="1"/>
  <c r="DN5" i="5" s="1"/>
  <c r="DW13" i="5"/>
  <c r="DW48" i="5" s="1"/>
  <c r="DW5" i="5" s="1"/>
</calcChain>
</file>

<file path=xl/sharedStrings.xml><?xml version="1.0" encoding="utf-8"?>
<sst xmlns="http://schemas.openxmlformats.org/spreadsheetml/2006/main" count="2694" uniqueCount="424">
  <si>
    <t>Restaurant</t>
  </si>
  <si>
    <t>Personalstammdaten</t>
  </si>
  <si>
    <t>Anzahl</t>
  </si>
  <si>
    <t>Name</t>
  </si>
  <si>
    <t>Vorname</t>
  </si>
  <si>
    <t>Telefon Nr1</t>
  </si>
  <si>
    <t>Telefon Nr2</t>
  </si>
  <si>
    <t>Strasse</t>
  </si>
  <si>
    <t>PLZ / Ort</t>
  </si>
  <si>
    <t>Nationalität</t>
  </si>
  <si>
    <t>Bewilligung</t>
  </si>
  <si>
    <t>Station</t>
  </si>
  <si>
    <t>Pensum</t>
  </si>
  <si>
    <t>Eintritt</t>
  </si>
  <si>
    <t>Altenburger</t>
  </si>
  <si>
    <t>Mirco</t>
  </si>
  <si>
    <t>076 320 87 35</t>
  </si>
  <si>
    <t>Überlandstrasse 231</t>
  </si>
  <si>
    <t>8600 Dübendorf</t>
  </si>
  <si>
    <t>CH</t>
  </si>
  <si>
    <t>Bar</t>
  </si>
  <si>
    <t>Akrap</t>
  </si>
  <si>
    <t>Stipe</t>
  </si>
  <si>
    <t>079 950 66 45</t>
  </si>
  <si>
    <t>Seestrasse 81</t>
  </si>
  <si>
    <t>8820 Wedenswil</t>
  </si>
  <si>
    <t>Kroatien</t>
  </si>
  <si>
    <t>C</t>
  </si>
  <si>
    <t>Pasta</t>
  </si>
  <si>
    <t>Assefa</t>
  </si>
  <si>
    <t>Mintesenot</t>
  </si>
  <si>
    <t>076 41 92 696</t>
  </si>
  <si>
    <t>Winterthurerstrasse156</t>
  </si>
  <si>
    <t>8057 Z ürich</t>
  </si>
  <si>
    <t>Äthiopien</t>
  </si>
  <si>
    <t>Mani</t>
  </si>
  <si>
    <t>Axmed Nur</t>
  </si>
  <si>
    <t>Nagib</t>
  </si>
  <si>
    <t xml:space="preserve">076 28 22 620 </t>
  </si>
  <si>
    <t>Herbartstrasse 1</t>
  </si>
  <si>
    <t>8004 Zürich</t>
  </si>
  <si>
    <t>Somalia</t>
  </si>
  <si>
    <t>F</t>
  </si>
  <si>
    <t>Spüle</t>
  </si>
  <si>
    <t>Axmed Maxamuud</t>
  </si>
  <si>
    <t>Dahir</t>
  </si>
  <si>
    <t>078 304 56 81</t>
  </si>
  <si>
    <t>076 531 63 89</t>
  </si>
  <si>
    <t>Zürcherstrasse 215 c/o OG 3</t>
  </si>
  <si>
    <t>8953 Dietikon</t>
  </si>
  <si>
    <t>Barua</t>
  </si>
  <si>
    <t>Sajib</t>
  </si>
  <si>
    <t>076 574 41 77</t>
  </si>
  <si>
    <t>Hohlstrasse 357</t>
  </si>
  <si>
    <t>Bangladesch</t>
  </si>
  <si>
    <t>B</t>
  </si>
  <si>
    <t>Bektes</t>
  </si>
  <si>
    <t>Dituri</t>
  </si>
  <si>
    <t>076 412 92 76</t>
  </si>
  <si>
    <t>Eisenbahnstrasse 8</t>
  </si>
  <si>
    <t>8640 Rapperswil</t>
  </si>
  <si>
    <t>Belgien</t>
  </si>
  <si>
    <t>Pizza</t>
  </si>
  <si>
    <t>Berekhet</t>
  </si>
  <si>
    <t>Abraha</t>
  </si>
  <si>
    <t>076 480 80 62</t>
  </si>
  <si>
    <t>Zürichstrasse 43</t>
  </si>
  <si>
    <t>8143 Adliswil</t>
  </si>
  <si>
    <t>Eritrea</t>
  </si>
  <si>
    <t>Ben Said</t>
  </si>
  <si>
    <t>Arbi</t>
  </si>
  <si>
    <t>078 929 14 04 / 078 61 2 14 06</t>
  </si>
  <si>
    <t>0049 173 15 87 232</t>
  </si>
  <si>
    <t>Speerstrasse 52</t>
  </si>
  <si>
    <t>8038 Zürich</t>
  </si>
  <si>
    <t>D</t>
  </si>
  <si>
    <t>Brazerol</t>
  </si>
  <si>
    <t>Andrea</t>
  </si>
  <si>
    <t>078 789 91 06</t>
  </si>
  <si>
    <t>Eduard Steiner Strasse 7</t>
  </si>
  <si>
    <t>8400 Winterthur</t>
  </si>
  <si>
    <t>S/K/S</t>
  </si>
  <si>
    <t>Blaser</t>
  </si>
  <si>
    <t>Nathalie</t>
  </si>
  <si>
    <t>079 651 57 76</t>
  </si>
  <si>
    <t>Winterthurerstrasse 320</t>
  </si>
  <si>
    <t>8057 Zürich</t>
  </si>
  <si>
    <t>Kasse</t>
  </si>
  <si>
    <t>Cisman Xalaso</t>
  </si>
  <si>
    <t>Hukun</t>
  </si>
  <si>
    <t>076 547 96 84</t>
  </si>
  <si>
    <t>Juchstrasse 25</t>
  </si>
  <si>
    <t>8048 Zürich</t>
  </si>
  <si>
    <t>Cunier</t>
  </si>
  <si>
    <t>Anne-Catherine</t>
  </si>
  <si>
    <t>079 723 96 82</t>
  </si>
  <si>
    <t>044 980 32 29</t>
  </si>
  <si>
    <t>Unterdorfstrasse 16</t>
  </si>
  <si>
    <t>8124 Maur</t>
  </si>
  <si>
    <t>Damianidou</t>
  </si>
  <si>
    <t>Pinelopi</t>
  </si>
  <si>
    <t>078 636 72 41</t>
  </si>
  <si>
    <t>043 931 74 11</t>
  </si>
  <si>
    <t>Albisriederstrasse 356</t>
  </si>
  <si>
    <t>8047 Zürich</t>
  </si>
  <si>
    <t>GR</t>
  </si>
  <si>
    <t>Service</t>
  </si>
  <si>
    <t>Dhrungyigpa</t>
  </si>
  <si>
    <t>Tenzing</t>
  </si>
  <si>
    <t>078 704 83 09</t>
  </si>
  <si>
    <t>Alte Tösstalstrasse 57</t>
  </si>
  <si>
    <t>8487 Zell</t>
  </si>
  <si>
    <t>Prep</t>
  </si>
  <si>
    <t>Fitah</t>
  </si>
  <si>
    <t>Abdulahi Warsame</t>
  </si>
  <si>
    <t>076 532 48 52</t>
  </si>
  <si>
    <t>c/o Faysal Rooble Adaan, Giebeleichstrasse 12</t>
  </si>
  <si>
    <t>8152 Glattbrugg</t>
  </si>
  <si>
    <t>Gabeyre Hashi</t>
  </si>
  <si>
    <t>Sharmarke</t>
  </si>
  <si>
    <t>078 880 95 13</t>
  </si>
  <si>
    <t>Zwinglistrasse 12</t>
  </si>
  <si>
    <t>Grünenfeler</t>
  </si>
  <si>
    <t>Tanja</t>
  </si>
  <si>
    <t>078 834 42 22</t>
  </si>
  <si>
    <t>Mühlestrasse 3</t>
  </si>
  <si>
    <t>8623 Wetzikon</t>
  </si>
  <si>
    <t>Salat</t>
  </si>
  <si>
    <t>Habte</t>
  </si>
  <si>
    <t>Hadish</t>
  </si>
  <si>
    <t>076 246 81 10</t>
  </si>
  <si>
    <t>Weiningenstrasse 44</t>
  </si>
  <si>
    <t>8103 Unterengstringen</t>
  </si>
  <si>
    <t>Süle</t>
  </si>
  <si>
    <t>Hasan Mohamed</t>
  </si>
  <si>
    <t>Ahmed</t>
  </si>
  <si>
    <t>076 576 62 95</t>
  </si>
  <si>
    <t>Albisstrasse 19</t>
  </si>
  <si>
    <t>Hermann</t>
  </si>
  <si>
    <t>Tamara</t>
  </si>
  <si>
    <t>076 282 40 38</t>
  </si>
  <si>
    <t>Poststrasse 95</t>
  </si>
  <si>
    <t>8957 Spreibenach</t>
  </si>
  <si>
    <t>Service/Kasse</t>
  </si>
  <si>
    <t>Huber</t>
  </si>
  <si>
    <t>Roberto</t>
  </si>
  <si>
    <t>076 44 855 82</t>
  </si>
  <si>
    <t>Herbstweg 94</t>
  </si>
  <si>
    <t>8050 Zürich</t>
  </si>
  <si>
    <t>Ivankovic</t>
  </si>
  <si>
    <t>Katja</t>
  </si>
  <si>
    <t>079 562 46 65</t>
  </si>
  <si>
    <t>044 382 59 25</t>
  </si>
  <si>
    <t>Forchstrasse 179</t>
  </si>
  <si>
    <t>8032 Zürich</t>
  </si>
  <si>
    <t>Dolci</t>
  </si>
  <si>
    <t>Khan</t>
  </si>
  <si>
    <t>Sayedur Rahman</t>
  </si>
  <si>
    <t>076 547 94 20</t>
  </si>
  <si>
    <t>Gujerstrasse 7</t>
  </si>
  <si>
    <t>Bangladesh</t>
  </si>
  <si>
    <t>Krauer</t>
  </si>
  <si>
    <t>079 576 26 13</t>
  </si>
  <si>
    <t>Mattackerstrasse 81</t>
  </si>
  <si>
    <t>8052 Zürich</t>
  </si>
  <si>
    <t>Milanovic</t>
  </si>
  <si>
    <t>Miroslava</t>
  </si>
  <si>
    <t>076 265 35 82</t>
  </si>
  <si>
    <t>Aufwiesenstrasse 22</t>
  </si>
  <si>
    <t>8305 Dietlikon</t>
  </si>
  <si>
    <t>Serbien</t>
  </si>
  <si>
    <t>Mock</t>
  </si>
  <si>
    <t>Hanna-Laura</t>
  </si>
  <si>
    <t>076 410 7422</t>
  </si>
  <si>
    <t>Hühnliackerweg 16</t>
  </si>
  <si>
    <t>8610 Uster</t>
  </si>
  <si>
    <t>O'Dwyer</t>
  </si>
  <si>
    <t>Tracey</t>
  </si>
  <si>
    <t>076 249 80 61</t>
  </si>
  <si>
    <t>Distelbergstrasse 8</t>
  </si>
  <si>
    <t>5000 Aarau</t>
  </si>
  <si>
    <t>Irland</t>
  </si>
  <si>
    <t>Pileggi</t>
  </si>
  <si>
    <t>Leonardo</t>
  </si>
  <si>
    <t>078 644 87 47</t>
  </si>
  <si>
    <t>Letzigraben 187</t>
  </si>
  <si>
    <t>Italien</t>
  </si>
  <si>
    <t>Qais</t>
  </si>
  <si>
    <t>Kamal</t>
  </si>
  <si>
    <t>076 541 98 84</t>
  </si>
  <si>
    <t>Rishan</t>
  </si>
  <si>
    <t>Arraya</t>
  </si>
  <si>
    <t>076 549 54 35</t>
  </si>
  <si>
    <t>Aargauer Strasse 32</t>
  </si>
  <si>
    <t>Sopaj</t>
  </si>
  <si>
    <t>Florim</t>
  </si>
  <si>
    <t>077 441 44 83</t>
  </si>
  <si>
    <t>Starengasse 10</t>
  </si>
  <si>
    <t>Kosovo</t>
  </si>
  <si>
    <t>Stojic</t>
  </si>
  <si>
    <t>Ana</t>
  </si>
  <si>
    <t>078 912 81 86</t>
  </si>
  <si>
    <t>Pflugstrasse 20</t>
  </si>
  <si>
    <t>8952 Schlieren</t>
  </si>
  <si>
    <t>Salat/Service</t>
  </si>
  <si>
    <t>Suranyi</t>
  </si>
  <si>
    <t>Meryem</t>
  </si>
  <si>
    <t>079 461 1888</t>
  </si>
  <si>
    <t>Zürcherstrasse 72a</t>
  </si>
  <si>
    <t>5432 Neuenhof</t>
  </si>
  <si>
    <t>Deutsch</t>
  </si>
  <si>
    <t>Suter</t>
  </si>
  <si>
    <t>Remy</t>
  </si>
  <si>
    <t>079 568 97 11</t>
  </si>
  <si>
    <t>Feldüetliweg 9</t>
  </si>
  <si>
    <t>8706 Meilen</t>
  </si>
  <si>
    <t>Kasse/Salat</t>
  </si>
  <si>
    <t>Sellathurai</t>
  </si>
  <si>
    <t>Suganthas</t>
  </si>
  <si>
    <t>078 709 73 19</t>
  </si>
  <si>
    <t>Sielfeldstrasse 32</t>
  </si>
  <si>
    <t>8003 Zürich</t>
  </si>
  <si>
    <t>Service/Prep</t>
  </si>
  <si>
    <t>Taveira Ribeiro Pires</t>
  </si>
  <si>
    <t>Joao Filipe</t>
  </si>
  <si>
    <t>079 716 26 52</t>
  </si>
  <si>
    <t>Manessestrasse 66</t>
  </si>
  <si>
    <t>Portugal</t>
  </si>
  <si>
    <t>Velikova</t>
  </si>
  <si>
    <t>Vesselina</t>
  </si>
  <si>
    <t>079 465 35 75</t>
  </si>
  <si>
    <t>Weidlistrasse 78</t>
  </si>
  <si>
    <t>8810 Horgen</t>
  </si>
  <si>
    <t>Yuusuf Maxamuud</t>
  </si>
  <si>
    <t>Maxamed</t>
  </si>
  <si>
    <t>076 533 69 84</t>
  </si>
  <si>
    <t>Gotthardstrasse 9</t>
  </si>
  <si>
    <t>6415 Arth</t>
  </si>
  <si>
    <t>Zdanovic</t>
  </si>
  <si>
    <t>Vitalij</t>
  </si>
  <si>
    <t>076 480 12 93</t>
  </si>
  <si>
    <t>Gumpisbüelstrasse 64</t>
  </si>
  <si>
    <t>Litauen</t>
  </si>
  <si>
    <t>Service/Bar</t>
  </si>
  <si>
    <t>K-Woche</t>
  </si>
  <si>
    <t>Stundenansatz</t>
  </si>
  <si>
    <t>Labor Vorgaben Monat</t>
  </si>
  <si>
    <t>NAME</t>
  </si>
  <si>
    <t>MONTAG</t>
  </si>
  <si>
    <t>DIENSTAG</t>
  </si>
  <si>
    <t>MITTWOCH</t>
  </si>
  <si>
    <t>DONNERSTAG</t>
  </si>
  <si>
    <t>FREITAG</t>
  </si>
  <si>
    <t>SAMSTAG</t>
  </si>
  <si>
    <t>SONNTAG</t>
  </si>
  <si>
    <t>Labor auf Woche</t>
  </si>
  <si>
    <t>Wenn Wert höher als Vorgabe, wird das Feld rot.</t>
  </si>
  <si>
    <t>Umsatz eingeben</t>
  </si>
  <si>
    <t>Labor</t>
  </si>
  <si>
    <t>Früh</t>
  </si>
  <si>
    <t>Spät</t>
  </si>
  <si>
    <t>Vorgaben Monat</t>
  </si>
  <si>
    <t>Pause</t>
  </si>
  <si>
    <t>F= Frei</t>
  </si>
  <si>
    <t>MS =  Mutterschaft</t>
  </si>
  <si>
    <t>Stunde</t>
  </si>
  <si>
    <t>FT= Feiertag</t>
  </si>
  <si>
    <t>KO= Kompensation</t>
  </si>
  <si>
    <t>Gesamt</t>
  </si>
  <si>
    <t>FE= Ferien</t>
  </si>
  <si>
    <t>MI= Militär</t>
  </si>
  <si>
    <t>K= Krank</t>
  </si>
  <si>
    <t>FW=Freiwunsch</t>
  </si>
  <si>
    <t>Woche</t>
  </si>
  <si>
    <t>Montag</t>
  </si>
  <si>
    <t>Dienstag</t>
  </si>
  <si>
    <t>Mittwoch</t>
  </si>
  <si>
    <t>Donnerstag</t>
  </si>
  <si>
    <t>Freitag</t>
  </si>
  <si>
    <t>Samstag</t>
  </si>
  <si>
    <t>Sonntag</t>
  </si>
  <si>
    <t>Umsatz Woche</t>
  </si>
  <si>
    <t>Stundenkontrolle Vapiano</t>
  </si>
  <si>
    <t>Total Fix</t>
  </si>
  <si>
    <t>Übersicht Monat</t>
  </si>
  <si>
    <t>Soll Std. Monat</t>
  </si>
  <si>
    <t>Ferien 2011 inkl. VJ</t>
  </si>
  <si>
    <t>Feiertage 2011 inkl. VJ</t>
  </si>
  <si>
    <t>Saldo Std. VJ</t>
  </si>
  <si>
    <t>Std. Januar 2011</t>
  </si>
  <si>
    <t>Kompensation ( Std. )</t>
  </si>
  <si>
    <t>Ferien bez. ( Tage )</t>
  </si>
  <si>
    <t>Feiertage bez. ( Tage )</t>
  </si>
  <si>
    <t>Unfall / Krank / Militär    ( Tage à 6h )</t>
  </si>
  <si>
    <t>Saldo Januar 2011</t>
  </si>
  <si>
    <t>Std. Februar 2011</t>
  </si>
  <si>
    <t>Saldo Februar 2011</t>
  </si>
  <si>
    <t>Std. März 2011</t>
  </si>
  <si>
    <t>Saldo März 2011</t>
  </si>
  <si>
    <t>Std. April 2011</t>
  </si>
  <si>
    <t>Saldo April 2011</t>
  </si>
  <si>
    <t>Std. Mai 2011</t>
  </si>
  <si>
    <t>Saldo Mai 2011</t>
  </si>
  <si>
    <t>Std. Juni 2011</t>
  </si>
  <si>
    <t>Saldo Juni 2011</t>
  </si>
  <si>
    <t>Std. Juli 2011</t>
  </si>
  <si>
    <t>Saldo Juli 2011</t>
  </si>
  <si>
    <t>Std. August 2011</t>
  </si>
  <si>
    <t>Saldo August 2011</t>
  </si>
  <si>
    <t>Std. September 2011</t>
  </si>
  <si>
    <t>Saldo Sep. 2011</t>
  </si>
  <si>
    <t>Std. Oktober 2011</t>
  </si>
  <si>
    <t>Saldo Okt. 2011</t>
  </si>
  <si>
    <t>Std. November 2011</t>
  </si>
  <si>
    <t>Saldo Nov. 2011</t>
  </si>
  <si>
    <t>Std. Dezember 2011</t>
  </si>
  <si>
    <t>Saldo Dez. 2011</t>
  </si>
  <si>
    <t>Ferien Saldo 2011</t>
  </si>
  <si>
    <t>Feiertag Saldo 2011</t>
  </si>
  <si>
    <t>Unfall / Krank / Militär</t>
  </si>
  <si>
    <t>P.E.</t>
  </si>
  <si>
    <t>Afrim</t>
  </si>
  <si>
    <t>Mustafa</t>
  </si>
  <si>
    <t>Dallmann</t>
  </si>
  <si>
    <t>Christoph</t>
  </si>
  <si>
    <t>De Abreu Subtil</t>
  </si>
  <si>
    <t>Luis Filipe</t>
  </si>
  <si>
    <t>Denic</t>
  </si>
  <si>
    <t>Danijela</t>
  </si>
  <si>
    <t>Hadji</t>
  </si>
  <si>
    <t>Sumo</t>
  </si>
  <si>
    <t>Manif</t>
  </si>
  <si>
    <t>Hirsi Hilowie</t>
  </si>
  <si>
    <t>Zakariye</t>
  </si>
  <si>
    <t>Landolt</t>
  </si>
  <si>
    <t>Verena</t>
  </si>
  <si>
    <t>Müller</t>
  </si>
  <si>
    <t>Dayadi</t>
  </si>
  <si>
    <t>Plotnick</t>
  </si>
  <si>
    <t>Yves</t>
  </si>
  <si>
    <t>Rutz</t>
  </si>
  <si>
    <t>Serena</t>
  </si>
  <si>
    <t>Sarfraz</t>
  </si>
  <si>
    <t>Rana</t>
  </si>
  <si>
    <t>Tewelde</t>
  </si>
  <si>
    <t>Daniel</t>
  </si>
  <si>
    <t>Taveira Ribeiro</t>
  </si>
  <si>
    <t>Total</t>
  </si>
  <si>
    <t>Uniformen Monat Januar 2011</t>
  </si>
  <si>
    <t>24.40</t>
  </si>
  <si>
    <t>Kochjacke</t>
  </si>
  <si>
    <t>1.65</t>
  </si>
  <si>
    <t>Knöpfe</t>
  </si>
  <si>
    <t>23.50</t>
  </si>
  <si>
    <t>Hemd</t>
  </si>
  <si>
    <t>20.10</t>
  </si>
  <si>
    <t>Schürze</t>
  </si>
  <si>
    <t>9.80</t>
  </si>
  <si>
    <t>Bandana</t>
  </si>
  <si>
    <t>17.75</t>
  </si>
  <si>
    <t>Krawatte</t>
  </si>
  <si>
    <t>32.90</t>
  </si>
  <si>
    <t>Pulli</t>
  </si>
  <si>
    <t>Küche</t>
  </si>
  <si>
    <t xml:space="preserve">Stefan </t>
  </si>
  <si>
    <t>Miro</t>
  </si>
  <si>
    <t>Dienstplan Olív</t>
  </si>
  <si>
    <t>Kochen</t>
  </si>
  <si>
    <t>Sushi</t>
  </si>
  <si>
    <t>Bar/Pass/Service Unten</t>
  </si>
  <si>
    <t>Artin</t>
  </si>
  <si>
    <t>Kalte Küche</t>
  </si>
  <si>
    <t>Pass</t>
  </si>
  <si>
    <t>Produktion</t>
  </si>
  <si>
    <t>Arber</t>
  </si>
  <si>
    <t>Marion</t>
  </si>
  <si>
    <t>Carlos</t>
  </si>
  <si>
    <t>Mendim</t>
  </si>
  <si>
    <t>Bar/Pass/Service Oben</t>
  </si>
  <si>
    <t>Event</t>
  </si>
  <si>
    <t>Edi</t>
  </si>
  <si>
    <t>Joana</t>
  </si>
  <si>
    <t>Nahuel</t>
  </si>
  <si>
    <t>PLUS 106</t>
  </si>
  <si>
    <t>3000CHF</t>
  </si>
  <si>
    <t>110:88:00</t>
  </si>
  <si>
    <t>24:70:00</t>
  </si>
  <si>
    <t>Mejdi</t>
  </si>
  <si>
    <t>Husein</t>
  </si>
  <si>
    <t>Viktor</t>
  </si>
  <si>
    <t>CORNER BAR</t>
  </si>
  <si>
    <t>Culi</t>
  </si>
  <si>
    <t>Franco</t>
  </si>
  <si>
    <t>Arsim</t>
  </si>
  <si>
    <t>Ali</t>
  </si>
  <si>
    <t>Sadete</t>
  </si>
  <si>
    <t>Radja</t>
  </si>
  <si>
    <t>Marcel</t>
  </si>
  <si>
    <t>Aushilfe</t>
  </si>
  <si>
    <t>Isabella</t>
  </si>
  <si>
    <t>SCHULUNG</t>
  </si>
  <si>
    <t>FE</t>
  </si>
  <si>
    <t>ÄNDERUNG VORBEHALTEN</t>
  </si>
  <si>
    <t>David</t>
  </si>
  <si>
    <t>Saad</t>
  </si>
  <si>
    <t>KW 1</t>
  </si>
  <si>
    <t>Doni</t>
  </si>
  <si>
    <t>ànderungen vorbehalten</t>
  </si>
  <si>
    <t>KW 2</t>
  </si>
  <si>
    <t>KW3</t>
  </si>
  <si>
    <t>KW 4</t>
  </si>
  <si>
    <t>änderungen vorbehalten</t>
  </si>
  <si>
    <t>FW</t>
  </si>
  <si>
    <t>KW 5</t>
  </si>
  <si>
    <t>KW 6</t>
  </si>
  <si>
    <t>UG - McDonalds Party 250 PAX</t>
  </si>
  <si>
    <t>UG 60 PAX - 17:00 Apero</t>
  </si>
  <si>
    <t>BEI BEDARF ANRUFEN</t>
  </si>
  <si>
    <t>K</t>
  </si>
  <si>
    <t>UG - Polizei Mittag</t>
  </si>
  <si>
    <t>UG - Abend 60 PAX</t>
  </si>
  <si>
    <t>UG - Abend 120 PAX</t>
  </si>
  <si>
    <t>KO</t>
  </si>
  <si>
    <t>11:3O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</si>
</sst>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&quot; €&quot;_-;\-* #,##0.00&quot; €&quot;_-;_-* \-??&quot; €&quot;_-;_-@_-"/>
    <numFmt numFmtId="165" formatCode="0\ %"/>
    <numFmt numFmtId="166" formatCode="&quot;Fr. &quot;#,##0.00;[Red]&quot;Fr. -&quot;#,##0.00"/>
    <numFmt numFmtId="167" formatCode="_ * #,##0.00_ ;_ * \-#,##0.00_ ;_ * \-??_ ;_ @_ "/>
    <numFmt numFmtId="168" formatCode="[$-407]dd/mm/yyyy"/>
    <numFmt numFmtId="169" formatCode="&quot;Fr. &quot;#,##0.00"/>
    <numFmt numFmtId="170" formatCode="0.00\ %"/>
    <numFmt numFmtId="171" formatCode="[$-407]hh:mm"/>
    <numFmt numFmtId="172" formatCode="[hh]:mm"/>
    <numFmt numFmtId="173" formatCode="0.00&quot; P.E.&quot;"/>
    <numFmt numFmtId="174" formatCode="mmmm\ yyyy"/>
    <numFmt numFmtId="175" formatCode="[Green]0.00;[Red]\-0.00"/>
  </numFmts>
  <fonts count="62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name val="MS Sans Serif"/>
      <family val="2"/>
      <charset val="1"/>
    </font>
    <font>
      <sz val="20"/>
      <color rgb="FF000000"/>
      <name val="Calibri"/>
      <family val="2"/>
      <charset val="1"/>
    </font>
    <font>
      <i/>
      <sz val="22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i/>
      <sz val="16"/>
      <color rgb="FFFFFFFF"/>
      <name val="Calibri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9"/>
      <name val="Arial"/>
      <family val="2"/>
      <charset val="1"/>
    </font>
    <font>
      <sz val="10"/>
      <color rgb="FFFFFFFF"/>
      <name val="Arial"/>
      <family val="2"/>
      <charset val="1"/>
    </font>
    <font>
      <sz val="9"/>
      <color rgb="FFFFFFFF"/>
      <name val="Arial"/>
      <family val="2"/>
      <charset val="1"/>
    </font>
    <font>
      <sz val="9"/>
      <color rgb="FFFFFFFF"/>
      <name val="Calibri"/>
      <family val="2"/>
      <charset val="1"/>
    </font>
    <font>
      <sz val="9"/>
      <name val="Calibri"/>
      <family val="2"/>
      <charset val="1"/>
    </font>
    <font>
      <b/>
      <sz val="8"/>
      <color rgb="FF000000"/>
      <name val="Arial"/>
      <family val="2"/>
      <charset val="1"/>
    </font>
    <font>
      <b/>
      <sz val="8"/>
      <name val="Arial"/>
      <family val="2"/>
      <charset val="1"/>
    </font>
    <font>
      <i/>
      <sz val="8"/>
      <color rgb="FFFFFFFF"/>
      <name val="Arial"/>
      <family val="2"/>
      <charset val="1"/>
    </font>
    <font>
      <i/>
      <sz val="8"/>
      <color rgb="FF7F7F7F"/>
      <name val="Arial"/>
      <family val="2"/>
      <charset val="1"/>
    </font>
    <font>
      <i/>
      <sz val="8"/>
      <color rgb="FF7F7F7F"/>
      <name val="Calibri"/>
      <family val="2"/>
      <charset val="1"/>
    </font>
    <font>
      <i/>
      <sz val="8"/>
      <name val="Arial"/>
      <family val="2"/>
      <charset val="1"/>
    </font>
    <font>
      <i/>
      <sz val="8"/>
      <color rgb="FF00CCFF"/>
      <name val="Arial"/>
      <family val="2"/>
      <charset val="1"/>
    </font>
    <font>
      <b/>
      <sz val="11"/>
      <name val="Arial"/>
      <family val="2"/>
      <charset val="1"/>
    </font>
    <font>
      <sz val="5"/>
      <name val="Arial"/>
      <family val="2"/>
      <charset val="1"/>
    </font>
    <font>
      <b/>
      <sz val="5"/>
      <name val="Arial"/>
      <family val="2"/>
      <charset val="1"/>
    </font>
    <font>
      <i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5"/>
      <color rgb="FF404040"/>
      <name val="Arial"/>
      <family val="2"/>
      <charset val="1"/>
    </font>
    <font>
      <i/>
      <sz val="7"/>
      <color rgb="FF000000"/>
      <name val="Calibri"/>
      <family val="2"/>
      <charset val="1"/>
    </font>
    <font>
      <b/>
      <i/>
      <sz val="7"/>
      <color rgb="FF000000"/>
      <name val="Calibri"/>
      <family val="2"/>
      <charset val="1"/>
    </font>
    <font>
      <i/>
      <sz val="9"/>
      <color rgb="FF000000"/>
      <name val="Calibri"/>
      <family val="2"/>
      <charset val="1"/>
    </font>
    <font>
      <i/>
      <sz val="9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5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8"/>
      <color rgb="FFFFFFFF"/>
      <name val="Arial"/>
      <family val="2"/>
      <charset val="1"/>
    </font>
    <font>
      <sz val="8"/>
      <name val="Arial"/>
      <family val="2"/>
      <charset val="1"/>
    </font>
    <font>
      <b/>
      <sz val="12"/>
      <name val="Arial"/>
      <family val="2"/>
      <charset val="1"/>
    </font>
    <font>
      <b/>
      <sz val="6"/>
      <name val="Arial"/>
      <family val="2"/>
      <charset val="1"/>
    </font>
    <font>
      <sz val="6"/>
      <name val="Arial"/>
      <family val="2"/>
      <charset val="1"/>
    </font>
    <font>
      <i/>
      <sz val="8"/>
      <name val="Calibri"/>
      <family val="2"/>
      <charset val="1"/>
    </font>
    <font>
      <i/>
      <sz val="8"/>
      <color rgb="FFFF0000"/>
      <name val="Calibri"/>
      <family val="2"/>
      <charset val="1"/>
    </font>
    <font>
      <i/>
      <sz val="9"/>
      <color rgb="FFFFFFFF"/>
      <name val="Arial"/>
      <family val="2"/>
      <charset val="1"/>
    </font>
    <font>
      <sz val="8"/>
      <color rgb="FF0000FF"/>
      <name val="Arial"/>
      <family val="2"/>
      <charset val="1"/>
    </font>
    <font>
      <sz val="5"/>
      <color rgb="FFFFFFFF"/>
      <name val="Calibri"/>
      <family val="2"/>
      <charset val="1"/>
    </font>
    <font>
      <sz val="7"/>
      <name val="Arial"/>
      <family val="2"/>
      <charset val="1"/>
    </font>
    <font>
      <sz val="7"/>
      <name val="Calibri"/>
      <family val="2"/>
      <charset val="1"/>
    </font>
    <font>
      <sz val="8"/>
      <color rgb="FF000000"/>
      <name val="Calibri"/>
      <family val="2"/>
      <charset val="1"/>
    </font>
    <font>
      <sz val="6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color theme="0"/>
      <name val="Arial"/>
      <family val="2"/>
    </font>
    <font>
      <sz val="8"/>
      <name val="Calibri"/>
      <family val="2"/>
      <charset val="1"/>
    </font>
    <font>
      <sz val="10"/>
      <color rgb="FF000000"/>
      <name val="Arial"/>
      <family val="2"/>
    </font>
    <font>
      <b/>
      <sz val="5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6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8"/>
      <color theme="1"/>
      <name val="Calibri"/>
      <family val="2"/>
      <charset val="1"/>
    </font>
    <font>
      <sz val="10"/>
      <color theme="1"/>
      <name val="Arial"/>
      <family val="2"/>
    </font>
    <font>
      <i/>
      <sz val="8"/>
      <color theme="1"/>
      <name val="Arial"/>
      <family val="2"/>
      <charset val="1"/>
    </font>
    <font>
      <sz val="6"/>
      <color rgb="FF000000"/>
      <name val="Arial"/>
      <family val="2"/>
      <charset val="1"/>
    </font>
  </fonts>
  <fills count="42">
    <fill>
      <patternFill patternType="none"/>
    </fill>
    <fill>
      <patternFill patternType="gray125"/>
    </fill>
    <fill>
      <patternFill patternType="solid">
        <fgColor rgb="FFC0504D"/>
        <bgColor rgb="FF993300"/>
      </patternFill>
    </fill>
    <fill>
      <patternFill patternType="solid">
        <fgColor rgb="FFFF0000"/>
        <bgColor rgb="FF9C0006"/>
      </patternFill>
    </fill>
    <fill>
      <patternFill patternType="solid">
        <fgColor rgb="FFFFFFFF"/>
        <bgColor rgb="FFFFFFCC"/>
      </patternFill>
    </fill>
    <fill>
      <patternFill patternType="solid">
        <fgColor rgb="FF993300"/>
        <bgColor rgb="FF9C0006"/>
      </patternFill>
    </fill>
    <fill>
      <patternFill patternType="solid">
        <fgColor rgb="FF95B3D7"/>
        <bgColor rgb="FF99CCFF"/>
      </patternFill>
    </fill>
    <fill>
      <patternFill patternType="solid">
        <fgColor rgb="FF000000"/>
        <bgColor rgb="FF003300"/>
      </patternFill>
    </fill>
    <fill>
      <patternFill patternType="solid">
        <fgColor rgb="FF558ED5"/>
        <bgColor rgb="FF7F7F7F"/>
      </patternFill>
    </fill>
    <fill>
      <patternFill patternType="solid">
        <fgColor rgb="FF99CCFF"/>
        <bgColor rgb="FFB9CDE5"/>
      </patternFill>
    </fill>
    <fill>
      <patternFill patternType="solid">
        <fgColor rgb="FF00B0F0"/>
        <bgColor rgb="FF00CCFF"/>
      </patternFill>
    </fill>
    <fill>
      <patternFill patternType="solid">
        <fgColor rgb="FFC6D9F1"/>
        <bgColor rgb="FFCCCCFF"/>
      </patternFill>
    </fill>
    <fill>
      <patternFill patternType="solid">
        <fgColor rgb="FF0066CC"/>
        <bgColor rgb="FF008080"/>
      </patternFill>
    </fill>
    <fill>
      <patternFill patternType="solid">
        <fgColor rgb="FFCC99FF"/>
        <bgColor rgb="FFFC9EEF"/>
      </patternFill>
    </fill>
    <fill>
      <patternFill patternType="solid">
        <fgColor rgb="FFCCCCFF"/>
        <bgColor rgb="FFC6D9F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C6D9F1"/>
      </patternFill>
    </fill>
    <fill>
      <patternFill patternType="solid">
        <fgColor rgb="FF92D05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5" tint="0.39997558519241921"/>
        <bgColor rgb="FFFFFFCC"/>
      </patternFill>
    </fill>
    <fill>
      <patternFill patternType="solid">
        <fgColor theme="7" tint="-0.249977111117893"/>
        <bgColor rgb="FFFFFFCC"/>
      </patternFill>
    </fill>
    <fill>
      <patternFill patternType="solid">
        <fgColor theme="4" tint="0.39997558519241921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FFFFCC"/>
      </patternFill>
    </fill>
    <fill>
      <patternFill patternType="solid">
        <fgColor rgb="FF00FFF8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theme="1"/>
        <bgColor rgb="FFFFFFCC"/>
      </patternFill>
    </fill>
    <fill>
      <patternFill patternType="solid">
        <fgColor theme="1"/>
        <bgColor rgb="FFC6D9F1"/>
      </patternFill>
    </fill>
    <fill>
      <patternFill patternType="solid">
        <fgColor rgb="FF92D050"/>
        <bgColor rgb="FFB9CDE5"/>
      </patternFill>
    </fill>
    <fill>
      <patternFill patternType="solid">
        <fgColor theme="0"/>
        <bgColor rgb="FF003300"/>
      </patternFill>
    </fill>
    <fill>
      <patternFill patternType="solid">
        <fgColor rgb="FFFF0000"/>
        <bgColor rgb="FF003300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7030A0"/>
        <b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theme="7" tint="0.59999389629810485"/>
        <bgColor indexed="64"/>
      </patternFill>
    </fill>
  </fills>
  <borders count="6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11">
    <xf numFmtId="0" fontId="0" fillId="0" borderId="0"/>
    <xf numFmtId="167" fontId="50" fillId="0" borderId="0" applyBorder="0" applyProtection="0"/>
    <xf numFmtId="165" fontId="50" fillId="0" borderId="0" applyBorder="0" applyProtection="0"/>
    <xf numFmtId="164" fontId="50" fillId="0" borderId="0" applyBorder="0" applyProtection="0"/>
    <xf numFmtId="165" fontId="50" fillId="0" borderId="0" applyBorder="0" applyProtection="0"/>
    <xf numFmtId="0" fontId="1" fillId="0" borderId="0"/>
    <xf numFmtId="0" fontId="2" fillId="0" borderId="0"/>
    <xf numFmtId="0" fontId="1" fillId="0" borderId="0" applyBorder="0"/>
    <xf numFmtId="0" fontId="1" fillId="0" borderId="0" applyBorder="0"/>
    <xf numFmtId="166" fontId="50" fillId="0" borderId="0" applyBorder="0" applyProtection="0"/>
    <xf numFmtId="0" fontId="5" fillId="2" borderId="0" applyBorder="0" applyProtection="0"/>
  </cellStyleXfs>
  <cellXfs count="386">
    <xf numFmtId="0" fontId="0" fillId="0" borderId="0" xfId="0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left"/>
      <protection locked="0"/>
    </xf>
    <xf numFmtId="0" fontId="0" fillId="0" borderId="6" xfId="0" applyBorder="1" applyAlignment="1" applyProtection="1">
      <alignment horizontal="center"/>
      <protection locked="0"/>
    </xf>
    <xf numFmtId="168" fontId="0" fillId="0" borderId="6" xfId="0" applyNumberForma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/>
      <protection locked="0"/>
    </xf>
    <xf numFmtId="168" fontId="0" fillId="0" borderId="1" xfId="0" applyNumberForma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0" fontId="7" fillId="0" borderId="0" xfId="7" applyFont="1" applyBorder="1" applyAlignment="1">
      <alignment horizontal="center" vertical="center"/>
    </xf>
    <xf numFmtId="0" fontId="8" fillId="0" borderId="0" xfId="7" applyFont="1" applyBorder="1"/>
    <xf numFmtId="0" fontId="8" fillId="0" borderId="0" xfId="7" applyFont="1" applyBorder="1" applyAlignment="1">
      <alignment horizontal="center"/>
    </xf>
    <xf numFmtId="0" fontId="1" fillId="0" borderId="0" xfId="7" applyBorder="1" applyAlignment="1">
      <alignment horizontal="center"/>
    </xf>
    <xf numFmtId="0" fontId="1" fillId="0" borderId="0" xfId="7" applyBorder="1"/>
    <xf numFmtId="0" fontId="9" fillId="0" borderId="0" xfId="7" applyFont="1" applyBorder="1" applyAlignment="1">
      <alignment horizontal="right"/>
    </xf>
    <xf numFmtId="0" fontId="1" fillId="0" borderId="0" xfId="7" applyBorder="1" applyAlignment="1">
      <alignment horizontal="right"/>
    </xf>
    <xf numFmtId="0" fontId="1" fillId="7" borderId="0" xfId="7" applyFill="1" applyBorder="1"/>
    <xf numFmtId="0" fontId="10" fillId="7" borderId="1" xfId="7" applyFont="1" applyFill="1" applyBorder="1" applyAlignment="1">
      <alignment horizontal="center"/>
    </xf>
    <xf numFmtId="169" fontId="12" fillId="3" borderId="1" xfId="0" applyNumberFormat="1" applyFont="1" applyFill="1" applyBorder="1" applyAlignment="1">
      <alignment horizontal="right"/>
    </xf>
    <xf numFmtId="0" fontId="12" fillId="7" borderId="1" xfId="0" applyFont="1" applyFill="1" applyBorder="1" applyAlignment="1">
      <alignment horizontal="right"/>
    </xf>
    <xf numFmtId="0" fontId="1" fillId="7" borderId="0" xfId="7" applyFill="1" applyBorder="1" applyAlignment="1">
      <alignment horizontal="right"/>
    </xf>
    <xf numFmtId="0" fontId="1" fillId="3" borderId="1" xfId="7" applyFill="1" applyBorder="1" applyAlignment="1">
      <alignment horizontal="center"/>
    </xf>
    <xf numFmtId="0" fontId="12" fillId="3" borderId="1" xfId="0" applyFont="1" applyFill="1" applyBorder="1" applyAlignment="1">
      <alignment horizontal="right"/>
    </xf>
    <xf numFmtId="170" fontId="13" fillId="7" borderId="1" xfId="2" applyNumberFormat="1" applyFont="1" applyFill="1" applyBorder="1" applyAlignment="1" applyProtection="1">
      <alignment horizontal="right"/>
    </xf>
    <xf numFmtId="168" fontId="1" fillId="7" borderId="0" xfId="7" applyNumberFormat="1" applyFill="1" applyBorder="1" applyAlignment="1">
      <alignment horizontal="right"/>
    </xf>
    <xf numFmtId="170" fontId="19" fillId="7" borderId="11" xfId="1" applyNumberFormat="1" applyFont="1" applyFill="1" applyBorder="1" applyAlignment="1" applyProtection="1">
      <alignment horizontal="center"/>
    </xf>
    <xf numFmtId="2" fontId="1" fillId="0" borderId="0" xfId="7" applyNumberFormat="1" applyBorder="1"/>
    <xf numFmtId="0" fontId="20" fillId="7" borderId="11" xfId="7" applyFont="1" applyFill="1" applyBorder="1" applyAlignment="1">
      <alignment horizontal="center" vertical="center" wrapText="1"/>
    </xf>
    <xf numFmtId="0" fontId="11" fillId="7" borderId="1" xfId="7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0" fillId="7" borderId="6" xfId="7" applyFont="1" applyFill="1" applyBorder="1" applyAlignment="1">
      <alignment horizontal="center" vertical="center" textRotation="90"/>
    </xf>
    <xf numFmtId="171" fontId="11" fillId="7" borderId="0" xfId="0" applyNumberFormat="1" applyFont="1" applyFill="1" applyAlignment="1">
      <alignment horizontal="right"/>
    </xf>
    <xf numFmtId="171" fontId="11" fillId="7" borderId="0" xfId="7" applyNumberFormat="1" applyFont="1" applyFill="1" applyBorder="1" applyAlignment="1">
      <alignment horizontal="right"/>
    </xf>
    <xf numFmtId="0" fontId="0" fillId="7" borderId="0" xfId="0" applyFill="1"/>
    <xf numFmtId="0" fontId="21" fillId="4" borderId="22" xfId="7" applyFont="1" applyFill="1" applyBorder="1" applyAlignment="1" applyProtection="1">
      <alignment horizontal="center" vertical="center" textRotation="180"/>
      <protection locked="0"/>
    </xf>
    <xf numFmtId="0" fontId="8" fillId="4" borderId="23" xfId="7" applyFont="1" applyFill="1" applyBorder="1" applyProtection="1">
      <protection locked="0"/>
    </xf>
    <xf numFmtId="0" fontId="7" fillId="4" borderId="13" xfId="7" applyFont="1" applyFill="1" applyBorder="1" applyAlignment="1" applyProtection="1">
      <alignment horizontal="center" vertical="center"/>
      <protection locked="0"/>
    </xf>
    <xf numFmtId="0" fontId="25" fillId="4" borderId="25" xfId="7" applyFont="1" applyFill="1" applyBorder="1" applyProtection="1">
      <protection locked="0"/>
    </xf>
    <xf numFmtId="0" fontId="1" fillId="4" borderId="0" xfId="7" applyFill="1" applyBorder="1" applyAlignment="1">
      <alignment horizontal="center"/>
    </xf>
    <xf numFmtId="0" fontId="27" fillId="4" borderId="26" xfId="0" applyFont="1" applyFill="1" applyBorder="1" applyAlignment="1" applyProtection="1">
      <alignment horizontal="center" vertical="center" wrapText="1"/>
      <protection locked="0"/>
    </xf>
    <xf numFmtId="0" fontId="27" fillId="4" borderId="0" xfId="0" applyFont="1" applyFill="1" applyAlignment="1" applyProtection="1">
      <alignment horizontal="center" vertical="center" wrapText="1"/>
      <protection locked="0"/>
    </xf>
    <xf numFmtId="171" fontId="22" fillId="4" borderId="0" xfId="0" applyNumberFormat="1" applyFont="1" applyFill="1" applyAlignment="1" applyProtection="1">
      <alignment horizontal="center"/>
      <protection locked="0"/>
    </xf>
    <xf numFmtId="0" fontId="9" fillId="7" borderId="0" xfId="7" applyFont="1" applyFill="1" applyBorder="1" applyAlignment="1">
      <alignment horizontal="right"/>
    </xf>
    <xf numFmtId="0" fontId="7" fillId="4" borderId="0" xfId="7" applyFont="1" applyFill="1" applyBorder="1" applyAlignment="1" applyProtection="1">
      <alignment horizontal="center" vertical="center"/>
      <protection locked="0"/>
    </xf>
    <xf numFmtId="0" fontId="24" fillId="11" borderId="12" xfId="7" applyFont="1" applyFill="1" applyBorder="1" applyProtection="1">
      <protection locked="0"/>
    </xf>
    <xf numFmtId="0" fontId="29" fillId="11" borderId="28" xfId="0" applyFont="1" applyFill="1" applyBorder="1" applyProtection="1">
      <protection locked="0"/>
    </xf>
    <xf numFmtId="0" fontId="29" fillId="11" borderId="21" xfId="0" applyFont="1" applyFill="1" applyBorder="1" applyProtection="1">
      <protection locked="0"/>
    </xf>
    <xf numFmtId="0" fontId="1" fillId="4" borderId="0" xfId="7" applyFill="1" applyBorder="1" applyAlignment="1" applyProtection="1">
      <alignment horizontal="center"/>
      <protection locked="0"/>
    </xf>
    <xf numFmtId="0" fontId="10" fillId="7" borderId="1" xfId="7" applyFont="1" applyFill="1" applyBorder="1" applyAlignment="1">
      <alignment horizontal="center" vertical="center"/>
    </xf>
    <xf numFmtId="172" fontId="11" fillId="7" borderId="1" xfId="7" applyNumberFormat="1" applyFont="1" applyFill="1" applyBorder="1" applyAlignment="1">
      <alignment horizontal="right"/>
    </xf>
    <xf numFmtId="0" fontId="24" fillId="4" borderId="2" xfId="7" applyFont="1" applyFill="1" applyBorder="1" applyProtection="1">
      <protection locked="0"/>
    </xf>
    <xf numFmtId="171" fontId="30" fillId="4" borderId="29" xfId="0" applyNumberFormat="1" applyFont="1" applyFill="1" applyBorder="1" applyAlignment="1" applyProtection="1">
      <alignment horizontal="left"/>
      <protection locked="0"/>
    </xf>
    <xf numFmtId="171" fontId="30" fillId="4" borderId="11" xfId="0" applyNumberFormat="1" applyFont="1" applyFill="1" applyBorder="1" applyAlignment="1" applyProtection="1">
      <alignment horizontal="left"/>
      <protection locked="0"/>
    </xf>
    <xf numFmtId="0" fontId="5" fillId="7" borderId="1" xfId="0" applyFont="1" applyFill="1" applyBorder="1" applyAlignment="1">
      <alignment horizontal="center" vertical="center"/>
    </xf>
    <xf numFmtId="172" fontId="1" fillId="4" borderId="0" xfId="7" applyNumberFormat="1" applyFill="1" applyBorder="1" applyAlignment="1">
      <alignment horizontal="right"/>
    </xf>
    <xf numFmtId="0" fontId="24" fillId="11" borderId="26" xfId="7" applyFont="1" applyFill="1" applyBorder="1" applyProtection="1">
      <protection locked="0"/>
    </xf>
    <xf numFmtId="171" fontId="30" fillId="11" borderId="0" xfId="0" applyNumberFormat="1" applyFont="1" applyFill="1" applyAlignment="1" applyProtection="1">
      <alignment horizontal="left"/>
      <protection locked="0"/>
    </xf>
    <xf numFmtId="171" fontId="30" fillId="11" borderId="19" xfId="0" applyNumberFormat="1" applyFont="1" applyFill="1" applyBorder="1" applyAlignment="1" applyProtection="1">
      <alignment horizontal="left"/>
      <protection locked="0"/>
    </xf>
    <xf numFmtId="169" fontId="11" fillId="7" borderId="1" xfId="7" applyNumberFormat="1" applyFont="1" applyFill="1" applyBorder="1" applyAlignment="1">
      <alignment horizontal="center"/>
    </xf>
    <xf numFmtId="2" fontId="11" fillId="7" borderId="1" xfId="7" applyNumberFormat="1" applyFont="1" applyFill="1" applyBorder="1" applyAlignment="1">
      <alignment horizontal="center"/>
    </xf>
    <xf numFmtId="171" fontId="30" fillId="4" borderId="29" xfId="0" applyNumberFormat="1" applyFont="1" applyFill="1" applyBorder="1" applyProtection="1">
      <protection locked="0"/>
    </xf>
    <xf numFmtId="171" fontId="30" fillId="4" borderId="11" xfId="0" applyNumberFormat="1" applyFont="1" applyFill="1" applyBorder="1" applyProtection="1">
      <protection locked="0"/>
    </xf>
    <xf numFmtId="0" fontId="7" fillId="4" borderId="0" xfId="7" applyFont="1" applyFill="1" applyBorder="1" applyAlignment="1">
      <alignment horizontal="center" vertical="center"/>
    </xf>
    <xf numFmtId="0" fontId="33" fillId="4" borderId="0" xfId="7" applyFont="1" applyFill="1" applyBorder="1" applyProtection="1">
      <protection locked="0"/>
    </xf>
    <xf numFmtId="171" fontId="22" fillId="0" borderId="0" xfId="0" applyNumberFormat="1" applyFont="1" applyAlignment="1" applyProtection="1">
      <alignment horizontal="center"/>
      <protection locked="0"/>
    </xf>
    <xf numFmtId="170" fontId="11" fillId="10" borderId="1" xfId="2" applyNumberFormat="1" applyFont="1" applyFill="1" applyBorder="1" applyAlignment="1" applyProtection="1">
      <alignment horizontal="center"/>
    </xf>
    <xf numFmtId="0" fontId="11" fillId="7" borderId="0" xfId="7" applyFont="1" applyFill="1" applyBorder="1" applyAlignment="1">
      <alignment horizontal="center"/>
    </xf>
    <xf numFmtId="172" fontId="9" fillId="0" borderId="0" xfId="7" applyNumberFormat="1" applyFont="1" applyBorder="1" applyAlignment="1">
      <alignment horizontal="right"/>
    </xf>
    <xf numFmtId="171" fontId="30" fillId="4" borderId="0" xfId="0" applyNumberFormat="1" applyFont="1" applyFill="1" applyAlignment="1" applyProtection="1">
      <alignment horizontal="left" wrapText="1"/>
      <protection locked="0"/>
    </xf>
    <xf numFmtId="0" fontId="33" fillId="0" borderId="0" xfId="7" applyFont="1" applyBorder="1" applyProtection="1">
      <protection locked="0"/>
    </xf>
    <xf numFmtId="0" fontId="10" fillId="0" borderId="0" xfId="7" applyFont="1" applyBorder="1" applyProtection="1">
      <protection locked="0"/>
    </xf>
    <xf numFmtId="0" fontId="10" fillId="0" borderId="0" xfId="7" applyFont="1" applyBorder="1" applyAlignment="1">
      <alignment horizontal="center"/>
    </xf>
    <xf numFmtId="0" fontId="10" fillId="0" borderId="0" xfId="7" applyFont="1" applyBorder="1"/>
    <xf numFmtId="2" fontId="10" fillId="0" borderId="0" xfId="7" applyNumberFormat="1" applyFont="1" applyBorder="1"/>
    <xf numFmtId="0" fontId="8" fillId="0" borderId="0" xfId="7" applyFont="1" applyBorder="1" applyProtection="1">
      <protection locked="0"/>
    </xf>
    <xf numFmtId="2" fontId="10" fillId="0" borderId="0" xfId="7" applyNumberFormat="1" applyFont="1" applyBorder="1" applyAlignment="1">
      <alignment horizontal="center"/>
    </xf>
    <xf numFmtId="167" fontId="0" fillId="0" borderId="0" xfId="0" applyNumberFormat="1"/>
    <xf numFmtId="173" fontId="35" fillId="0" borderId="1" xfId="6" applyNumberFormat="1" applyFont="1" applyBorder="1" applyAlignment="1">
      <alignment horizontal="center" vertical="center"/>
    </xf>
    <xf numFmtId="0" fontId="37" fillId="4" borderId="28" xfId="6" applyFont="1" applyFill="1" applyBorder="1" applyAlignment="1">
      <alignment horizontal="center" vertical="center"/>
    </xf>
    <xf numFmtId="0" fontId="37" fillId="4" borderId="21" xfId="6" applyFont="1" applyFill="1" applyBorder="1" applyAlignment="1">
      <alignment horizontal="center" vertical="center"/>
    </xf>
    <xf numFmtId="0" fontId="38" fillId="4" borderId="0" xfId="6" applyFont="1" applyFill="1" applyAlignment="1">
      <alignment horizontal="center" vertical="center"/>
    </xf>
    <xf numFmtId="167" fontId="38" fillId="4" borderId="0" xfId="6" applyNumberFormat="1" applyFont="1" applyFill="1" applyAlignment="1">
      <alignment horizontal="center" vertical="center"/>
    </xf>
    <xf numFmtId="0" fontId="35" fillId="4" borderId="0" xfId="6" applyFont="1" applyFill="1" applyAlignment="1">
      <alignment horizontal="center" vertical="center"/>
    </xf>
    <xf numFmtId="167" fontId="38" fillId="12" borderId="1" xfId="6" applyNumberFormat="1" applyFont="1" applyFill="1" applyBorder="1" applyAlignment="1">
      <alignment horizontal="center" vertical="center"/>
    </xf>
    <xf numFmtId="0" fontId="37" fillId="4" borderId="35" xfId="6" applyFont="1" applyFill="1" applyBorder="1" applyAlignment="1">
      <alignment horizontal="center" vertical="center"/>
    </xf>
    <xf numFmtId="0" fontId="37" fillId="4" borderId="30" xfId="6" applyFont="1" applyFill="1" applyBorder="1" applyAlignment="1">
      <alignment horizontal="center" vertical="center"/>
    </xf>
    <xf numFmtId="0" fontId="37" fillId="4" borderId="36" xfId="6" applyFont="1" applyFill="1" applyBorder="1" applyAlignment="1">
      <alignment horizontal="center" vertical="center"/>
    </xf>
    <xf numFmtId="0" fontId="37" fillId="4" borderId="0" xfId="6" applyFont="1" applyFill="1" applyAlignment="1">
      <alignment horizontal="center" vertical="center"/>
    </xf>
    <xf numFmtId="167" fontId="37" fillId="4" borderId="0" xfId="6" applyNumberFormat="1" applyFont="1" applyFill="1" applyAlignment="1">
      <alignment horizontal="center" vertical="center"/>
    </xf>
    <xf numFmtId="0" fontId="15" fillId="4" borderId="0" xfId="6" applyFont="1" applyFill="1" applyAlignment="1">
      <alignment horizontal="center" vertical="center"/>
    </xf>
    <xf numFmtId="0" fontId="36" fillId="4" borderId="0" xfId="6" applyFont="1" applyFill="1" applyAlignment="1">
      <alignment horizontal="center" vertical="center"/>
    </xf>
    <xf numFmtId="167" fontId="15" fillId="4" borderId="0" xfId="6" applyNumberFormat="1" applyFont="1" applyFill="1" applyAlignment="1">
      <alignment horizontal="center" vertical="center"/>
    </xf>
    <xf numFmtId="174" fontId="39" fillId="12" borderId="1" xfId="0" applyNumberFormat="1" applyFont="1" applyFill="1" applyBorder="1" applyAlignment="1" applyProtection="1">
      <alignment horizontal="center" textRotation="90"/>
      <protection locked="0"/>
    </xf>
    <xf numFmtId="167" fontId="40" fillId="0" borderId="1" xfId="0" applyNumberFormat="1" applyFont="1" applyBorder="1" applyAlignment="1" applyProtection="1">
      <alignment horizontal="center" textRotation="90"/>
      <protection locked="0"/>
    </xf>
    <xf numFmtId="174" fontId="39" fillId="0" borderId="0" xfId="0" applyNumberFormat="1" applyFont="1" applyAlignment="1">
      <alignment horizontal="center" textRotation="90"/>
    </xf>
    <xf numFmtId="0" fontId="39" fillId="12" borderId="1" xfId="0" applyFont="1" applyFill="1" applyBorder="1" applyAlignment="1" applyProtection="1">
      <alignment horizontal="center" textRotation="90"/>
      <protection locked="0"/>
    </xf>
    <xf numFmtId="0" fontId="42" fillId="12" borderId="1" xfId="6" applyFont="1" applyFill="1" applyBorder="1" applyAlignment="1">
      <alignment horizontal="center" vertical="center"/>
    </xf>
    <xf numFmtId="0" fontId="42" fillId="12" borderId="1" xfId="6" applyFont="1" applyFill="1" applyBorder="1" applyAlignment="1">
      <alignment horizontal="center" vertical="center" wrapText="1"/>
    </xf>
    <xf numFmtId="0" fontId="42" fillId="12" borderId="2" xfId="6" applyFont="1" applyFill="1" applyBorder="1" applyAlignment="1">
      <alignment horizontal="center" vertical="center"/>
    </xf>
    <xf numFmtId="167" fontId="42" fillId="4" borderId="0" xfId="6" applyNumberFormat="1" applyFont="1" applyFill="1" applyAlignment="1">
      <alignment horizontal="center"/>
    </xf>
    <xf numFmtId="167" fontId="42" fillId="4" borderId="0" xfId="6" applyNumberFormat="1" applyFont="1" applyFill="1" applyAlignment="1">
      <alignment horizontal="center" wrapText="1"/>
    </xf>
    <xf numFmtId="167" fontId="34" fillId="4" borderId="0" xfId="1" applyFont="1" applyFill="1" applyBorder="1" applyAlignment="1" applyProtection="1">
      <alignment horizontal="center"/>
    </xf>
    <xf numFmtId="167" fontId="42" fillId="4" borderId="0" xfId="1" applyFont="1" applyFill="1" applyBorder="1" applyAlignment="1" applyProtection="1">
      <alignment horizontal="center"/>
    </xf>
    <xf numFmtId="167" fontId="25" fillId="4" borderId="0" xfId="1" applyFont="1" applyFill="1" applyBorder="1" applyAlignment="1" applyProtection="1">
      <alignment horizontal="center"/>
    </xf>
    <xf numFmtId="167" fontId="35" fillId="0" borderId="0" xfId="6" applyNumberFormat="1" applyFont="1" applyAlignment="1">
      <alignment horizontal="center" wrapText="1"/>
    </xf>
    <xf numFmtId="167" fontId="25" fillId="4" borderId="0" xfId="0" applyNumberFormat="1" applyFont="1" applyFill="1"/>
    <xf numFmtId="167" fontId="25" fillId="0" borderId="0" xfId="0" applyNumberFormat="1" applyFont="1"/>
    <xf numFmtId="165" fontId="0" fillId="0" borderId="1" xfId="0" applyNumberFormat="1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left"/>
      <protection locked="0"/>
    </xf>
    <xf numFmtId="167" fontId="43" fillId="14" borderId="18" xfId="1" applyFont="1" applyFill="1" applyBorder="1" applyAlignment="1" applyProtection="1">
      <alignment horizontal="right"/>
      <protection locked="0"/>
    </xf>
    <xf numFmtId="167" fontId="43" fillId="14" borderId="1" xfId="1" applyFont="1" applyFill="1" applyBorder="1" applyAlignment="1" applyProtection="1">
      <alignment horizontal="right"/>
      <protection locked="0"/>
    </xf>
    <xf numFmtId="167" fontId="43" fillId="14" borderId="17" xfId="1" applyFont="1" applyFill="1" applyBorder="1" applyAlignment="1" applyProtection="1">
      <alignment horizontal="right"/>
      <protection locked="0"/>
    </xf>
    <xf numFmtId="167" fontId="44" fillId="13" borderId="18" xfId="1" applyFont="1" applyFill="1" applyBorder="1" applyAlignment="1" applyProtection="1">
      <alignment vertical="center"/>
      <protection locked="0"/>
    </xf>
    <xf numFmtId="167" fontId="44" fillId="13" borderId="1" xfId="1" applyFont="1" applyFill="1" applyBorder="1" applyAlignment="1" applyProtection="1">
      <alignment vertical="center"/>
      <protection locked="0"/>
    </xf>
    <xf numFmtId="167" fontId="44" fillId="13" borderId="17" xfId="1" applyFont="1" applyFill="1" applyBorder="1" applyAlignment="1" applyProtection="1">
      <alignment vertical="center"/>
      <protection locked="0"/>
    </xf>
    <xf numFmtId="167" fontId="35" fillId="14" borderId="18" xfId="1" applyFont="1" applyFill="1" applyBorder="1" applyAlignment="1" applyProtection="1">
      <alignment horizontal="center" vertical="center"/>
      <protection locked="0"/>
    </xf>
    <xf numFmtId="167" fontId="35" fillId="14" borderId="1" xfId="1" applyFont="1" applyFill="1" applyBorder="1" applyAlignment="1" applyProtection="1">
      <alignment horizontal="center" vertical="center"/>
      <protection locked="0"/>
    </xf>
    <xf numFmtId="167" fontId="35" fillId="14" borderId="1" xfId="1" applyFont="1" applyFill="1" applyBorder="1" applyAlignment="1" applyProtection="1">
      <alignment horizontal="center" vertical="center"/>
    </xf>
    <xf numFmtId="167" fontId="25" fillId="14" borderId="1" xfId="1" applyFont="1" applyFill="1" applyBorder="1" applyAlignment="1" applyProtection="1">
      <alignment horizontal="center"/>
      <protection locked="0"/>
    </xf>
    <xf numFmtId="167" fontId="35" fillId="0" borderId="1" xfId="1" applyFont="1" applyBorder="1" applyAlignment="1" applyProtection="1">
      <alignment horizontal="center" vertical="center"/>
    </xf>
    <xf numFmtId="175" fontId="35" fillId="7" borderId="17" xfId="1" applyNumberFormat="1" applyFont="1" applyFill="1" applyBorder="1" applyAlignment="1" applyProtection="1">
      <alignment horizontal="center" vertical="center"/>
    </xf>
    <xf numFmtId="167" fontId="35" fillId="9" borderId="18" xfId="1" applyFont="1" applyFill="1" applyBorder="1" applyAlignment="1" applyProtection="1">
      <alignment horizontal="center" vertical="center"/>
      <protection locked="0"/>
    </xf>
    <xf numFmtId="167" fontId="35" fillId="9" borderId="1" xfId="1" applyFont="1" applyFill="1" applyBorder="1" applyAlignment="1" applyProtection="1">
      <alignment horizontal="center" vertical="center"/>
      <protection locked="0"/>
    </xf>
    <xf numFmtId="167" fontId="35" fillId="9" borderId="1" xfId="1" applyFont="1" applyFill="1" applyBorder="1" applyAlignment="1" applyProtection="1">
      <alignment horizontal="center" vertical="center"/>
    </xf>
    <xf numFmtId="167" fontId="25" fillId="9" borderId="1" xfId="1" applyFont="1" applyFill="1" applyBorder="1" applyAlignment="1" applyProtection="1">
      <alignment horizontal="center"/>
      <protection locked="0"/>
    </xf>
    <xf numFmtId="175" fontId="35" fillId="7" borderId="2" xfId="1" applyNumberFormat="1" applyFont="1" applyFill="1" applyBorder="1" applyAlignment="1" applyProtection="1">
      <alignment horizontal="center" vertical="center"/>
    </xf>
    <xf numFmtId="175" fontId="35" fillId="7" borderId="1" xfId="1" applyNumberFormat="1" applyFont="1" applyFill="1" applyBorder="1" applyAlignment="1" applyProtection="1">
      <alignment horizontal="center" vertical="center"/>
    </xf>
    <xf numFmtId="167" fontId="35" fillId="0" borderId="0" xfId="1" applyFont="1" applyBorder="1" applyAlignment="1" applyProtection="1">
      <alignment horizontal="center" vertical="center"/>
    </xf>
    <xf numFmtId="0" fontId="35" fillId="0" borderId="0" xfId="6" applyFont="1" applyAlignment="1">
      <alignment horizontal="center" vertical="center"/>
    </xf>
    <xf numFmtId="167" fontId="43" fillId="9" borderId="18" xfId="1" applyFont="1" applyFill="1" applyBorder="1" applyAlignment="1" applyProtection="1">
      <alignment horizontal="right"/>
      <protection locked="0"/>
    </xf>
    <xf numFmtId="167" fontId="43" fillId="9" borderId="1" xfId="1" applyFont="1" applyFill="1" applyBorder="1" applyAlignment="1" applyProtection="1">
      <alignment horizontal="right"/>
      <protection locked="0"/>
    </xf>
    <xf numFmtId="167" fontId="43" fillId="9" borderId="17" xfId="1" applyFont="1" applyFill="1" applyBorder="1" applyAlignment="1" applyProtection="1">
      <alignment horizontal="right"/>
      <protection locked="0"/>
    </xf>
    <xf numFmtId="0" fontId="0" fillId="0" borderId="17" xfId="0" applyBorder="1" applyProtection="1">
      <protection locked="0"/>
    </xf>
    <xf numFmtId="167" fontId="45" fillId="13" borderId="18" xfId="1" applyFont="1" applyFill="1" applyBorder="1" applyProtection="1">
      <protection locked="0"/>
    </xf>
    <xf numFmtId="167" fontId="45" fillId="13" borderId="1" xfId="1" applyFont="1" applyFill="1" applyBorder="1" applyProtection="1">
      <protection locked="0"/>
    </xf>
    <xf numFmtId="167" fontId="45" fillId="13" borderId="17" xfId="1" applyFont="1" applyFill="1" applyBorder="1" applyProtection="1">
      <protection locked="0"/>
    </xf>
    <xf numFmtId="167" fontId="25" fillId="14" borderId="18" xfId="1" applyFont="1" applyFill="1" applyBorder="1" applyProtection="1">
      <protection locked="0"/>
    </xf>
    <xf numFmtId="167" fontId="25" fillId="14" borderId="1" xfId="1" applyFont="1" applyFill="1" applyBorder="1" applyProtection="1">
      <protection locked="0"/>
    </xf>
    <xf numFmtId="167" fontId="25" fillId="9" borderId="18" xfId="1" applyFont="1" applyFill="1" applyBorder="1" applyProtection="1">
      <protection locked="0"/>
    </xf>
    <xf numFmtId="167" fontId="25" fillId="9" borderId="1" xfId="1" applyFont="1" applyFill="1" applyBorder="1" applyProtection="1">
      <protection locked="0"/>
    </xf>
    <xf numFmtId="167" fontId="46" fillId="0" borderId="0" xfId="1" applyFont="1" applyBorder="1" applyProtection="1"/>
    <xf numFmtId="0" fontId="0" fillId="14" borderId="17" xfId="0" applyFill="1" applyBorder="1" applyAlignment="1" applyProtection="1">
      <alignment horizontal="left"/>
      <protection locked="0"/>
    </xf>
    <xf numFmtId="167" fontId="43" fillId="9" borderId="1" xfId="1" applyFont="1" applyFill="1" applyBorder="1" applyProtection="1">
      <protection locked="0"/>
    </xf>
    <xf numFmtId="167" fontId="43" fillId="9" borderId="17" xfId="1" applyFont="1" applyFill="1" applyBorder="1" applyProtection="1">
      <protection locked="0"/>
    </xf>
    <xf numFmtId="167" fontId="43" fillId="14" borderId="1" xfId="1" applyFont="1" applyFill="1" applyBorder="1" applyProtection="1">
      <protection locked="0"/>
    </xf>
    <xf numFmtId="167" fontId="43" fillId="14" borderId="17" xfId="1" applyFont="1" applyFill="1" applyBorder="1" applyProtection="1">
      <protection locked="0"/>
    </xf>
    <xf numFmtId="0" fontId="47" fillId="0" borderId="6" xfId="0" applyFont="1" applyBorder="1"/>
    <xf numFmtId="167" fontId="47" fillId="0" borderId="6" xfId="0" applyNumberFormat="1" applyFont="1" applyBorder="1"/>
    <xf numFmtId="167" fontId="47" fillId="0" borderId="6" xfId="0" applyNumberFormat="1" applyFont="1" applyBorder="1" applyProtection="1">
      <protection locked="0"/>
    </xf>
    <xf numFmtId="167" fontId="47" fillId="0" borderId="35" xfId="0" applyNumberFormat="1" applyFont="1" applyBorder="1"/>
    <xf numFmtId="0" fontId="47" fillId="0" borderId="0" xfId="0" applyFont="1"/>
    <xf numFmtId="0" fontId="47" fillId="0" borderId="36" xfId="0" applyFont="1" applyBorder="1"/>
    <xf numFmtId="0" fontId="47" fillId="0" borderId="35" xfId="0" applyFont="1" applyBorder="1"/>
    <xf numFmtId="0" fontId="47" fillId="4" borderId="0" xfId="0" applyFont="1" applyFill="1"/>
    <xf numFmtId="167" fontId="0" fillId="4" borderId="0" xfId="0" applyNumberFormat="1" applyFill="1"/>
    <xf numFmtId="169" fontId="0" fillId="0" borderId="8" xfId="0" applyNumberFormat="1" applyBorder="1"/>
    <xf numFmtId="4" fontId="0" fillId="0" borderId="37" xfId="0" applyNumberFormat="1" applyBorder="1"/>
    <xf numFmtId="4" fontId="0" fillId="0" borderId="38" xfId="0" applyNumberFormat="1" applyBorder="1"/>
    <xf numFmtId="4" fontId="0" fillId="0" borderId="39" xfId="0" applyNumberFormat="1" applyBorder="1"/>
    <xf numFmtId="4" fontId="0" fillId="0" borderId="40" xfId="0" applyNumberFormat="1" applyBorder="1"/>
    <xf numFmtId="4" fontId="0" fillId="0" borderId="24" xfId="0" applyNumberFormat="1" applyBorder="1"/>
    <xf numFmtId="169" fontId="0" fillId="0" borderId="32" xfId="0" applyNumberFormat="1" applyBorder="1" applyProtection="1">
      <protection locked="0"/>
    </xf>
    <xf numFmtId="4" fontId="0" fillId="0" borderId="41" xfId="0" applyNumberFormat="1" applyBorder="1" applyProtection="1">
      <protection locked="0"/>
    </xf>
    <xf numFmtId="4" fontId="0" fillId="0" borderId="42" xfId="0" applyNumberFormat="1" applyBorder="1"/>
    <xf numFmtId="4" fontId="0" fillId="0" borderId="43" xfId="0" applyNumberFormat="1" applyBorder="1" applyProtection="1">
      <protection locked="0"/>
    </xf>
    <xf numFmtId="4" fontId="0" fillId="0" borderId="44" xfId="0" applyNumberFormat="1" applyBorder="1"/>
    <xf numFmtId="4" fontId="0" fillId="0" borderId="33" xfId="0" applyNumberFormat="1" applyBorder="1"/>
    <xf numFmtId="169" fontId="0" fillId="0" borderId="29" xfId="0" applyNumberFormat="1" applyBorder="1" applyProtection="1">
      <protection locked="0"/>
    </xf>
    <xf numFmtId="4" fontId="0" fillId="0" borderId="18" xfId="0" applyNumberFormat="1" applyBorder="1" applyProtection="1">
      <protection locked="0"/>
    </xf>
    <xf numFmtId="4" fontId="0" fillId="0" borderId="17" xfId="0" applyNumberFormat="1" applyBorder="1"/>
    <xf numFmtId="4" fontId="0" fillId="0" borderId="11" xfId="0" applyNumberFormat="1" applyBorder="1" applyProtection="1">
      <protection locked="0"/>
    </xf>
    <xf numFmtId="4" fontId="0" fillId="0" borderId="2" xfId="0" applyNumberFormat="1" applyBorder="1"/>
    <xf numFmtId="4" fontId="0" fillId="0" borderId="31" xfId="0" applyNumberFormat="1" applyBorder="1"/>
    <xf numFmtId="169" fontId="0" fillId="0" borderId="28" xfId="0" applyNumberFormat="1" applyBorder="1" applyProtection="1">
      <protection locked="0"/>
    </xf>
    <xf numFmtId="4" fontId="0" fillId="0" borderId="15" xfId="0" applyNumberFormat="1" applyBorder="1" applyProtection="1">
      <protection locked="0"/>
    </xf>
    <xf numFmtId="4" fontId="0" fillId="0" borderId="16" xfId="0" applyNumberFormat="1" applyBorder="1"/>
    <xf numFmtId="4" fontId="0" fillId="0" borderId="21" xfId="0" applyNumberFormat="1" applyBorder="1" applyProtection="1">
      <protection locked="0"/>
    </xf>
    <xf numFmtId="4" fontId="0" fillId="0" borderId="12" xfId="0" applyNumberFormat="1" applyBorder="1"/>
    <xf numFmtId="4" fontId="0" fillId="0" borderId="34" xfId="0" applyNumberFormat="1" applyBorder="1"/>
    <xf numFmtId="169" fontId="49" fillId="4" borderId="0" xfId="0" applyNumberFormat="1" applyFont="1" applyFill="1"/>
    <xf numFmtId="20" fontId="51" fillId="15" borderId="1" xfId="0" applyNumberFormat="1" applyFont="1" applyFill="1" applyBorder="1" applyAlignment="1">
      <alignment horizontal="right"/>
    </xf>
    <xf numFmtId="20" fontId="1" fillId="0" borderId="0" xfId="7" applyNumberFormat="1" applyBorder="1"/>
    <xf numFmtId="0" fontId="16" fillId="7" borderId="0" xfId="7" applyFont="1" applyFill="1" applyBorder="1" applyAlignment="1">
      <alignment horizontal="center" vertical="center" textRotation="90" wrapText="1"/>
    </xf>
    <xf numFmtId="0" fontId="8" fillId="18" borderId="46" xfId="0" applyFont="1" applyFill="1" applyBorder="1" applyProtection="1">
      <protection locked="0"/>
    </xf>
    <xf numFmtId="171" fontId="38" fillId="24" borderId="7" xfId="0" applyNumberFormat="1" applyFont="1" applyFill="1" applyBorder="1" applyAlignment="1" applyProtection="1">
      <alignment horizontal="center"/>
      <protection locked="0"/>
    </xf>
    <xf numFmtId="171" fontId="38" fillId="24" borderId="16" xfId="0" applyNumberFormat="1" applyFont="1" applyFill="1" applyBorder="1" applyAlignment="1" applyProtection="1">
      <alignment horizontal="center"/>
      <protection locked="0"/>
    </xf>
    <xf numFmtId="171" fontId="38" fillId="16" borderId="54" xfId="0" applyNumberFormat="1" applyFont="1" applyFill="1" applyBorder="1" applyAlignment="1" applyProtection="1">
      <alignment horizontal="center"/>
      <protection locked="0"/>
    </xf>
    <xf numFmtId="0" fontId="8" fillId="16" borderId="48" xfId="7" applyFont="1" applyFill="1" applyBorder="1" applyProtection="1">
      <protection locked="0"/>
    </xf>
    <xf numFmtId="0" fontId="53" fillId="16" borderId="48" xfId="7" applyFont="1" applyFill="1" applyBorder="1" applyProtection="1">
      <protection locked="0"/>
    </xf>
    <xf numFmtId="171" fontId="38" fillId="16" borderId="53" xfId="0" applyNumberFormat="1" applyFont="1" applyFill="1" applyBorder="1" applyAlignment="1" applyProtection="1">
      <alignment horizontal="center"/>
      <protection locked="0"/>
    </xf>
    <xf numFmtId="0" fontId="8" fillId="28" borderId="46" xfId="0" applyFont="1" applyFill="1" applyBorder="1" applyProtection="1">
      <protection locked="0"/>
    </xf>
    <xf numFmtId="171" fontId="38" fillId="15" borderId="15" xfId="0" applyNumberFormat="1" applyFont="1" applyFill="1" applyBorder="1" applyAlignment="1" applyProtection="1">
      <alignment horizontal="center"/>
      <protection locked="0"/>
    </xf>
    <xf numFmtId="171" fontId="38" fillId="15" borderId="7" xfId="0" applyNumberFormat="1" applyFont="1" applyFill="1" applyBorder="1" applyAlignment="1" applyProtection="1">
      <alignment horizontal="center"/>
      <protection locked="0"/>
    </xf>
    <xf numFmtId="171" fontId="38" fillId="15" borderId="16" xfId="0" applyNumberFormat="1" applyFont="1" applyFill="1" applyBorder="1" applyAlignment="1" applyProtection="1">
      <alignment horizontal="center"/>
      <protection locked="0"/>
    </xf>
    <xf numFmtId="171" fontId="38" fillId="29" borderId="15" xfId="0" applyNumberFormat="1" applyFont="1" applyFill="1" applyBorder="1" applyAlignment="1" applyProtection="1">
      <alignment horizontal="center"/>
      <protection locked="0"/>
    </xf>
    <xf numFmtId="171" fontId="38" fillId="29" borderId="7" xfId="0" applyNumberFormat="1" applyFont="1" applyFill="1" applyBorder="1" applyAlignment="1" applyProtection="1">
      <alignment horizontal="center"/>
      <protection locked="0"/>
    </xf>
    <xf numFmtId="171" fontId="38" fillId="29" borderId="16" xfId="0" applyNumberFormat="1" applyFont="1" applyFill="1" applyBorder="1" applyAlignment="1" applyProtection="1">
      <alignment horizontal="center"/>
      <protection locked="0"/>
    </xf>
    <xf numFmtId="0" fontId="8" fillId="16" borderId="47" xfId="7" applyFont="1" applyFill="1" applyBorder="1" applyProtection="1">
      <protection locked="0"/>
    </xf>
    <xf numFmtId="171" fontId="38" fillId="24" borderId="21" xfId="0" applyNumberFormat="1" applyFont="1" applyFill="1" applyBorder="1" applyAlignment="1" applyProtection="1">
      <alignment horizontal="center"/>
      <protection locked="0"/>
    </xf>
    <xf numFmtId="0" fontId="8" fillId="4" borderId="57" xfId="7" applyFont="1" applyFill="1" applyBorder="1" applyProtection="1">
      <protection locked="0"/>
    </xf>
    <xf numFmtId="0" fontId="8" fillId="18" borderId="48" xfId="0" applyFont="1" applyFill="1" applyBorder="1" applyProtection="1">
      <protection locked="0"/>
    </xf>
    <xf numFmtId="0" fontId="8" fillId="18" borderId="50" xfId="0" applyFont="1" applyFill="1" applyBorder="1" applyProtection="1">
      <protection locked="0"/>
    </xf>
    <xf numFmtId="0" fontId="7" fillId="0" borderId="45" xfId="7" applyFont="1" applyBorder="1" applyAlignment="1">
      <alignment horizontal="center" vertical="center" textRotation="90"/>
    </xf>
    <xf numFmtId="171" fontId="38" fillId="0" borderId="7" xfId="0" applyNumberFormat="1" applyFont="1" applyBorder="1" applyAlignment="1" applyProtection="1">
      <alignment horizontal="center"/>
      <protection locked="0"/>
    </xf>
    <xf numFmtId="171" fontId="38" fillId="0" borderId="16" xfId="0" applyNumberFormat="1" applyFont="1" applyBorder="1" applyAlignment="1" applyProtection="1">
      <alignment horizontal="center"/>
      <protection locked="0"/>
    </xf>
    <xf numFmtId="171" fontId="38" fillId="0" borderId="21" xfId="0" applyNumberFormat="1" applyFont="1" applyBorder="1" applyAlignment="1" applyProtection="1">
      <alignment horizontal="center"/>
      <protection locked="0"/>
    </xf>
    <xf numFmtId="171" fontId="38" fillId="0" borderId="15" xfId="0" applyNumberFormat="1" applyFont="1" applyBorder="1" applyAlignment="1" applyProtection="1">
      <alignment horizontal="center"/>
      <protection locked="0"/>
    </xf>
    <xf numFmtId="171" fontId="56" fillId="0" borderId="7" xfId="0" applyNumberFormat="1" applyFont="1" applyBorder="1" applyAlignment="1" applyProtection="1">
      <alignment horizontal="center"/>
      <protection locked="0"/>
    </xf>
    <xf numFmtId="171" fontId="56" fillId="0" borderId="16" xfId="0" applyNumberFormat="1" applyFont="1" applyBorder="1" applyAlignment="1" applyProtection="1">
      <alignment horizontal="center"/>
      <protection locked="0"/>
    </xf>
    <xf numFmtId="2" fontId="9" fillId="3" borderId="1" xfId="7" applyNumberFormat="1" applyFont="1" applyFill="1" applyBorder="1" applyAlignment="1">
      <alignment horizontal="center"/>
    </xf>
    <xf numFmtId="1" fontId="57" fillId="30" borderId="22" xfId="7" applyNumberFormat="1" applyFont="1" applyFill="1" applyBorder="1" applyAlignment="1" applyProtection="1">
      <alignment horizontal="center" vertical="center"/>
      <protection hidden="1"/>
    </xf>
    <xf numFmtId="2" fontId="57" fillId="30" borderId="20" xfId="7" applyNumberFormat="1" applyFont="1" applyFill="1" applyBorder="1" applyAlignment="1" applyProtection="1">
      <alignment horizontal="center" vertical="center"/>
      <protection hidden="1"/>
    </xf>
    <xf numFmtId="170" fontId="58" fillId="30" borderId="20" xfId="2" applyNumberFormat="1" applyFont="1" applyFill="1" applyBorder="1" applyAlignment="1" applyProtection="1">
      <alignment horizontal="center" vertical="center"/>
      <protection hidden="1"/>
    </xf>
    <xf numFmtId="170" fontId="58" fillId="30" borderId="23" xfId="2" applyNumberFormat="1" applyFont="1" applyFill="1" applyBorder="1" applyAlignment="1" applyProtection="1">
      <alignment horizontal="center" vertical="center"/>
      <protection hidden="1"/>
    </xf>
    <xf numFmtId="1" fontId="57" fillId="30" borderId="24" xfId="7" applyNumberFormat="1" applyFont="1" applyFill="1" applyBorder="1" applyAlignment="1" applyProtection="1">
      <alignment horizontal="center" vertical="center"/>
      <protection hidden="1"/>
    </xf>
    <xf numFmtId="2" fontId="57" fillId="30" borderId="8" xfId="7" applyNumberFormat="1" applyFont="1" applyFill="1" applyBorder="1" applyAlignment="1" applyProtection="1">
      <alignment horizontal="center" vertical="center"/>
      <protection hidden="1"/>
    </xf>
    <xf numFmtId="170" fontId="58" fillId="30" borderId="8" xfId="2" applyNumberFormat="1" applyFont="1" applyFill="1" applyBorder="1" applyAlignment="1" applyProtection="1">
      <alignment horizontal="center" vertical="center"/>
      <protection hidden="1"/>
    </xf>
    <xf numFmtId="170" fontId="58" fillId="30" borderId="62" xfId="2" applyNumberFormat="1" applyFont="1" applyFill="1" applyBorder="1" applyAlignment="1" applyProtection="1">
      <alignment horizontal="center" vertical="center"/>
      <protection hidden="1"/>
    </xf>
    <xf numFmtId="1" fontId="57" fillId="30" borderId="20" xfId="7" applyNumberFormat="1" applyFont="1" applyFill="1" applyBorder="1" applyAlignment="1" applyProtection="1">
      <alignment horizontal="center" vertical="center"/>
      <protection hidden="1"/>
    </xf>
    <xf numFmtId="171" fontId="56" fillId="0" borderId="21" xfId="0" applyNumberFormat="1" applyFont="1" applyBorder="1" applyAlignment="1" applyProtection="1">
      <alignment horizontal="center"/>
      <protection locked="0"/>
    </xf>
    <xf numFmtId="0" fontId="55" fillId="16" borderId="47" xfId="7" applyFont="1" applyFill="1" applyBorder="1" applyProtection="1">
      <protection locked="0"/>
    </xf>
    <xf numFmtId="0" fontId="53" fillId="16" borderId="50" xfId="7" applyFont="1" applyFill="1" applyBorder="1" applyProtection="1">
      <protection locked="0"/>
    </xf>
    <xf numFmtId="171" fontId="56" fillId="0" borderId="53" xfId="0" applyNumberFormat="1" applyFont="1" applyBorder="1" applyAlignment="1" applyProtection="1">
      <alignment horizontal="center"/>
      <protection locked="0"/>
    </xf>
    <xf numFmtId="171" fontId="56" fillId="0" borderId="54" xfId="0" applyNumberFormat="1" applyFont="1" applyBorder="1" applyAlignment="1" applyProtection="1">
      <alignment horizontal="center"/>
      <protection locked="0"/>
    </xf>
    <xf numFmtId="171" fontId="38" fillId="0" borderId="63" xfId="0" applyNumberFormat="1" applyFont="1" applyBorder="1" applyAlignment="1" applyProtection="1">
      <alignment horizontal="center"/>
      <protection locked="0"/>
    </xf>
    <xf numFmtId="171" fontId="56" fillId="0" borderId="15" xfId="0" applyNumberFormat="1" applyFont="1" applyBorder="1" applyAlignment="1" applyProtection="1">
      <alignment horizontal="center"/>
      <protection locked="0"/>
    </xf>
    <xf numFmtId="0" fontId="20" fillId="31" borderId="0" xfId="7" applyFont="1" applyFill="1" applyBorder="1" applyAlignment="1">
      <alignment horizontal="center" vertical="center" wrapText="1"/>
    </xf>
    <xf numFmtId="46" fontId="60" fillId="31" borderId="0" xfId="7" applyNumberFormat="1" applyFont="1" applyFill="1" applyBorder="1" applyAlignment="1">
      <alignment horizontal="center" vertical="center" wrapText="1"/>
    </xf>
    <xf numFmtId="46" fontId="60" fillId="32" borderId="0" xfId="7" applyNumberFormat="1" applyFont="1" applyFill="1" applyBorder="1" applyAlignment="1">
      <alignment horizontal="center" vertical="center" wrapText="1"/>
    </xf>
    <xf numFmtId="22" fontId="60" fillId="31" borderId="0" xfId="7" applyNumberFormat="1" applyFont="1" applyFill="1" applyBorder="1" applyAlignment="1">
      <alignment horizontal="center" vertical="center" wrapText="1"/>
    </xf>
    <xf numFmtId="171" fontId="56" fillId="33" borderId="54" xfId="0" applyNumberFormat="1" applyFont="1" applyFill="1" applyBorder="1" applyAlignment="1" applyProtection="1">
      <alignment horizontal="center"/>
      <protection locked="0"/>
    </xf>
    <xf numFmtId="171" fontId="56" fillId="33" borderId="55" xfId="0" applyNumberFormat="1" applyFont="1" applyFill="1" applyBorder="1" applyAlignment="1" applyProtection="1">
      <alignment horizontal="center"/>
      <protection locked="0"/>
    </xf>
    <xf numFmtId="171" fontId="38" fillId="0" borderId="60" xfId="0" applyNumberFormat="1" applyFont="1" applyBorder="1" applyAlignment="1" applyProtection="1">
      <alignment horizontal="center"/>
      <protection locked="0"/>
    </xf>
    <xf numFmtId="171" fontId="38" fillId="0" borderId="58" xfId="0" applyNumberFormat="1" applyFont="1" applyBorder="1" applyAlignment="1" applyProtection="1">
      <alignment horizontal="center"/>
      <protection locked="0"/>
    </xf>
    <xf numFmtId="171" fontId="38" fillId="0" borderId="59" xfId="0" applyNumberFormat="1" applyFont="1" applyBorder="1" applyAlignment="1" applyProtection="1">
      <alignment horizontal="center"/>
      <protection locked="0"/>
    </xf>
    <xf numFmtId="171" fontId="38" fillId="0" borderId="12" xfId="0" applyNumberFormat="1" applyFont="1" applyBorder="1" applyAlignment="1" applyProtection="1">
      <alignment horizontal="center"/>
      <protection locked="0"/>
    </xf>
    <xf numFmtId="171" fontId="38" fillId="0" borderId="0" xfId="0" applyNumberFormat="1" applyFont="1" applyAlignment="1" applyProtection="1">
      <alignment horizontal="center"/>
      <protection locked="0"/>
    </xf>
    <xf numFmtId="0" fontId="8" fillId="0" borderId="48" xfId="7" applyFont="1" applyBorder="1" applyProtection="1">
      <protection locked="0"/>
    </xf>
    <xf numFmtId="46" fontId="60" fillId="0" borderId="0" xfId="7" applyNumberFormat="1" applyFont="1" applyBorder="1" applyAlignment="1">
      <alignment horizontal="center" vertical="center" wrapText="1"/>
    </xf>
    <xf numFmtId="0" fontId="59" fillId="0" borderId="48" xfId="7" applyFont="1" applyBorder="1" applyProtection="1">
      <protection locked="0"/>
    </xf>
    <xf numFmtId="0" fontId="53" fillId="0" borderId="50" xfId="7" applyFont="1" applyBorder="1" applyProtection="1">
      <protection locked="0"/>
    </xf>
    <xf numFmtId="0" fontId="55" fillId="0" borderId="48" xfId="7" applyFont="1" applyBorder="1" applyProtection="1">
      <protection locked="0"/>
    </xf>
    <xf numFmtId="0" fontId="8" fillId="0" borderId="61" xfId="7" applyFont="1" applyBorder="1" applyProtection="1">
      <protection locked="0"/>
    </xf>
    <xf numFmtId="0" fontId="8" fillId="0" borderId="48" xfId="0" applyFont="1" applyBorder="1" applyProtection="1">
      <protection locked="0"/>
    </xf>
    <xf numFmtId="0" fontId="8" fillId="37" borderId="48" xfId="7" applyFont="1" applyFill="1" applyBorder="1" applyProtection="1">
      <protection locked="0"/>
    </xf>
    <xf numFmtId="171" fontId="56" fillId="37" borderId="15" xfId="0" applyNumberFormat="1" applyFont="1" applyFill="1" applyBorder="1" applyAlignment="1" applyProtection="1">
      <alignment horizontal="center"/>
      <protection locked="0"/>
    </xf>
    <xf numFmtId="171" fontId="56" fillId="37" borderId="7" xfId="0" applyNumberFormat="1" applyFont="1" applyFill="1" applyBorder="1" applyAlignment="1" applyProtection="1">
      <alignment horizontal="center"/>
      <protection locked="0"/>
    </xf>
    <xf numFmtId="171" fontId="38" fillId="37" borderId="21" xfId="0" applyNumberFormat="1" applyFont="1" applyFill="1" applyBorder="1" applyAlignment="1" applyProtection="1">
      <alignment horizontal="center"/>
      <protection locked="0"/>
    </xf>
    <xf numFmtId="171" fontId="38" fillId="37" borderId="16" xfId="0" applyNumberFormat="1" applyFont="1" applyFill="1" applyBorder="1" applyAlignment="1" applyProtection="1">
      <alignment horizontal="center"/>
      <protection locked="0"/>
    </xf>
    <xf numFmtId="171" fontId="38" fillId="37" borderId="15" xfId="0" applyNumberFormat="1" applyFont="1" applyFill="1" applyBorder="1" applyAlignment="1" applyProtection="1">
      <alignment horizontal="center"/>
      <protection locked="0"/>
    </xf>
    <xf numFmtId="171" fontId="38" fillId="37" borderId="7" xfId="0" applyNumberFormat="1" applyFont="1" applyFill="1" applyBorder="1" applyAlignment="1" applyProtection="1">
      <alignment horizontal="center"/>
      <protection locked="0"/>
    </xf>
    <xf numFmtId="171" fontId="56" fillId="37" borderId="16" xfId="0" applyNumberFormat="1" applyFont="1" applyFill="1" applyBorder="1" applyAlignment="1" applyProtection="1">
      <alignment horizontal="center"/>
      <protection locked="0"/>
    </xf>
    <xf numFmtId="171" fontId="56" fillId="37" borderId="21" xfId="0" applyNumberFormat="1" applyFont="1" applyFill="1" applyBorder="1" applyAlignment="1" applyProtection="1">
      <alignment horizontal="center"/>
      <protection locked="0"/>
    </xf>
    <xf numFmtId="171" fontId="61" fillId="0" borderId="21" xfId="0" applyNumberFormat="1" applyFont="1" applyBorder="1" applyAlignment="1" applyProtection="1">
      <alignment horizontal="center"/>
      <protection locked="0"/>
    </xf>
    <xf numFmtId="171" fontId="61" fillId="0" borderId="63" xfId="0" applyNumberFormat="1" applyFont="1" applyBorder="1" applyAlignment="1" applyProtection="1">
      <alignment horizontal="center"/>
      <protection locked="0"/>
    </xf>
    <xf numFmtId="171" fontId="38" fillId="39" borderId="7" xfId="0" applyNumberFormat="1" applyFont="1" applyFill="1" applyBorder="1" applyAlignment="1" applyProtection="1">
      <alignment horizontal="center"/>
      <protection locked="0"/>
    </xf>
    <xf numFmtId="171" fontId="38" fillId="39" borderId="16" xfId="0" applyNumberFormat="1" applyFont="1" applyFill="1" applyBorder="1" applyAlignment="1" applyProtection="1">
      <alignment horizontal="center"/>
      <protection locked="0"/>
    </xf>
    <xf numFmtId="171" fontId="61" fillId="0" borderId="15" xfId="0" applyNumberFormat="1" applyFont="1" applyBorder="1" applyAlignment="1" applyProtection="1">
      <alignment horizontal="center"/>
      <protection locked="0"/>
    </xf>
    <xf numFmtId="171" fontId="61" fillId="0" borderId="19" xfId="0" applyNumberFormat="1" applyFont="1" applyBorder="1" applyAlignment="1" applyProtection="1">
      <alignment horizontal="center"/>
      <protection locked="0"/>
    </xf>
    <xf numFmtId="171" fontId="61" fillId="39" borderId="19" xfId="0" applyNumberFormat="1" applyFont="1" applyFill="1" applyBorder="1" applyAlignment="1" applyProtection="1">
      <alignment horizontal="center"/>
      <protection locked="0"/>
    </xf>
    <xf numFmtId="171" fontId="61" fillId="39" borderId="63" xfId="0" applyNumberFormat="1" applyFont="1" applyFill="1" applyBorder="1" applyAlignment="1" applyProtection="1">
      <alignment horizontal="center"/>
      <protection locked="0"/>
    </xf>
    <xf numFmtId="171" fontId="38" fillId="39" borderId="0" xfId="0" applyNumberFormat="1" applyFont="1" applyFill="1" applyAlignment="1" applyProtection="1">
      <alignment horizontal="center"/>
      <protection locked="0"/>
    </xf>
    <xf numFmtId="171" fontId="38" fillId="39" borderId="21" xfId="0" applyNumberFormat="1" applyFont="1" applyFill="1" applyBorder="1" applyAlignment="1" applyProtection="1">
      <alignment horizontal="center"/>
      <protection locked="0"/>
    </xf>
    <xf numFmtId="171" fontId="61" fillId="40" borderId="15" xfId="0" applyNumberFormat="1" applyFont="1" applyFill="1" applyBorder="1" applyAlignment="1" applyProtection="1">
      <alignment horizontal="center"/>
      <protection locked="0"/>
    </xf>
    <xf numFmtId="171" fontId="61" fillId="40" borderId="21" xfId="0" applyNumberFormat="1" applyFont="1" applyFill="1" applyBorder="1" applyAlignment="1" applyProtection="1">
      <alignment horizontal="center"/>
      <protection locked="0"/>
    </xf>
    <xf numFmtId="171" fontId="38" fillId="40" borderId="21" xfId="0" applyNumberFormat="1" applyFont="1" applyFill="1" applyBorder="1" applyAlignment="1" applyProtection="1">
      <alignment horizontal="center"/>
      <protection locked="0"/>
    </xf>
    <xf numFmtId="171" fontId="38" fillId="40" borderId="63" xfId="0" applyNumberFormat="1" applyFont="1" applyFill="1" applyBorder="1" applyAlignment="1" applyProtection="1">
      <alignment horizontal="center"/>
      <protection locked="0"/>
    </xf>
    <xf numFmtId="171" fontId="38" fillId="39" borderId="15" xfId="0" applyNumberFormat="1" applyFont="1" applyFill="1" applyBorder="1" applyAlignment="1" applyProtection="1">
      <alignment horizontal="center"/>
      <protection locked="0"/>
    </xf>
    <xf numFmtId="49" fontId="4" fillId="5" borderId="2" xfId="10" applyNumberFormat="1" applyFont="1" applyFill="1" applyBorder="1" applyAlignment="1" applyProtection="1">
      <alignment horizontal="center"/>
    </xf>
    <xf numFmtId="0" fontId="6" fillId="5" borderId="0" xfId="0" applyFont="1" applyFill="1"/>
    <xf numFmtId="170" fontId="11" fillId="7" borderId="1" xfId="2" applyNumberFormat="1" applyFont="1" applyFill="1" applyBorder="1" applyAlignment="1" applyProtection="1">
      <alignment horizontal="center"/>
    </xf>
    <xf numFmtId="171" fontId="30" fillId="4" borderId="0" xfId="0" applyNumberFormat="1" applyFont="1" applyFill="1" applyAlignment="1" applyProtection="1">
      <alignment horizontal="left" wrapText="1"/>
      <protection locked="0"/>
    </xf>
    <xf numFmtId="0" fontId="27" fillId="0" borderId="26" xfId="0" applyFont="1" applyBorder="1" applyAlignment="1" applyProtection="1">
      <alignment horizontal="center" vertical="center" wrapText="1"/>
      <protection locked="0"/>
    </xf>
    <xf numFmtId="172" fontId="31" fillId="7" borderId="1" xfId="7" applyNumberFormat="1" applyFont="1" applyFill="1" applyBorder="1" applyAlignment="1">
      <alignment horizontal="center"/>
    </xf>
    <xf numFmtId="0" fontId="27" fillId="4" borderId="0" xfId="0" applyFont="1" applyFill="1" applyAlignment="1" applyProtection="1">
      <alignment horizontal="center" vertical="center" wrapText="1"/>
      <protection locked="0"/>
    </xf>
    <xf numFmtId="2" fontId="11" fillId="7" borderId="1" xfId="7" applyNumberFormat="1" applyFont="1" applyFill="1" applyBorder="1" applyAlignment="1">
      <alignment horizontal="center"/>
    </xf>
    <xf numFmtId="0" fontId="28" fillId="19" borderId="27" xfId="0" applyFont="1" applyFill="1" applyBorder="1" applyAlignment="1" applyProtection="1">
      <alignment horizontal="center" vertical="center" wrapText="1"/>
      <protection locked="0"/>
    </xf>
    <xf numFmtId="172" fontId="26" fillId="4" borderId="25" xfId="0" applyNumberFormat="1" applyFont="1" applyFill="1" applyBorder="1" applyAlignment="1" applyProtection="1">
      <alignment horizontal="center"/>
      <protection locked="0"/>
    </xf>
    <xf numFmtId="0" fontId="34" fillId="0" borderId="0" xfId="7" applyFont="1" applyBorder="1" applyAlignment="1">
      <alignment horizontal="center"/>
    </xf>
    <xf numFmtId="0" fontId="32" fillId="4" borderId="0" xfId="7" applyFont="1" applyFill="1" applyBorder="1" applyAlignment="1" applyProtection="1">
      <alignment horizontal="center"/>
      <protection locked="0"/>
    </xf>
    <xf numFmtId="0" fontId="21" fillId="0" borderId="22" xfId="7" applyFont="1" applyBorder="1" applyAlignment="1" applyProtection="1">
      <alignment horizontal="center" vertical="center" textRotation="180"/>
      <protection locked="0"/>
    </xf>
    <xf numFmtId="0" fontId="21" fillId="0" borderId="9" xfId="7" applyFont="1" applyBorder="1" applyAlignment="1" applyProtection="1">
      <alignment horizontal="center" vertical="center" textRotation="180"/>
      <protection locked="0"/>
    </xf>
    <xf numFmtId="2" fontId="17" fillId="9" borderId="13" xfId="7" applyNumberFormat="1" applyFont="1" applyFill="1" applyBorder="1" applyAlignment="1" applyProtection="1">
      <alignment horizontal="center" vertical="center"/>
      <protection hidden="1"/>
    </xf>
    <xf numFmtId="170" fontId="18" fillId="9" borderId="14" xfId="2" applyNumberFormat="1" applyFont="1" applyFill="1" applyBorder="1" applyAlignment="1" applyProtection="1">
      <alignment horizontal="center" vertical="center"/>
      <protection hidden="1"/>
    </xf>
    <xf numFmtId="0" fontId="23" fillId="17" borderId="22" xfId="7" applyFont="1" applyFill="1" applyBorder="1" applyAlignment="1" applyProtection="1">
      <alignment horizontal="center"/>
      <protection locked="0"/>
    </xf>
    <xf numFmtId="0" fontId="23" fillId="17" borderId="20" xfId="7" applyFont="1" applyFill="1" applyBorder="1" applyAlignment="1" applyProtection="1">
      <alignment horizontal="center"/>
      <protection locked="0"/>
    </xf>
    <xf numFmtId="0" fontId="23" fillId="17" borderId="23" xfId="7" applyFont="1" applyFill="1" applyBorder="1" applyAlignment="1" applyProtection="1">
      <alignment horizontal="center"/>
      <protection locked="0"/>
    </xf>
    <xf numFmtId="0" fontId="23" fillId="20" borderId="22" xfId="7" applyFont="1" applyFill="1" applyBorder="1" applyAlignment="1" applyProtection="1">
      <alignment horizontal="center"/>
      <protection locked="0"/>
    </xf>
    <xf numFmtId="0" fontId="23" fillId="20" borderId="20" xfId="7" applyFont="1" applyFill="1" applyBorder="1" applyAlignment="1" applyProtection="1">
      <alignment horizontal="center"/>
      <protection locked="0"/>
    </xf>
    <xf numFmtId="0" fontId="23" fillId="20" borderId="23" xfId="7" applyFont="1" applyFill="1" applyBorder="1" applyAlignment="1" applyProtection="1">
      <alignment horizontal="center"/>
      <protection locked="0"/>
    </xf>
    <xf numFmtId="0" fontId="23" fillId="22" borderId="9" xfId="7" applyFont="1" applyFill="1" applyBorder="1" applyAlignment="1" applyProtection="1">
      <alignment horizontal="center"/>
      <protection locked="0"/>
    </xf>
    <xf numFmtId="0" fontId="23" fillId="27" borderId="9" xfId="7" applyFont="1" applyFill="1" applyBorder="1" applyAlignment="1" applyProtection="1">
      <alignment horizontal="center"/>
      <protection locked="0"/>
    </xf>
    <xf numFmtId="0" fontId="23" fillId="21" borderId="22" xfId="7" applyFont="1" applyFill="1" applyBorder="1" applyAlignment="1" applyProtection="1">
      <alignment horizontal="center"/>
      <protection locked="0"/>
    </xf>
    <xf numFmtId="0" fontId="23" fillId="21" borderId="20" xfId="7" applyFont="1" applyFill="1" applyBorder="1" applyAlignment="1" applyProtection="1">
      <alignment horizontal="center"/>
      <protection locked="0"/>
    </xf>
    <xf numFmtId="0" fontId="23" fillId="21" borderId="23" xfId="7" applyFont="1" applyFill="1" applyBorder="1" applyAlignment="1" applyProtection="1">
      <alignment horizontal="center"/>
      <protection locked="0"/>
    </xf>
    <xf numFmtId="0" fontId="23" fillId="25" borderId="9" xfId="7" applyFont="1" applyFill="1" applyBorder="1" applyAlignment="1" applyProtection="1">
      <alignment horizontal="center"/>
      <protection locked="0"/>
    </xf>
    <xf numFmtId="0" fontId="23" fillId="26" borderId="9" xfId="7" applyFont="1" applyFill="1" applyBorder="1" applyAlignment="1" applyProtection="1">
      <alignment horizontal="center"/>
      <protection locked="0"/>
    </xf>
    <xf numFmtId="0" fontId="23" fillId="23" borderId="22" xfId="7" applyFont="1" applyFill="1" applyBorder="1" applyAlignment="1" applyProtection="1">
      <alignment horizontal="center"/>
      <protection locked="0"/>
    </xf>
    <xf numFmtId="0" fontId="23" fillId="23" borderId="20" xfId="7" applyFont="1" applyFill="1" applyBorder="1" applyAlignment="1" applyProtection="1">
      <alignment horizontal="center"/>
      <protection locked="0"/>
    </xf>
    <xf numFmtId="0" fontId="23" fillId="23" borderId="23" xfId="7" applyFont="1" applyFill="1" applyBorder="1" applyAlignment="1" applyProtection="1">
      <alignment horizontal="center"/>
      <protection locked="0"/>
    </xf>
    <xf numFmtId="0" fontId="54" fillId="34" borderId="22" xfId="7" applyFont="1" applyFill="1" applyBorder="1" applyAlignment="1" applyProtection="1">
      <alignment horizontal="center"/>
      <protection locked="0"/>
    </xf>
    <xf numFmtId="0" fontId="54" fillId="34" borderId="20" xfId="7" applyFont="1" applyFill="1" applyBorder="1" applyAlignment="1" applyProtection="1">
      <alignment horizontal="center"/>
      <protection locked="0"/>
    </xf>
    <xf numFmtId="0" fontId="54" fillId="34" borderId="23" xfId="7" applyFont="1" applyFill="1" applyBorder="1" applyAlignment="1" applyProtection="1">
      <alignment horizontal="center"/>
      <protection locked="0"/>
    </xf>
    <xf numFmtId="20" fontId="23" fillId="36" borderId="9" xfId="7" applyNumberFormat="1" applyFont="1" applyFill="1" applyBorder="1" applyAlignment="1" applyProtection="1">
      <alignment horizontal="center"/>
      <protection locked="0"/>
    </xf>
    <xf numFmtId="0" fontId="23" fillId="36" borderId="9" xfId="7" applyFont="1" applyFill="1" applyBorder="1" applyAlignment="1" applyProtection="1">
      <alignment horizontal="center"/>
      <protection locked="0"/>
    </xf>
    <xf numFmtId="20" fontId="23" fillId="35" borderId="9" xfId="7" applyNumberFormat="1" applyFont="1" applyFill="1" applyBorder="1" applyAlignment="1" applyProtection="1">
      <alignment horizontal="center"/>
      <protection locked="0"/>
    </xf>
    <xf numFmtId="0" fontId="23" fillId="35" borderId="9" xfId="7" applyFont="1" applyFill="1" applyBorder="1" applyAlignment="1" applyProtection="1">
      <alignment horizontal="center"/>
      <protection locked="0"/>
    </xf>
    <xf numFmtId="0" fontId="23" fillId="18" borderId="9" xfId="7" applyFont="1" applyFill="1" applyBorder="1" applyAlignment="1" applyProtection="1">
      <alignment horizontal="center"/>
      <protection locked="0"/>
    </xf>
    <xf numFmtId="0" fontId="23" fillId="38" borderId="9" xfId="7" applyFont="1" applyFill="1" applyBorder="1" applyAlignment="1" applyProtection="1">
      <alignment horizontal="center"/>
      <protection locked="0"/>
    </xf>
    <xf numFmtId="2" fontId="9" fillId="3" borderId="1" xfId="7" applyNumberFormat="1" applyFont="1" applyFill="1" applyBorder="1" applyAlignment="1">
      <alignment horizontal="center"/>
    </xf>
    <xf numFmtId="0" fontId="21" fillId="0" borderId="45" xfId="7" applyFont="1" applyBorder="1" applyAlignment="1" applyProtection="1">
      <alignment horizontal="center" vertical="center" textRotation="180"/>
      <protection locked="0"/>
    </xf>
    <xf numFmtId="0" fontId="14" fillId="8" borderId="37" xfId="7" applyFont="1" applyFill="1" applyBorder="1" applyAlignment="1">
      <alignment horizontal="center" vertical="center"/>
    </xf>
    <xf numFmtId="0" fontId="14" fillId="8" borderId="38" xfId="7" applyFont="1" applyFill="1" applyBorder="1" applyAlignment="1">
      <alignment horizontal="center" vertical="center"/>
    </xf>
    <xf numFmtId="0" fontId="14" fillId="8" borderId="13" xfId="7" applyFont="1" applyFill="1" applyBorder="1" applyAlignment="1">
      <alignment horizontal="center" vertical="center"/>
    </xf>
    <xf numFmtId="0" fontId="14" fillId="8" borderId="14" xfId="7" applyFont="1" applyFill="1" applyBorder="1" applyAlignment="1">
      <alignment horizontal="center" vertical="center"/>
    </xf>
    <xf numFmtId="0" fontId="14" fillId="8" borderId="56" xfId="7" applyFont="1" applyFill="1" applyBorder="1" applyAlignment="1">
      <alignment horizontal="center" vertical="center"/>
    </xf>
    <xf numFmtId="0" fontId="14" fillId="8" borderId="51" xfId="7" applyFont="1" applyFill="1" applyBorder="1" applyAlignment="1">
      <alignment horizontal="center" vertical="center"/>
    </xf>
    <xf numFmtId="0" fontId="14" fillId="8" borderId="52" xfId="7" applyFont="1" applyFill="1" applyBorder="1" applyAlignment="1">
      <alignment horizontal="center" vertical="center"/>
    </xf>
    <xf numFmtId="168" fontId="11" fillId="7" borderId="1" xfId="7" applyNumberFormat="1" applyFont="1" applyFill="1" applyBorder="1" applyAlignment="1">
      <alignment horizontal="center"/>
    </xf>
    <xf numFmtId="168" fontId="15" fillId="8" borderId="9" xfId="7" applyNumberFormat="1" applyFont="1" applyFill="1" applyBorder="1" applyAlignment="1">
      <alignment horizontal="center" vertical="center"/>
    </xf>
    <xf numFmtId="168" fontId="15" fillId="8" borderId="10" xfId="7" applyNumberFormat="1" applyFont="1" applyFill="1" applyBorder="1" applyAlignment="1">
      <alignment horizontal="center" vertical="center"/>
    </xf>
    <xf numFmtId="168" fontId="15" fillId="8" borderId="23" xfId="7" applyNumberFormat="1" applyFont="1" applyFill="1" applyBorder="1" applyAlignment="1">
      <alignment horizontal="center" vertical="center"/>
    </xf>
    <xf numFmtId="168" fontId="9" fillId="3" borderId="1" xfId="7" applyNumberFormat="1" applyFont="1" applyFill="1" applyBorder="1" applyAlignment="1">
      <alignment horizontal="center"/>
    </xf>
    <xf numFmtId="168" fontId="11" fillId="7" borderId="2" xfId="7" applyNumberFormat="1" applyFont="1" applyFill="1" applyBorder="1" applyAlignment="1">
      <alignment horizontal="center"/>
    </xf>
    <xf numFmtId="168" fontId="11" fillId="7" borderId="11" xfId="7" applyNumberFormat="1" applyFont="1" applyFill="1" applyBorder="1" applyAlignment="1">
      <alignment horizontal="center"/>
    </xf>
    <xf numFmtId="0" fontId="11" fillId="7" borderId="1" xfId="7" applyFont="1" applyFill="1" applyBorder="1" applyAlignment="1">
      <alignment horizontal="left"/>
    </xf>
    <xf numFmtId="0" fontId="12" fillId="7" borderId="1" xfId="0" applyFont="1" applyFill="1" applyBorder="1" applyAlignment="1">
      <alignment horizontal="left"/>
    </xf>
    <xf numFmtId="0" fontId="7" fillId="0" borderId="9" xfId="7" applyFont="1" applyBorder="1" applyAlignment="1">
      <alignment horizontal="center" vertical="center" textRotation="90"/>
    </xf>
    <xf numFmtId="0" fontId="14" fillId="8" borderId="9" xfId="7" applyFont="1" applyFill="1" applyBorder="1" applyAlignment="1">
      <alignment horizontal="center" vertical="center" textRotation="47"/>
    </xf>
    <xf numFmtId="0" fontId="14" fillId="8" borderId="49" xfId="7" applyFont="1" applyFill="1" applyBorder="1" applyAlignment="1">
      <alignment horizontal="center" vertical="center" textRotation="47"/>
    </xf>
    <xf numFmtId="0" fontId="14" fillId="8" borderId="10" xfId="7" applyFont="1" applyFill="1" applyBorder="1" applyAlignment="1">
      <alignment horizontal="center" vertical="center" textRotation="47"/>
    </xf>
    <xf numFmtId="0" fontId="16" fillId="7" borderId="11" xfId="7" applyFont="1" applyFill="1" applyBorder="1" applyAlignment="1">
      <alignment horizontal="center" vertical="center" wrapText="1"/>
    </xf>
    <xf numFmtId="0" fontId="16" fillId="7" borderId="12" xfId="7" applyFont="1" applyFill="1" applyBorder="1" applyAlignment="1">
      <alignment horizontal="center" vertical="center" textRotation="90" wrapText="1"/>
    </xf>
    <xf numFmtId="0" fontId="10" fillId="7" borderId="1" xfId="7" applyFont="1" applyFill="1" applyBorder="1" applyAlignment="1">
      <alignment horizontal="center" vertical="center" textRotation="90"/>
    </xf>
    <xf numFmtId="2" fontId="17" fillId="9" borderId="51" xfId="7" applyNumberFormat="1" applyFont="1" applyFill="1" applyBorder="1" applyAlignment="1" applyProtection="1">
      <alignment horizontal="center" vertical="center"/>
      <protection hidden="1"/>
    </xf>
    <xf numFmtId="170" fontId="18" fillId="9" borderId="52" xfId="2" applyNumberFormat="1" applyFont="1" applyFill="1" applyBorder="1" applyAlignment="1" applyProtection="1">
      <alignment horizontal="center" vertical="center"/>
      <protection hidden="1"/>
    </xf>
    <xf numFmtId="2" fontId="17" fillId="9" borderId="56" xfId="7" applyNumberFormat="1" applyFont="1" applyFill="1" applyBorder="1" applyAlignment="1" applyProtection="1">
      <alignment horizontal="center" vertical="center"/>
      <protection hidden="1"/>
    </xf>
    <xf numFmtId="0" fontId="3" fillId="6" borderId="0" xfId="10" applyFont="1" applyFill="1" applyBorder="1" applyAlignment="1" applyProtection="1">
      <alignment horizontal="center" vertical="center"/>
      <protection locked="0"/>
    </xf>
    <xf numFmtId="0" fontId="3" fillId="6" borderId="8" xfId="10" applyFont="1" applyFill="1" applyBorder="1" applyAlignment="1" applyProtection="1">
      <alignment horizontal="center" vertical="center"/>
      <protection locked="0"/>
    </xf>
    <xf numFmtId="20" fontId="23" fillId="17" borderId="9" xfId="7" applyNumberFormat="1" applyFont="1" applyFill="1" applyBorder="1" applyAlignment="1" applyProtection="1">
      <alignment horizontal="center"/>
      <protection locked="0"/>
    </xf>
    <xf numFmtId="0" fontId="23" fillId="17" borderId="9" xfId="7" applyFont="1" applyFill="1" applyBorder="1" applyAlignment="1" applyProtection="1">
      <alignment horizontal="center"/>
      <protection locked="0"/>
    </xf>
    <xf numFmtId="20" fontId="23" fillId="0" borderId="9" xfId="7" applyNumberFormat="1" applyFont="1" applyBorder="1" applyAlignment="1" applyProtection="1">
      <alignment horizontal="center"/>
      <protection locked="0"/>
    </xf>
    <xf numFmtId="0" fontId="23" fillId="0" borderId="9" xfId="7" applyFont="1" applyBorder="1" applyAlignment="1" applyProtection="1">
      <alignment horizontal="center"/>
      <protection locked="0"/>
    </xf>
    <xf numFmtId="0" fontId="23" fillId="20" borderId="9" xfId="7" applyFont="1" applyFill="1" applyBorder="1" applyAlignment="1" applyProtection="1">
      <alignment horizontal="center"/>
      <protection locked="0"/>
    </xf>
    <xf numFmtId="168" fontId="7" fillId="0" borderId="9" xfId="7" applyNumberFormat="1" applyFont="1" applyBorder="1" applyAlignment="1">
      <alignment horizontal="center" vertical="center" textRotation="90"/>
    </xf>
    <xf numFmtId="174" fontId="39" fillId="12" borderId="1" xfId="0" applyNumberFormat="1" applyFont="1" applyFill="1" applyBorder="1" applyAlignment="1" applyProtection="1">
      <alignment horizontal="center" textRotation="90"/>
      <protection locked="0"/>
    </xf>
    <xf numFmtId="174" fontId="39" fillId="12" borderId="1" xfId="0" applyNumberFormat="1" applyFont="1" applyFill="1" applyBorder="1" applyAlignment="1" applyProtection="1">
      <alignment horizontal="center" vertical="center" textRotation="90" wrapText="1"/>
      <protection locked="0"/>
    </xf>
    <xf numFmtId="174" fontId="41" fillId="7" borderId="1" xfId="0" applyNumberFormat="1" applyFont="1" applyFill="1" applyBorder="1" applyAlignment="1" applyProtection="1">
      <alignment horizontal="center" textRotation="90"/>
      <protection locked="0"/>
    </xf>
    <xf numFmtId="174" fontId="39" fillId="12" borderId="1" xfId="0" applyNumberFormat="1" applyFont="1" applyFill="1" applyBorder="1" applyAlignment="1">
      <alignment horizontal="center" textRotation="90"/>
    </xf>
    <xf numFmtId="174" fontId="35" fillId="12" borderId="18" xfId="6" applyNumberFormat="1" applyFont="1" applyFill="1" applyBorder="1" applyAlignment="1" applyProtection="1">
      <alignment horizontal="center" textRotation="90"/>
      <protection locked="0"/>
    </xf>
    <xf numFmtId="174" fontId="41" fillId="7" borderId="17" xfId="0" applyNumberFormat="1" applyFont="1" applyFill="1" applyBorder="1" applyAlignment="1" applyProtection="1">
      <alignment horizontal="center" textRotation="90"/>
      <protection locked="0"/>
    </xf>
    <xf numFmtId="174" fontId="41" fillId="7" borderId="2" xfId="0" applyNumberFormat="1" applyFont="1" applyFill="1" applyBorder="1" applyAlignment="1" applyProtection="1">
      <alignment horizontal="center" textRotation="90"/>
      <protection locked="0"/>
    </xf>
    <xf numFmtId="0" fontId="9" fillId="13" borderId="1" xfId="6" applyFont="1" applyFill="1" applyBorder="1" applyAlignment="1" applyProtection="1">
      <alignment horizontal="center" textRotation="90"/>
      <protection locked="0"/>
    </xf>
    <xf numFmtId="0" fontId="9" fillId="13" borderId="17" xfId="6" applyFont="1" applyFill="1" applyBorder="1" applyAlignment="1" applyProtection="1">
      <alignment horizontal="center" textRotation="90"/>
      <protection locked="0"/>
    </xf>
    <xf numFmtId="0" fontId="36" fillId="4" borderId="0" xfId="6" applyFont="1" applyFill="1" applyAlignment="1">
      <alignment horizontal="center" vertical="center"/>
    </xf>
    <xf numFmtId="0" fontId="36" fillId="12" borderId="6" xfId="6" applyFont="1" applyFill="1" applyBorder="1" applyAlignment="1">
      <alignment horizontal="center" vertical="center"/>
    </xf>
    <xf numFmtId="0" fontId="36" fillId="0" borderId="35" xfId="6" applyFont="1" applyBorder="1" applyAlignment="1">
      <alignment horizontal="center" vertical="center" wrapText="1"/>
    </xf>
    <xf numFmtId="174" fontId="35" fillId="12" borderId="1" xfId="6" applyNumberFormat="1" applyFont="1" applyFill="1" applyBorder="1" applyAlignment="1" applyProtection="1">
      <alignment horizontal="center" textRotation="90"/>
      <protection locked="0"/>
    </xf>
    <xf numFmtId="174" fontId="35" fillId="12" borderId="1" xfId="6" applyNumberFormat="1" applyFont="1" applyFill="1" applyBorder="1" applyAlignment="1" applyProtection="1">
      <alignment horizontal="center" textRotation="90" wrapText="1"/>
      <protection locked="0"/>
    </xf>
    <xf numFmtId="0" fontId="0" fillId="0" borderId="0" xfId="0"/>
    <xf numFmtId="0" fontId="0" fillId="4" borderId="30" xfId="0" applyFill="1" applyBorder="1"/>
    <xf numFmtId="0" fontId="36" fillId="0" borderId="7" xfId="6" applyFont="1" applyBorder="1" applyAlignment="1" applyProtection="1">
      <alignment horizontal="center" vertical="center"/>
      <protection locked="0"/>
    </xf>
    <xf numFmtId="0" fontId="35" fillId="0" borderId="1" xfId="6" applyFont="1" applyBorder="1" applyAlignment="1">
      <alignment horizontal="center" vertical="center"/>
    </xf>
    <xf numFmtId="0" fontId="36" fillId="0" borderId="2" xfId="6" applyFont="1" applyBorder="1" applyAlignment="1">
      <alignment horizontal="center" vertical="center"/>
    </xf>
    <xf numFmtId="0" fontId="15" fillId="4" borderId="2" xfId="6" applyFont="1" applyFill="1" applyBorder="1" applyAlignment="1">
      <alignment horizontal="center" vertical="center"/>
    </xf>
    <xf numFmtId="0" fontId="37" fillId="4" borderId="1" xfId="6" applyFont="1" applyFill="1" applyBorder="1" applyAlignment="1">
      <alignment horizontal="center" vertical="center"/>
    </xf>
    <xf numFmtId="0" fontId="36" fillId="0" borderId="0" xfId="6" applyFont="1" applyAlignment="1">
      <alignment horizontal="center" vertical="center"/>
    </xf>
    <xf numFmtId="0" fontId="48" fillId="4" borderId="0" xfId="0" applyFont="1" applyFill="1" applyAlignment="1" applyProtection="1">
      <alignment horizontal="center"/>
      <protection locked="0"/>
    </xf>
    <xf numFmtId="171" fontId="38" fillId="41" borderId="15" xfId="0" applyNumberFormat="1" applyFont="1" applyFill="1" applyBorder="1" applyAlignment="1" applyProtection="1">
      <alignment horizontal="center"/>
      <protection locked="0"/>
    </xf>
    <xf numFmtId="171" fontId="38" fillId="41" borderId="7" xfId="0" applyNumberFormat="1" applyFont="1" applyFill="1" applyBorder="1" applyAlignment="1" applyProtection="1">
      <alignment horizontal="center"/>
      <protection locked="0"/>
    </xf>
    <xf numFmtId="171" fontId="56" fillId="41" borderId="16" xfId="0" applyNumberFormat="1" applyFont="1" applyFill="1" applyBorder="1" applyAlignment="1" applyProtection="1">
      <alignment horizontal="center"/>
      <protection locked="0"/>
    </xf>
    <xf numFmtId="171" fontId="38" fillId="41" borderId="16" xfId="0" applyNumberFormat="1" applyFont="1" applyFill="1" applyBorder="1" applyAlignment="1" applyProtection="1">
      <alignment horizontal="center"/>
      <protection locked="0"/>
    </xf>
    <xf numFmtId="20" fontId="23" fillId="17" borderId="22" xfId="0" applyNumberFormat="1" applyFont="1" applyFill="1" applyBorder="1" applyAlignment="1" applyProtection="1">
      <alignment horizontal="center"/>
      <protection locked="0"/>
    </xf>
    <xf numFmtId="20" fontId="23" fillId="17" borderId="20" xfId="0" applyNumberFormat="1" applyFont="1" applyFill="1" applyBorder="1" applyAlignment="1" applyProtection="1">
      <alignment horizontal="center"/>
      <protection locked="0"/>
    </xf>
    <xf numFmtId="20" fontId="23" fillId="17" borderId="23" xfId="0" applyNumberFormat="1" applyFont="1" applyFill="1" applyBorder="1" applyAlignment="1" applyProtection="1">
      <alignment horizontal="center"/>
      <protection locked="0"/>
    </xf>
  </cellXfs>
  <cellStyles count="11">
    <cellStyle name="Euro" xfId="3" xr:uid="{00000000-0005-0000-0000-000006000000}"/>
    <cellStyle name="Excel Built-in Accent2" xfId="10" xr:uid="{00000000-0005-0000-0000-00000D000000}"/>
    <cellStyle name="Komma" xfId="1" builtinId="3"/>
    <cellStyle name="Prozent" xfId="2" builtinId="5"/>
    <cellStyle name="Prozent 2" xfId="4" xr:uid="{00000000-0005-0000-0000-000007000000}"/>
    <cellStyle name="Standard" xfId="0" builtinId="0"/>
    <cellStyle name="Standard 2" xfId="5" xr:uid="{00000000-0005-0000-0000-000008000000}"/>
    <cellStyle name="Standard 2 2" xfId="6" xr:uid="{00000000-0005-0000-0000-000009000000}"/>
    <cellStyle name="Standard 3" xfId="7" xr:uid="{00000000-0005-0000-0000-00000A000000}"/>
    <cellStyle name="Standard 4" xfId="8" xr:uid="{00000000-0005-0000-0000-00000B000000}"/>
    <cellStyle name="Währung 2" xfId="9" xr:uid="{00000000-0005-0000-0000-00000C000000}"/>
  </cellStyles>
  <dxfs count="21">
    <dxf>
      <font>
        <color rgb="FF9C0006"/>
      </font>
      <fill>
        <patternFill>
          <bgColor rgb="FFFFC7CE"/>
        </patternFill>
      </fill>
    </dxf>
    <dxf>
      <font>
        <sz val="11"/>
        <color rgb="FF000000"/>
        <name val="Calibri"/>
        <family val="2"/>
        <charset val="1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40F65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40F651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9CDE5"/>
      <rgbColor rgb="FF7F7F7F"/>
      <rgbColor rgb="FF95B3D7"/>
      <rgbColor rgb="FF7030A0"/>
      <rgbColor rgb="FFFFFFCC"/>
      <rgbColor rgb="FFC6D9F1"/>
      <rgbColor rgb="FF660066"/>
      <rgbColor rgb="FFE6B9B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C9EEF"/>
      <rgbColor rgb="FFCC99FF"/>
      <rgbColor rgb="FFFFC7CE"/>
      <rgbColor rgb="FF3366FF"/>
      <rgbColor rgb="FF00B0F0"/>
      <rgbColor rgb="FF92D050"/>
      <rgbColor rgb="FFFFCC00"/>
      <rgbColor rgb="FFFFC000"/>
      <rgbColor rgb="FFFF6600"/>
      <rgbColor rgb="FF558ED5"/>
      <rgbColor rgb="FF969696"/>
      <rgbColor rgb="FF003366"/>
      <rgbColor rgb="FF00B050"/>
      <rgbColor rgb="FF003300"/>
      <rgbColor rgb="FF333300"/>
      <rgbColor rgb="FF993300"/>
      <rgbColor rgb="FFC0504D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Stundenkontrolle!A1"/><Relationship Id="rId2" Type="http://schemas.openxmlformats.org/officeDocument/2006/relationships/hyperlink" Target="#Verf&#252;gungszeiten!A1"/><Relationship Id="rId1" Type="http://schemas.openxmlformats.org/officeDocument/2006/relationships/hyperlink" Target="#Uniformen!A1"/><Relationship Id="rId4" Type="http://schemas.openxmlformats.org/officeDocument/2006/relationships/hyperlink" Target="#'Dienstplan Version 1.4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Uniformen!A1"/><Relationship Id="rId2" Type="http://schemas.openxmlformats.org/officeDocument/2006/relationships/hyperlink" Target="#Personalstammdaten!A1"/><Relationship Id="rId1" Type="http://schemas.openxmlformats.org/officeDocument/2006/relationships/image" Target="../media/image1.jpeg"/><Relationship Id="rId5" Type="http://schemas.openxmlformats.org/officeDocument/2006/relationships/hyperlink" Target="#'Dienstplan Version 1.4'!A1"/><Relationship Id="rId4" Type="http://schemas.openxmlformats.org/officeDocument/2006/relationships/hyperlink" Target="#Verf&#252;gungszeiten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Verf&#252;gungszeiten!A1"/><Relationship Id="rId2" Type="http://schemas.openxmlformats.org/officeDocument/2006/relationships/hyperlink" Target="#Uniformen!A1"/><Relationship Id="rId1" Type="http://schemas.openxmlformats.org/officeDocument/2006/relationships/hyperlink" Target="#Personalstammdaten!A1"/><Relationship Id="rId5" Type="http://schemas.openxmlformats.org/officeDocument/2006/relationships/hyperlink" Target="#'Dienstplan Version 1.4'!A1"/><Relationship Id="rId4" Type="http://schemas.openxmlformats.org/officeDocument/2006/relationships/hyperlink" Target="#Stundenkontroll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200160</xdr:colOff>
      <xdr:row>2</xdr:row>
      <xdr:rowOff>9360</xdr:rowOff>
    </xdr:from>
    <xdr:to>
      <xdr:col>15</xdr:col>
      <xdr:colOff>332640</xdr:colOff>
      <xdr:row>4</xdr:row>
      <xdr:rowOff>170640</xdr:rowOff>
    </xdr:to>
    <xdr:sp macro="" textlink="">
      <xdr:nvSpPr>
        <xdr:cNvPr id="22" name="CustomShape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15469920" y="558000"/>
          <a:ext cx="1731240" cy="5270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E5F99"/>
            </a:gs>
            <a:gs pos="100000">
              <a:srgbClr val="3C7AC7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Personalstammdaten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200160</xdr:colOff>
      <xdr:row>14</xdr:row>
      <xdr:rowOff>104760</xdr:rowOff>
    </xdr:from>
    <xdr:to>
      <xdr:col>15</xdr:col>
      <xdr:colOff>313920</xdr:colOff>
      <xdr:row>17</xdr:row>
      <xdr:rowOff>7200</xdr:rowOff>
    </xdr:to>
    <xdr:sp macro="" textlink="">
      <xdr:nvSpPr>
        <xdr:cNvPr id="2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5469920" y="2847960"/>
          <a:ext cx="1712520" cy="45108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988A1"/>
            </a:gs>
            <a:gs pos="100000">
              <a:srgbClr val="36B0D1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Uniformen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190440</xdr:colOff>
      <xdr:row>11</xdr:row>
      <xdr:rowOff>19080</xdr:rowOff>
    </xdr:from>
    <xdr:to>
      <xdr:col>15</xdr:col>
      <xdr:colOff>304200</xdr:colOff>
      <xdr:row>14</xdr:row>
      <xdr:rowOff>18360</xdr:rowOff>
    </xdr:to>
    <xdr:sp macro="" textlink="">
      <xdr:nvSpPr>
        <xdr:cNvPr id="24" name="CustomShap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15460200" y="221364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5E437F"/>
            </a:gs>
            <a:gs pos="100000">
              <a:srgbClr val="7B57A5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Verfügungszeiten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209520</xdr:colOff>
      <xdr:row>5</xdr:row>
      <xdr:rowOff>66600</xdr:rowOff>
    </xdr:from>
    <xdr:to>
      <xdr:col>15</xdr:col>
      <xdr:colOff>323280</xdr:colOff>
      <xdr:row>7</xdr:row>
      <xdr:rowOff>65880</xdr:rowOff>
    </xdr:to>
    <xdr:sp macro="" textlink="">
      <xdr:nvSpPr>
        <xdr:cNvPr id="25" name="CustomShap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5479280" y="1163880"/>
          <a:ext cx="1712520" cy="3650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779637"/>
            </a:gs>
            <a:gs pos="100000">
              <a:srgbClr val="9BC348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Stundenkontrolle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13</xdr:col>
      <xdr:colOff>209520</xdr:colOff>
      <xdr:row>7</xdr:row>
      <xdr:rowOff>133200</xdr:rowOff>
    </xdr:from>
    <xdr:to>
      <xdr:col>15</xdr:col>
      <xdr:colOff>323280</xdr:colOff>
      <xdr:row>10</xdr:row>
      <xdr:rowOff>132480</xdr:rowOff>
    </xdr:to>
    <xdr:sp macro="" textlink="">
      <xdr:nvSpPr>
        <xdr:cNvPr id="26" name="CustomShape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5479280" y="159624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9C2F2C"/>
            </a:gs>
            <a:gs pos="100000">
              <a:srgbClr val="CB3D39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Dienstplan</a:t>
          </a:r>
          <a:endParaRPr lang="de-DE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551160</xdr:colOff>
      <xdr:row>4</xdr:row>
      <xdr:rowOff>81720</xdr:rowOff>
    </xdr:from>
    <xdr:to>
      <xdr:col>32</xdr:col>
      <xdr:colOff>768240</xdr:colOff>
      <xdr:row>4</xdr:row>
      <xdr:rowOff>155880</xdr:rowOff>
    </xdr:to>
    <xdr:sp macro="" textlink="">
      <xdr:nvSpPr>
        <xdr:cNvPr id="28" name="CustomShape 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9510120" y="805320"/>
          <a:ext cx="21708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551160</xdr:colOff>
      <xdr:row>4</xdr:row>
      <xdr:rowOff>81720</xdr:rowOff>
    </xdr:from>
    <xdr:to>
      <xdr:col>32</xdr:col>
      <xdr:colOff>768240</xdr:colOff>
      <xdr:row>4</xdr:row>
      <xdr:rowOff>155880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FF90CAAD-AB81-834D-866D-1D4B2B39E54B}"/>
            </a:ext>
          </a:extLst>
        </xdr:cNvPr>
        <xdr:cNvSpPr/>
      </xdr:nvSpPr>
      <xdr:spPr>
        <a:xfrm>
          <a:off x="10520660" y="792920"/>
          <a:ext cx="21708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81</xdr:col>
      <xdr:colOff>551160</xdr:colOff>
      <xdr:row>4</xdr:row>
      <xdr:rowOff>81720</xdr:rowOff>
    </xdr:from>
    <xdr:to>
      <xdr:col>81</xdr:col>
      <xdr:colOff>768240</xdr:colOff>
      <xdr:row>4</xdr:row>
      <xdr:rowOff>155880</xdr:rowOff>
    </xdr:to>
    <xdr:sp macro="" textlink="">
      <xdr:nvSpPr>
        <xdr:cNvPr id="7" name="CustomShape 1">
          <a:extLst>
            <a:ext uri="{FF2B5EF4-FFF2-40B4-BE49-F238E27FC236}">
              <a16:creationId xmlns:a16="http://schemas.microsoft.com/office/drawing/2014/main" id="{F6C4DA50-E172-3149-8C1D-9F2043CAE7CE}"/>
            </a:ext>
          </a:extLst>
        </xdr:cNvPr>
        <xdr:cNvSpPr/>
      </xdr:nvSpPr>
      <xdr:spPr>
        <a:xfrm>
          <a:off x="10280652" y="770534"/>
          <a:ext cx="21708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32</xdr:col>
      <xdr:colOff>551160</xdr:colOff>
      <xdr:row>41</xdr:row>
      <xdr:rowOff>81720</xdr:rowOff>
    </xdr:from>
    <xdr:to>
      <xdr:col>32</xdr:col>
      <xdr:colOff>768240</xdr:colOff>
      <xdr:row>41</xdr:row>
      <xdr:rowOff>155880</xdr:rowOff>
    </xdr:to>
    <xdr:sp macro="" textlink="">
      <xdr:nvSpPr>
        <xdr:cNvPr id="8" name="CustomShape 1">
          <a:extLst>
            <a:ext uri="{FF2B5EF4-FFF2-40B4-BE49-F238E27FC236}">
              <a16:creationId xmlns:a16="http://schemas.microsoft.com/office/drawing/2014/main" id="{77F125A8-D8B6-8D42-8A2A-60A391DE0BD3}"/>
            </a:ext>
          </a:extLst>
        </xdr:cNvPr>
        <xdr:cNvSpPr/>
      </xdr:nvSpPr>
      <xdr:spPr>
        <a:xfrm>
          <a:off x="10280652" y="770534"/>
          <a:ext cx="21708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81</xdr:col>
      <xdr:colOff>551160</xdr:colOff>
      <xdr:row>41</xdr:row>
      <xdr:rowOff>81720</xdr:rowOff>
    </xdr:from>
    <xdr:to>
      <xdr:col>81</xdr:col>
      <xdr:colOff>768240</xdr:colOff>
      <xdr:row>41</xdr:row>
      <xdr:rowOff>155880</xdr:rowOff>
    </xdr:to>
    <xdr:sp macro="" textlink="">
      <xdr:nvSpPr>
        <xdr:cNvPr id="9" name="CustomShape 1">
          <a:extLst>
            <a:ext uri="{FF2B5EF4-FFF2-40B4-BE49-F238E27FC236}">
              <a16:creationId xmlns:a16="http://schemas.microsoft.com/office/drawing/2014/main" id="{9910D55C-1BC2-B545-AFED-1D89DEFE7602}"/>
            </a:ext>
          </a:extLst>
        </xdr:cNvPr>
        <xdr:cNvSpPr/>
      </xdr:nvSpPr>
      <xdr:spPr>
        <a:xfrm>
          <a:off x="10280652" y="770534"/>
          <a:ext cx="21708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551160</xdr:colOff>
      <xdr:row>4</xdr:row>
      <xdr:rowOff>81720</xdr:rowOff>
    </xdr:from>
    <xdr:to>
      <xdr:col>32</xdr:col>
      <xdr:colOff>768240</xdr:colOff>
      <xdr:row>4</xdr:row>
      <xdr:rowOff>155880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3A621F6D-0B1E-8241-B569-A2F05B528A41}"/>
            </a:ext>
          </a:extLst>
        </xdr:cNvPr>
        <xdr:cNvSpPr/>
      </xdr:nvSpPr>
      <xdr:spPr>
        <a:xfrm>
          <a:off x="9423400" y="792920"/>
          <a:ext cx="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81</xdr:col>
      <xdr:colOff>551160</xdr:colOff>
      <xdr:row>4</xdr:row>
      <xdr:rowOff>81720</xdr:rowOff>
    </xdr:from>
    <xdr:to>
      <xdr:col>81</xdr:col>
      <xdr:colOff>768240</xdr:colOff>
      <xdr:row>4</xdr:row>
      <xdr:rowOff>155880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16D7D9C2-9F7A-B449-AAB4-641886335940}"/>
            </a:ext>
          </a:extLst>
        </xdr:cNvPr>
        <xdr:cNvSpPr/>
      </xdr:nvSpPr>
      <xdr:spPr>
        <a:xfrm>
          <a:off x="19151600" y="792920"/>
          <a:ext cx="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32</xdr:col>
      <xdr:colOff>551160</xdr:colOff>
      <xdr:row>41</xdr:row>
      <xdr:rowOff>81720</xdr:rowOff>
    </xdr:from>
    <xdr:to>
      <xdr:col>32</xdr:col>
      <xdr:colOff>768240</xdr:colOff>
      <xdr:row>41</xdr:row>
      <xdr:rowOff>155880</xdr:rowOff>
    </xdr:to>
    <xdr:sp macro="" textlink="">
      <xdr:nvSpPr>
        <xdr:cNvPr id="4" name="CustomShape 1">
          <a:extLst>
            <a:ext uri="{FF2B5EF4-FFF2-40B4-BE49-F238E27FC236}">
              <a16:creationId xmlns:a16="http://schemas.microsoft.com/office/drawing/2014/main" id="{57EC8F81-B0D8-0A49-8BFD-F748BA24AB22}"/>
            </a:ext>
          </a:extLst>
        </xdr:cNvPr>
        <xdr:cNvSpPr/>
      </xdr:nvSpPr>
      <xdr:spPr>
        <a:xfrm>
          <a:off x="9423400" y="7562020"/>
          <a:ext cx="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81</xdr:col>
      <xdr:colOff>551160</xdr:colOff>
      <xdr:row>41</xdr:row>
      <xdr:rowOff>81720</xdr:rowOff>
    </xdr:from>
    <xdr:to>
      <xdr:col>81</xdr:col>
      <xdr:colOff>768240</xdr:colOff>
      <xdr:row>41</xdr:row>
      <xdr:rowOff>155880</xdr:rowOff>
    </xdr:to>
    <xdr:sp macro="" textlink="">
      <xdr:nvSpPr>
        <xdr:cNvPr id="5" name="CustomShape 1">
          <a:extLst>
            <a:ext uri="{FF2B5EF4-FFF2-40B4-BE49-F238E27FC236}">
              <a16:creationId xmlns:a16="http://schemas.microsoft.com/office/drawing/2014/main" id="{461E23D4-A9FC-5C44-ADA1-9992E3A08768}"/>
            </a:ext>
          </a:extLst>
        </xdr:cNvPr>
        <xdr:cNvSpPr/>
      </xdr:nvSpPr>
      <xdr:spPr>
        <a:xfrm>
          <a:off x="19151600" y="7562020"/>
          <a:ext cx="0" cy="7416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19080</xdr:colOff>
      <xdr:row>7</xdr:row>
      <xdr:rowOff>0</xdr:rowOff>
    </xdr:from>
    <xdr:to>
      <xdr:col>3</xdr:col>
      <xdr:colOff>161280</xdr:colOff>
      <xdr:row>8</xdr:row>
      <xdr:rowOff>46800</xdr:rowOff>
    </xdr:to>
    <xdr:pic>
      <xdr:nvPicPr>
        <xdr:cNvPr id="43" name="Grafik 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18280" y="1320120"/>
          <a:ext cx="1984320" cy="361080"/>
        </a:xfrm>
        <a:prstGeom prst="rect">
          <a:avLst/>
        </a:prstGeom>
        <a:ln>
          <a:noFill/>
        </a:ln>
        <a:effectLst>
          <a:outerShdw dist="138988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4</xdr:col>
      <xdr:colOff>76320</xdr:colOff>
      <xdr:row>4</xdr:row>
      <xdr:rowOff>66600</xdr:rowOff>
    </xdr:from>
    <xdr:to>
      <xdr:col>18</xdr:col>
      <xdr:colOff>132840</xdr:colOff>
      <xdr:row>4</xdr:row>
      <xdr:rowOff>111600</xdr:rowOff>
    </xdr:to>
    <xdr:sp macro="" textlink="">
      <xdr:nvSpPr>
        <xdr:cNvPr id="44" name="CustomShape 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3917160" y="828360"/>
          <a:ext cx="4332600" cy="45000"/>
        </a:xfrm>
        <a:prstGeom prst="rightArrow">
          <a:avLst>
            <a:gd name="adj1" fmla="val 50000"/>
            <a:gd name="adj2" fmla="val 50000"/>
          </a:avLst>
        </a:prstGeom>
        <a:ln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11</xdr:col>
      <xdr:colOff>219240</xdr:colOff>
      <xdr:row>0</xdr:row>
      <xdr:rowOff>38160</xdr:rowOff>
    </xdr:from>
    <xdr:to>
      <xdr:col>16</xdr:col>
      <xdr:colOff>256680</xdr:colOff>
      <xdr:row>3</xdr:row>
      <xdr:rowOff>6840</xdr:rowOff>
    </xdr:to>
    <xdr:sp macro="" textlink="">
      <xdr:nvSpPr>
        <xdr:cNvPr id="45" name="CustomShap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6198120" y="38160"/>
          <a:ext cx="1564560" cy="5324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E5F99"/>
            </a:gs>
            <a:gs pos="100000">
              <a:srgbClr val="3C7AC7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Personalstammdaten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32</xdr:col>
      <xdr:colOff>142920</xdr:colOff>
      <xdr:row>0</xdr:row>
      <xdr:rowOff>44280</xdr:rowOff>
    </xdr:from>
    <xdr:to>
      <xdr:col>37</xdr:col>
      <xdr:colOff>281880</xdr:colOff>
      <xdr:row>3</xdr:row>
      <xdr:rowOff>27720</xdr:rowOff>
    </xdr:to>
    <xdr:sp macro="" textlink="">
      <xdr:nvSpPr>
        <xdr:cNvPr id="46" name="CustomShap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12579120" y="44280"/>
          <a:ext cx="1566000" cy="54720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988A1"/>
            </a:gs>
            <a:gs pos="100000">
              <a:srgbClr val="36B0D1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Uniformen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27</xdr:col>
      <xdr:colOff>409680</xdr:colOff>
      <xdr:row>0</xdr:row>
      <xdr:rowOff>41400</xdr:rowOff>
    </xdr:from>
    <xdr:to>
      <xdr:col>32</xdr:col>
      <xdr:colOff>107280</xdr:colOff>
      <xdr:row>3</xdr:row>
      <xdr:rowOff>18360</xdr:rowOff>
    </xdr:to>
    <xdr:sp macro="" textlink="">
      <xdr:nvSpPr>
        <xdr:cNvPr id="47" name="CustomShape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0980360" y="41400"/>
          <a:ext cx="1563120" cy="5407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5E437F"/>
            </a:gs>
            <a:gs pos="100000">
              <a:srgbClr val="7B57A5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Verfügungszeiten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9360</xdr:colOff>
      <xdr:row>0</xdr:row>
      <xdr:rowOff>38160</xdr:rowOff>
    </xdr:from>
    <xdr:to>
      <xdr:col>21</xdr:col>
      <xdr:colOff>56160</xdr:colOff>
      <xdr:row>3</xdr:row>
      <xdr:rowOff>28080</xdr:rowOff>
    </xdr:to>
    <xdr:sp macro="" textlink="">
      <xdr:nvSpPr>
        <xdr:cNvPr id="48" name="CustomShape 1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7821000" y="38160"/>
          <a:ext cx="1519920" cy="55368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779637"/>
            </a:gs>
            <a:gs pos="100000">
              <a:srgbClr val="9BC348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Stundenkontrolle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21</xdr:col>
      <xdr:colOff>101520</xdr:colOff>
      <xdr:row>0</xdr:row>
      <xdr:rowOff>44280</xdr:rowOff>
    </xdr:from>
    <xdr:to>
      <xdr:col>27</xdr:col>
      <xdr:colOff>367560</xdr:colOff>
      <xdr:row>3</xdr:row>
      <xdr:rowOff>30960</xdr:rowOff>
    </xdr:to>
    <xdr:sp macro="" textlink="">
      <xdr:nvSpPr>
        <xdr:cNvPr id="49" name="CustomShape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9386280" y="44280"/>
          <a:ext cx="1551960" cy="5504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9C2F2C"/>
            </a:gs>
            <a:gs pos="100000">
              <a:srgbClr val="CB3D39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Dienstplan</a:t>
          </a:r>
          <a:endParaRPr lang="de-DE" sz="1100" b="0" strike="noStrike" spc="-1">
            <a:latin typeface="Times New Roman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200160</xdr:colOff>
      <xdr:row>3</xdr:row>
      <xdr:rowOff>9360</xdr:rowOff>
    </xdr:from>
    <xdr:to>
      <xdr:col>19</xdr:col>
      <xdr:colOff>332640</xdr:colOff>
      <xdr:row>5</xdr:row>
      <xdr:rowOff>170640</xdr:rowOff>
    </xdr:to>
    <xdr:sp macro="" textlink="">
      <xdr:nvSpPr>
        <xdr:cNvPr id="50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>
          <a:off x="13932000" y="725400"/>
          <a:ext cx="1731240" cy="52704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E5F99"/>
            </a:gs>
            <a:gs pos="100000">
              <a:srgbClr val="3C7AC7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Personalstammdaten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200160</xdr:colOff>
      <xdr:row>16</xdr:row>
      <xdr:rowOff>104760</xdr:rowOff>
    </xdr:from>
    <xdr:to>
      <xdr:col>19</xdr:col>
      <xdr:colOff>313920</xdr:colOff>
      <xdr:row>19</xdr:row>
      <xdr:rowOff>104040</xdr:rowOff>
    </xdr:to>
    <xdr:sp macro="" textlink="">
      <xdr:nvSpPr>
        <xdr:cNvPr id="51" name="CustomShap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>
          <a:off x="13932000" y="319824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2988A1"/>
            </a:gs>
            <a:gs pos="100000">
              <a:srgbClr val="36B0D1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Uniformen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190440</xdr:colOff>
      <xdr:row>13</xdr:row>
      <xdr:rowOff>19080</xdr:rowOff>
    </xdr:from>
    <xdr:to>
      <xdr:col>19</xdr:col>
      <xdr:colOff>304200</xdr:colOff>
      <xdr:row>16</xdr:row>
      <xdr:rowOff>18360</xdr:rowOff>
    </xdr:to>
    <xdr:sp macro="" textlink="">
      <xdr:nvSpPr>
        <xdr:cNvPr id="52" name="CustomShape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13922280" y="256392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5E437F"/>
            </a:gs>
            <a:gs pos="100000">
              <a:srgbClr val="7B57A5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Verfügungszeiten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209520</xdr:colOff>
      <xdr:row>6</xdr:row>
      <xdr:rowOff>66600</xdr:rowOff>
    </xdr:from>
    <xdr:to>
      <xdr:col>19</xdr:col>
      <xdr:colOff>323280</xdr:colOff>
      <xdr:row>9</xdr:row>
      <xdr:rowOff>65880</xdr:rowOff>
    </xdr:to>
    <xdr:sp macro="" textlink="">
      <xdr:nvSpPr>
        <xdr:cNvPr id="53" name="CustomShape 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>
          <a:off x="13941360" y="133128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779637"/>
            </a:gs>
            <a:gs pos="100000">
              <a:srgbClr val="9BC348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Stundenkontrolle</a:t>
          </a:r>
          <a:endParaRPr lang="de-DE" sz="1100" b="0" strike="noStrike" spc="-1">
            <a:latin typeface="Times New Roman"/>
          </a:endParaRPr>
        </a:p>
      </xdr:txBody>
    </xdr:sp>
    <xdr:clientData/>
  </xdr:twoCellAnchor>
  <xdr:twoCellAnchor>
    <xdr:from>
      <xdr:col>17</xdr:col>
      <xdr:colOff>209520</xdr:colOff>
      <xdr:row>9</xdr:row>
      <xdr:rowOff>133200</xdr:rowOff>
    </xdr:from>
    <xdr:to>
      <xdr:col>19</xdr:col>
      <xdr:colOff>323280</xdr:colOff>
      <xdr:row>12</xdr:row>
      <xdr:rowOff>132480</xdr:rowOff>
    </xdr:to>
    <xdr:sp macro="" textlink="">
      <xdr:nvSpPr>
        <xdr:cNvPr id="54" name="CustomShape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13941360" y="1946520"/>
          <a:ext cx="1712520" cy="547920"/>
        </a:xfrm>
        <a:prstGeom prst="roundRect">
          <a:avLst>
            <a:gd name="adj" fmla="val 16667"/>
          </a:avLst>
        </a:prstGeom>
        <a:gradFill rotWithShape="0">
          <a:gsLst>
            <a:gs pos="0">
              <a:srgbClr val="9C2F2C"/>
            </a:gs>
            <a:gs pos="100000">
              <a:srgbClr val="CB3D39"/>
            </a:gs>
          </a:gsLst>
          <a:lin ang="16200000"/>
        </a:gradFill>
        <a:ln>
          <a:noFill/>
        </a:ln>
        <a:effectLst>
          <a:outerShdw blurRad="40000" dist="23040" dir="5400000" rotWithShape="0">
            <a:srgbClr val="000000">
              <a:alpha val="35000"/>
            </a:srgbClr>
          </a:outerShdw>
        </a:effectLst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/>
      </xdr:style>
      <xdr:txBody>
        <a:bodyPr lIns="90000" tIns="45000" rIns="90000" bIns="45000" anchor="ctr">
          <a:noAutofit/>
        </a:bodyPr>
        <a:lstStyle/>
        <a:p>
          <a:pPr algn="ctr">
            <a:lnSpc>
              <a:spcPct val="100000"/>
            </a:lnSpc>
          </a:pPr>
          <a:r>
            <a:rPr lang="de-DE" sz="1100" b="0" strike="noStrike" spc="-1">
              <a:solidFill>
                <a:srgbClr val="FFFFFF"/>
              </a:solidFill>
              <a:latin typeface="Calibri"/>
            </a:rPr>
            <a:t>Dienstplan</a:t>
          </a:r>
          <a:endParaRPr lang="de-DE" sz="1100" b="0" strike="noStrike" spc="-1"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2:L60" totalsRowShown="0">
  <autoFilter ref="A2:L60" xr:uid="{00000000-0009-0000-0100-000001000000}"/>
  <tableColumns count="12">
    <tableColumn id="1" xr3:uid="{00000000-0010-0000-0000-000001000000}" name="Anzahl"/>
    <tableColumn id="2" xr3:uid="{00000000-0010-0000-0000-000002000000}" name="Name"/>
    <tableColumn id="3" xr3:uid="{00000000-0010-0000-0000-000003000000}" name="Vorname"/>
    <tableColumn id="4" xr3:uid="{00000000-0010-0000-0000-000004000000}" name="Telefon Nr1"/>
    <tableColumn id="5" xr3:uid="{00000000-0010-0000-0000-000005000000}" name="Telefon Nr2"/>
    <tableColumn id="6" xr3:uid="{00000000-0010-0000-0000-000006000000}" name="Strasse"/>
    <tableColumn id="7" xr3:uid="{00000000-0010-0000-0000-000007000000}" name="PLZ / Ort"/>
    <tableColumn id="8" xr3:uid="{00000000-0010-0000-0000-000008000000}" name="Nationalität"/>
    <tableColumn id="9" xr3:uid="{00000000-0010-0000-0000-000009000000}" name="Bewilligung"/>
    <tableColumn id="10" xr3:uid="{00000000-0010-0000-0000-00000A000000}" name="Station"/>
    <tableColumn id="11" xr3:uid="{00000000-0010-0000-0000-00000B000000}" name="Pensum"/>
    <tableColumn id="12" xr3:uid="{00000000-0010-0000-0000-00000C000000}" name="Eintrit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le6" displayName="Tabelle6" ref="A11:D47" totalsRowShown="0">
  <autoFilter ref="A11:D47" xr:uid="{00000000-0009-0000-0100-000004000000}"/>
  <tableColumns count="4">
    <tableColumn id="1" xr3:uid="{00000000-0010-0000-0200-000001000000}" name="P.E."/>
    <tableColumn id="2" xr3:uid="{00000000-0010-0000-0200-000002000000}" name="Station"/>
    <tableColumn id="3" xr3:uid="{00000000-0010-0000-0200-000003000000}" name="Name"/>
    <tableColumn id="4" xr3:uid="{00000000-0010-0000-0200-000004000000}" name="Vorna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le12" displayName="Tabelle12" ref="A3:P29" totalsRowShown="0">
  <autoFilter ref="A3:P29" xr:uid="{00000000-0009-0000-0100-000002000000}"/>
  <tableColumns count="16">
    <tableColumn id="1" xr3:uid="{00000000-0010-0000-0300-000001000000}" name="Name"/>
    <tableColumn id="2" xr3:uid="{00000000-0010-0000-0300-000002000000}" name="24.40"/>
    <tableColumn id="3" xr3:uid="{00000000-0010-0000-0300-000003000000}" name="Kochjacke"/>
    <tableColumn id="4" xr3:uid="{00000000-0010-0000-0300-000004000000}" name="1.65"/>
    <tableColumn id="5" xr3:uid="{00000000-0010-0000-0300-000005000000}" name="Knöpfe"/>
    <tableColumn id="6" xr3:uid="{00000000-0010-0000-0300-000006000000}" name="23.50"/>
    <tableColumn id="7" xr3:uid="{00000000-0010-0000-0300-000007000000}" name="Hemd"/>
    <tableColumn id="8" xr3:uid="{00000000-0010-0000-0300-000008000000}" name="20.10"/>
    <tableColumn id="9" xr3:uid="{00000000-0010-0000-0300-000009000000}" name="Schürze"/>
    <tableColumn id="10" xr3:uid="{00000000-0010-0000-0300-00000A000000}" name="9.80"/>
    <tableColumn id="11" xr3:uid="{00000000-0010-0000-0300-00000B000000}" name="Bandana"/>
    <tableColumn id="12" xr3:uid="{00000000-0010-0000-0300-00000C000000}" name="17.75"/>
    <tableColumn id="13" xr3:uid="{00000000-0010-0000-0300-00000D000000}" name="Krawatte"/>
    <tableColumn id="14" xr3:uid="{00000000-0010-0000-0300-00000E000000}" name="32.90"/>
    <tableColumn id="15" xr3:uid="{00000000-0010-0000-0300-00000F000000}" name="Pulli"/>
    <tableColumn id="16" xr3:uid="{00000000-0010-0000-0300-000010000000}" name="Gesam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58ED5"/>
  </sheetPr>
  <dimension ref="A1:P60"/>
  <sheetViews>
    <sheetView topLeftCell="D25" zoomScaleNormal="100" workbookViewId="0">
      <selection activeCell="F41" sqref="F41"/>
    </sheetView>
  </sheetViews>
  <sheetFormatPr baseColWidth="10" defaultColWidth="8.83203125" defaultRowHeight="15"/>
  <cols>
    <col min="1" max="1" width="9.33203125" customWidth="1"/>
    <col min="2" max="2" width="19" style="2" customWidth="1"/>
    <col min="3" max="3" width="17.33203125" style="2" customWidth="1"/>
    <col min="4" max="4" width="28.33203125" style="3" customWidth="1"/>
    <col min="5" max="5" width="21.33203125" style="3" customWidth="1"/>
    <col min="6" max="6" width="28" style="2" customWidth="1"/>
    <col min="7" max="7" width="16.1640625" style="2" customWidth="1"/>
    <col min="8" max="8" width="16.6640625" style="3" customWidth="1"/>
    <col min="9" max="9" width="13.33203125" style="3" customWidth="1"/>
    <col min="10" max="10" width="14.33203125" style="3" customWidth="1"/>
    <col min="11" max="11" width="10.1640625" style="3" customWidth="1"/>
    <col min="12" max="12" width="11.33203125" style="2" customWidth="1"/>
    <col min="13" max="1025" width="11.33203125" customWidth="1"/>
  </cols>
  <sheetData>
    <row r="1" spans="1:16" ht="29">
      <c r="A1" s="279" t="s">
        <v>1</v>
      </c>
      <c r="B1" s="279"/>
      <c r="C1" s="279"/>
      <c r="D1" s="279"/>
      <c r="E1" s="279"/>
      <c r="F1" s="279"/>
      <c r="G1" s="279"/>
      <c r="H1" s="279"/>
      <c r="I1" s="279"/>
      <c r="J1" s="280" t="e">
        <f>#REF!</f>
        <v>#REF!</v>
      </c>
      <c r="K1" s="280"/>
      <c r="L1" s="280"/>
      <c r="M1" s="1"/>
      <c r="N1" s="1"/>
      <c r="O1" s="1"/>
      <c r="P1" s="1"/>
    </row>
    <row r="2" spans="1:16">
      <c r="A2" s="4" t="s">
        <v>2</v>
      </c>
      <c r="B2" s="5" t="s">
        <v>3</v>
      </c>
      <c r="C2" s="5" t="s">
        <v>4</v>
      </c>
      <c r="D2" s="6" t="s">
        <v>5</v>
      </c>
      <c r="E2" s="6" t="s">
        <v>6</v>
      </c>
      <c r="F2" s="5" t="s">
        <v>7</v>
      </c>
      <c r="G2" s="5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7" t="s">
        <v>13</v>
      </c>
      <c r="M2" s="1"/>
      <c r="N2" s="1"/>
      <c r="O2" s="1"/>
      <c r="P2" s="1"/>
    </row>
    <row r="3" spans="1:16">
      <c r="A3" s="8">
        <v>1</v>
      </c>
      <c r="B3" s="9" t="s">
        <v>14</v>
      </c>
      <c r="C3" s="9" t="s">
        <v>15</v>
      </c>
      <c r="D3" s="10" t="s">
        <v>16</v>
      </c>
      <c r="E3" s="10"/>
      <c r="F3" s="9" t="s">
        <v>17</v>
      </c>
      <c r="G3" s="9" t="s">
        <v>18</v>
      </c>
      <c r="H3" s="10" t="s">
        <v>19</v>
      </c>
      <c r="I3" s="10"/>
      <c r="J3" s="10" t="s">
        <v>20</v>
      </c>
      <c r="K3" s="10">
        <v>100</v>
      </c>
      <c r="L3" s="11">
        <v>40513</v>
      </c>
      <c r="M3" s="1"/>
      <c r="N3" s="1"/>
      <c r="O3" s="1"/>
      <c r="P3" s="1"/>
    </row>
    <row r="4" spans="1:16">
      <c r="A4" s="12">
        <v>2</v>
      </c>
      <c r="B4" s="13" t="s">
        <v>21</v>
      </c>
      <c r="C4" s="13" t="s">
        <v>22</v>
      </c>
      <c r="D4" s="14" t="s">
        <v>23</v>
      </c>
      <c r="E4" s="14"/>
      <c r="F4" s="13" t="s">
        <v>24</v>
      </c>
      <c r="G4" s="13" t="s">
        <v>25</v>
      </c>
      <c r="H4" s="14" t="s">
        <v>26</v>
      </c>
      <c r="I4" s="14" t="s">
        <v>27</v>
      </c>
      <c r="J4" s="14" t="s">
        <v>28</v>
      </c>
      <c r="K4" s="14">
        <v>100</v>
      </c>
      <c r="L4" s="15">
        <v>40513</v>
      </c>
      <c r="M4" s="1"/>
      <c r="N4" s="1"/>
      <c r="O4" s="1"/>
      <c r="P4" s="1"/>
    </row>
    <row r="5" spans="1:16">
      <c r="A5" s="12">
        <v>3</v>
      </c>
      <c r="B5" s="13" t="s">
        <v>29</v>
      </c>
      <c r="C5" s="13" t="s">
        <v>30</v>
      </c>
      <c r="D5" s="16" t="s">
        <v>31</v>
      </c>
      <c r="E5" s="16"/>
      <c r="F5" s="13" t="s">
        <v>32</v>
      </c>
      <c r="G5" s="13" t="s">
        <v>33</v>
      </c>
      <c r="H5" s="14" t="s">
        <v>34</v>
      </c>
      <c r="I5" s="14" t="s">
        <v>27</v>
      </c>
      <c r="J5" s="14" t="s">
        <v>35</v>
      </c>
      <c r="K5" s="14">
        <v>100</v>
      </c>
      <c r="L5" s="15">
        <v>40513</v>
      </c>
      <c r="M5" s="1"/>
      <c r="N5" s="1"/>
      <c r="O5" s="1"/>
      <c r="P5" s="1"/>
    </row>
    <row r="6" spans="1:16">
      <c r="A6" s="12">
        <v>4</v>
      </c>
      <c r="B6" s="13" t="s">
        <v>36</v>
      </c>
      <c r="C6" s="13" t="s">
        <v>37</v>
      </c>
      <c r="D6" s="14" t="s">
        <v>38</v>
      </c>
      <c r="E6" s="14"/>
      <c r="F6" s="13" t="s">
        <v>39</v>
      </c>
      <c r="G6" s="13" t="s">
        <v>40</v>
      </c>
      <c r="H6" s="14" t="s">
        <v>41</v>
      </c>
      <c r="I6" s="14" t="s">
        <v>42</v>
      </c>
      <c r="J6" s="14" t="s">
        <v>43</v>
      </c>
      <c r="K6" s="14">
        <v>100</v>
      </c>
      <c r="L6" s="15">
        <v>40513</v>
      </c>
      <c r="M6" s="1"/>
      <c r="N6" s="1"/>
      <c r="O6" s="1"/>
      <c r="P6" s="1"/>
    </row>
    <row r="7" spans="1:16">
      <c r="A7" s="12">
        <v>5</v>
      </c>
      <c r="B7" s="13" t="s">
        <v>44</v>
      </c>
      <c r="C7" s="13" t="s">
        <v>45</v>
      </c>
      <c r="D7" s="14" t="s">
        <v>46</v>
      </c>
      <c r="E7" s="14" t="s">
        <v>47</v>
      </c>
      <c r="F7" s="13" t="s">
        <v>48</v>
      </c>
      <c r="G7" s="13" t="s">
        <v>49</v>
      </c>
      <c r="H7" s="14" t="s">
        <v>41</v>
      </c>
      <c r="I7" s="14" t="s">
        <v>42</v>
      </c>
      <c r="J7" s="14" t="s">
        <v>43</v>
      </c>
      <c r="K7" s="14"/>
      <c r="L7" s="15">
        <v>40513</v>
      </c>
      <c r="M7" s="1"/>
      <c r="N7" s="1"/>
      <c r="O7" s="1"/>
      <c r="P7" s="1"/>
    </row>
    <row r="8" spans="1:16">
      <c r="A8" s="12">
        <v>7</v>
      </c>
      <c r="B8" s="13" t="s">
        <v>50</v>
      </c>
      <c r="C8" s="13" t="s">
        <v>51</v>
      </c>
      <c r="D8" s="14" t="s">
        <v>52</v>
      </c>
      <c r="E8" s="14"/>
      <c r="F8" s="13" t="s">
        <v>53</v>
      </c>
      <c r="G8" s="13" t="s">
        <v>40</v>
      </c>
      <c r="H8" s="14" t="s">
        <v>54</v>
      </c>
      <c r="I8" s="14" t="s">
        <v>55</v>
      </c>
      <c r="J8" s="14" t="s">
        <v>20</v>
      </c>
      <c r="K8" s="14"/>
      <c r="L8" s="15">
        <v>40513</v>
      </c>
      <c r="M8" s="1"/>
      <c r="N8" s="1"/>
      <c r="O8" s="1"/>
      <c r="P8" s="1"/>
    </row>
    <row r="9" spans="1:16">
      <c r="A9" s="12">
        <v>8</v>
      </c>
      <c r="B9" s="13" t="s">
        <v>56</v>
      </c>
      <c r="C9" s="13" t="s">
        <v>57</v>
      </c>
      <c r="D9" s="14" t="s">
        <v>58</v>
      </c>
      <c r="E9" s="14"/>
      <c r="F9" s="13" t="s">
        <v>59</v>
      </c>
      <c r="G9" s="13" t="s">
        <v>60</v>
      </c>
      <c r="H9" s="14" t="s">
        <v>61</v>
      </c>
      <c r="I9" s="14" t="s">
        <v>55</v>
      </c>
      <c r="J9" s="14" t="s">
        <v>62</v>
      </c>
      <c r="K9" s="14">
        <v>100</v>
      </c>
      <c r="L9" s="15">
        <v>40513</v>
      </c>
      <c r="M9" s="1"/>
      <c r="N9" s="1"/>
      <c r="O9" s="1"/>
      <c r="P9" s="1"/>
    </row>
    <row r="10" spans="1:16">
      <c r="A10" s="12">
        <v>9</v>
      </c>
      <c r="B10" s="13" t="s">
        <v>63</v>
      </c>
      <c r="C10" s="13" t="s">
        <v>64</v>
      </c>
      <c r="D10" s="14" t="s">
        <v>65</v>
      </c>
      <c r="E10" s="14"/>
      <c r="F10" s="13" t="s">
        <v>66</v>
      </c>
      <c r="G10" s="13" t="s">
        <v>67</v>
      </c>
      <c r="H10" s="14" t="s">
        <v>68</v>
      </c>
      <c r="I10" s="14" t="s">
        <v>55</v>
      </c>
      <c r="J10" s="14" t="s">
        <v>43</v>
      </c>
      <c r="K10" s="14"/>
      <c r="L10" s="15">
        <v>40513</v>
      </c>
      <c r="M10" s="1"/>
      <c r="N10" s="1"/>
      <c r="O10" s="1"/>
      <c r="P10" s="1"/>
    </row>
    <row r="11" spans="1:16">
      <c r="A11" s="12">
        <v>10</v>
      </c>
      <c r="B11" s="13" t="s">
        <v>69</v>
      </c>
      <c r="C11" s="13" t="s">
        <v>70</v>
      </c>
      <c r="D11" s="14" t="s">
        <v>71</v>
      </c>
      <c r="E11" s="14" t="s">
        <v>72</v>
      </c>
      <c r="F11" s="13" t="s">
        <v>73</v>
      </c>
      <c r="G11" s="13" t="s">
        <v>74</v>
      </c>
      <c r="H11" s="14" t="s">
        <v>75</v>
      </c>
      <c r="I11" s="14" t="s">
        <v>55</v>
      </c>
      <c r="J11" s="14" t="s">
        <v>20</v>
      </c>
      <c r="K11" s="14">
        <v>100</v>
      </c>
      <c r="L11" s="15">
        <v>40513</v>
      </c>
      <c r="M11" s="1"/>
      <c r="N11" s="1"/>
      <c r="O11" s="1"/>
      <c r="P11" s="1"/>
    </row>
    <row r="12" spans="1:16">
      <c r="A12" s="12">
        <v>11</v>
      </c>
      <c r="B12" s="13" t="s">
        <v>76</v>
      </c>
      <c r="C12" s="13" t="s">
        <v>77</v>
      </c>
      <c r="D12" s="14" t="s">
        <v>78</v>
      </c>
      <c r="E12" s="14"/>
      <c r="F12" s="13" t="s">
        <v>79</v>
      </c>
      <c r="G12" s="13" t="s">
        <v>80</v>
      </c>
      <c r="H12" s="14" t="s">
        <v>19</v>
      </c>
      <c r="I12" s="14"/>
      <c r="J12" s="14" t="s">
        <v>81</v>
      </c>
      <c r="K12" s="14"/>
      <c r="L12" s="15">
        <v>40513</v>
      </c>
      <c r="M12" s="1"/>
      <c r="N12" s="1"/>
      <c r="O12" s="1"/>
      <c r="P12" s="1"/>
    </row>
    <row r="13" spans="1:16">
      <c r="A13" s="12">
        <v>12</v>
      </c>
      <c r="B13" s="13" t="s">
        <v>82</v>
      </c>
      <c r="C13" s="13" t="s">
        <v>83</v>
      </c>
      <c r="D13" s="14" t="s">
        <v>84</v>
      </c>
      <c r="E13" s="14"/>
      <c r="F13" s="13" t="s">
        <v>85</v>
      </c>
      <c r="G13" s="13" t="s">
        <v>86</v>
      </c>
      <c r="H13" s="14" t="s">
        <v>19</v>
      </c>
      <c r="I13" s="14"/>
      <c r="J13" s="14" t="s">
        <v>87</v>
      </c>
      <c r="K13" s="14"/>
      <c r="L13" s="15">
        <v>40513</v>
      </c>
      <c r="M13" s="1"/>
      <c r="N13" s="1"/>
      <c r="O13" s="1"/>
      <c r="P13" s="1"/>
    </row>
    <row r="14" spans="1:16">
      <c r="A14" s="12">
        <v>13</v>
      </c>
      <c r="B14" s="13" t="s">
        <v>88</v>
      </c>
      <c r="C14" s="13" t="s">
        <v>89</v>
      </c>
      <c r="D14" s="14" t="s">
        <v>90</v>
      </c>
      <c r="E14" s="14"/>
      <c r="F14" s="13" t="s">
        <v>91</v>
      </c>
      <c r="G14" s="13" t="s">
        <v>92</v>
      </c>
      <c r="H14" s="14" t="s">
        <v>41</v>
      </c>
      <c r="I14" s="14" t="s">
        <v>42</v>
      </c>
      <c r="J14" s="14" t="s">
        <v>43</v>
      </c>
      <c r="K14" s="14"/>
      <c r="L14" s="15">
        <v>40513</v>
      </c>
      <c r="M14" s="1"/>
      <c r="N14" s="1"/>
      <c r="O14" s="1"/>
      <c r="P14" s="1"/>
    </row>
    <row r="15" spans="1:16">
      <c r="A15" s="12">
        <v>14</v>
      </c>
      <c r="B15" s="13" t="s">
        <v>93</v>
      </c>
      <c r="C15" s="13" t="s">
        <v>94</v>
      </c>
      <c r="D15" s="14" t="s">
        <v>95</v>
      </c>
      <c r="E15" s="14" t="s">
        <v>96</v>
      </c>
      <c r="F15" s="13" t="s">
        <v>97</v>
      </c>
      <c r="G15" s="13" t="s">
        <v>98</v>
      </c>
      <c r="H15" s="14" t="s">
        <v>19</v>
      </c>
      <c r="I15" s="14"/>
      <c r="J15" s="14" t="s">
        <v>87</v>
      </c>
      <c r="K15" s="14"/>
      <c r="L15" s="15">
        <v>40513</v>
      </c>
      <c r="M15" s="1"/>
      <c r="N15" s="1"/>
      <c r="O15" s="1"/>
      <c r="P15" s="1"/>
    </row>
    <row r="16" spans="1:16">
      <c r="A16" s="12">
        <v>15</v>
      </c>
      <c r="B16" s="13" t="s">
        <v>99</v>
      </c>
      <c r="C16" s="13" t="s">
        <v>100</v>
      </c>
      <c r="D16" s="14" t="s">
        <v>101</v>
      </c>
      <c r="E16" s="14" t="s">
        <v>102</v>
      </c>
      <c r="F16" s="13" t="s">
        <v>103</v>
      </c>
      <c r="G16" s="13" t="s">
        <v>104</v>
      </c>
      <c r="H16" s="14" t="s">
        <v>105</v>
      </c>
      <c r="I16" s="14" t="s">
        <v>55</v>
      </c>
      <c r="J16" s="14" t="s">
        <v>106</v>
      </c>
      <c r="K16" s="14">
        <v>60</v>
      </c>
      <c r="L16" s="15">
        <v>40513</v>
      </c>
      <c r="M16" s="1"/>
      <c r="N16" s="1"/>
      <c r="O16" s="1"/>
      <c r="P16" s="1"/>
    </row>
    <row r="17" spans="1:16">
      <c r="A17" s="12">
        <v>16</v>
      </c>
      <c r="B17" s="13" t="s">
        <v>107</v>
      </c>
      <c r="C17" s="13" t="s">
        <v>108</v>
      </c>
      <c r="D17" s="14" t="s">
        <v>109</v>
      </c>
      <c r="E17" s="14"/>
      <c r="F17" s="13" t="s">
        <v>110</v>
      </c>
      <c r="G17" s="13" t="s">
        <v>111</v>
      </c>
      <c r="H17" s="14" t="s">
        <v>19</v>
      </c>
      <c r="I17" s="14"/>
      <c r="J17" s="14" t="s">
        <v>112</v>
      </c>
      <c r="K17" s="14"/>
      <c r="L17" s="15">
        <v>40513</v>
      </c>
      <c r="M17" s="1"/>
      <c r="N17" s="1"/>
      <c r="O17" s="1"/>
      <c r="P17" s="1"/>
    </row>
    <row r="18" spans="1:16">
      <c r="A18" s="12">
        <v>18</v>
      </c>
      <c r="B18" s="13" t="s">
        <v>113</v>
      </c>
      <c r="C18" s="13" t="s">
        <v>114</v>
      </c>
      <c r="D18" s="14" t="s">
        <v>115</v>
      </c>
      <c r="E18" s="14"/>
      <c r="F18" s="13" t="s">
        <v>116</v>
      </c>
      <c r="G18" s="13" t="s">
        <v>117</v>
      </c>
      <c r="H18" s="14" t="s">
        <v>41</v>
      </c>
      <c r="I18" s="14" t="s">
        <v>42</v>
      </c>
      <c r="J18" s="14" t="s">
        <v>112</v>
      </c>
      <c r="K18" s="14"/>
      <c r="L18" s="15">
        <v>40513</v>
      </c>
      <c r="M18" s="1"/>
      <c r="N18" s="1"/>
      <c r="O18" s="1"/>
      <c r="P18" s="1"/>
    </row>
    <row r="19" spans="1:16">
      <c r="A19" s="12">
        <v>19</v>
      </c>
      <c r="B19" s="13" t="s">
        <v>118</v>
      </c>
      <c r="C19" s="13" t="s">
        <v>119</v>
      </c>
      <c r="D19" s="14" t="s">
        <v>120</v>
      </c>
      <c r="E19" s="14"/>
      <c r="F19" s="13" t="s">
        <v>121</v>
      </c>
      <c r="G19" s="13" t="s">
        <v>40</v>
      </c>
      <c r="H19" s="14" t="s">
        <v>41</v>
      </c>
      <c r="I19" s="14" t="s">
        <v>55</v>
      </c>
      <c r="J19" s="14" t="s">
        <v>112</v>
      </c>
      <c r="K19" s="14"/>
      <c r="L19" s="15">
        <v>40513</v>
      </c>
      <c r="M19" s="1"/>
      <c r="N19" s="1"/>
      <c r="O19" s="1"/>
      <c r="P19" s="1"/>
    </row>
    <row r="20" spans="1:16">
      <c r="A20" s="12">
        <v>20</v>
      </c>
      <c r="B20" s="13" t="s">
        <v>122</v>
      </c>
      <c r="C20" s="13" t="s">
        <v>123</v>
      </c>
      <c r="D20" s="14" t="s">
        <v>124</v>
      </c>
      <c r="E20" s="14"/>
      <c r="F20" s="13" t="s">
        <v>125</v>
      </c>
      <c r="G20" s="13" t="s">
        <v>126</v>
      </c>
      <c r="H20" s="14" t="s">
        <v>19</v>
      </c>
      <c r="I20" s="14"/>
      <c r="J20" s="14" t="s">
        <v>127</v>
      </c>
      <c r="K20" s="14"/>
      <c r="L20" s="15">
        <v>40513</v>
      </c>
      <c r="M20" s="1"/>
      <c r="N20" s="1"/>
      <c r="O20" s="1"/>
      <c r="P20" s="1"/>
    </row>
    <row r="21" spans="1:16">
      <c r="A21" s="12">
        <v>22</v>
      </c>
      <c r="B21" s="13" t="s">
        <v>128</v>
      </c>
      <c r="C21" s="13" t="s">
        <v>129</v>
      </c>
      <c r="D21" s="14" t="s">
        <v>130</v>
      </c>
      <c r="E21" s="14"/>
      <c r="F21" s="13" t="s">
        <v>131</v>
      </c>
      <c r="G21" s="13" t="s">
        <v>132</v>
      </c>
      <c r="H21" s="14" t="s">
        <v>41</v>
      </c>
      <c r="I21" s="14" t="s">
        <v>55</v>
      </c>
      <c r="J21" s="14" t="s">
        <v>133</v>
      </c>
      <c r="K21" s="14"/>
      <c r="L21" s="15">
        <v>40513</v>
      </c>
      <c r="M21" s="1"/>
      <c r="N21" s="1"/>
      <c r="O21" s="1"/>
      <c r="P21" s="1"/>
    </row>
    <row r="22" spans="1:16">
      <c r="A22" s="12">
        <v>23</v>
      </c>
      <c r="B22" s="13" t="s">
        <v>134</v>
      </c>
      <c r="C22" s="13" t="s">
        <v>135</v>
      </c>
      <c r="D22" s="14" t="s">
        <v>136</v>
      </c>
      <c r="E22" s="14"/>
      <c r="F22" s="13" t="s">
        <v>137</v>
      </c>
      <c r="G22" s="13" t="s">
        <v>74</v>
      </c>
      <c r="H22" s="14" t="s">
        <v>41</v>
      </c>
      <c r="I22" s="14" t="s">
        <v>42</v>
      </c>
      <c r="J22" s="14" t="s">
        <v>43</v>
      </c>
      <c r="K22" s="14">
        <v>100</v>
      </c>
      <c r="L22" s="15">
        <v>40513</v>
      </c>
      <c r="M22" s="1"/>
      <c r="N22" s="1"/>
      <c r="O22" s="1"/>
      <c r="P22" s="1"/>
    </row>
    <row r="23" spans="1:16">
      <c r="A23" s="12">
        <v>24</v>
      </c>
      <c r="B23" s="13" t="s">
        <v>138</v>
      </c>
      <c r="C23" s="13" t="s">
        <v>139</v>
      </c>
      <c r="D23" s="14" t="s">
        <v>140</v>
      </c>
      <c r="E23" s="14"/>
      <c r="F23" s="13" t="s">
        <v>141</v>
      </c>
      <c r="G23" s="13" t="s">
        <v>142</v>
      </c>
      <c r="H23" s="14" t="s">
        <v>19</v>
      </c>
      <c r="I23" s="14"/>
      <c r="J23" s="14" t="s">
        <v>143</v>
      </c>
      <c r="K23" s="14">
        <v>80</v>
      </c>
      <c r="L23" s="15">
        <v>40513</v>
      </c>
      <c r="M23" s="1"/>
      <c r="N23" s="1"/>
      <c r="O23" s="1"/>
      <c r="P23" s="1"/>
    </row>
    <row r="24" spans="1:16">
      <c r="A24" s="12">
        <v>26</v>
      </c>
      <c r="B24" s="13" t="s">
        <v>144</v>
      </c>
      <c r="C24" s="13" t="s">
        <v>145</v>
      </c>
      <c r="D24" s="14" t="s">
        <v>146</v>
      </c>
      <c r="E24" s="14"/>
      <c r="F24" s="13" t="s">
        <v>147</v>
      </c>
      <c r="G24" s="13" t="s">
        <v>148</v>
      </c>
      <c r="H24" s="14" t="s">
        <v>19</v>
      </c>
      <c r="I24" s="14"/>
      <c r="J24" s="14" t="s">
        <v>28</v>
      </c>
      <c r="K24" s="14">
        <v>100</v>
      </c>
      <c r="L24" s="15">
        <v>40513</v>
      </c>
      <c r="M24" s="1"/>
      <c r="N24" s="1"/>
      <c r="O24" s="1"/>
      <c r="P24" s="1"/>
    </row>
    <row r="25" spans="1:16">
      <c r="A25" s="12">
        <v>27</v>
      </c>
      <c r="B25" s="13" t="s">
        <v>149</v>
      </c>
      <c r="C25" s="13" t="s">
        <v>150</v>
      </c>
      <c r="D25" s="14" t="s">
        <v>151</v>
      </c>
      <c r="E25" s="14" t="s">
        <v>152</v>
      </c>
      <c r="F25" s="13" t="s">
        <v>153</v>
      </c>
      <c r="G25" s="13" t="s">
        <v>154</v>
      </c>
      <c r="H25" s="14" t="s">
        <v>19</v>
      </c>
      <c r="I25" s="14"/>
      <c r="J25" s="14" t="s">
        <v>155</v>
      </c>
      <c r="K25" s="14">
        <v>100</v>
      </c>
      <c r="L25" s="15">
        <v>40513</v>
      </c>
      <c r="M25" s="1"/>
      <c r="N25" s="1"/>
      <c r="O25" s="1"/>
      <c r="P25" s="1"/>
    </row>
    <row r="26" spans="1:16">
      <c r="A26" s="12">
        <v>29</v>
      </c>
      <c r="B26" s="13" t="s">
        <v>156</v>
      </c>
      <c r="C26" s="13" t="s">
        <v>157</v>
      </c>
      <c r="D26" s="14" t="s">
        <v>158</v>
      </c>
      <c r="E26" s="14"/>
      <c r="F26" s="13" t="s">
        <v>159</v>
      </c>
      <c r="G26" s="13" t="s">
        <v>148</v>
      </c>
      <c r="H26" s="14" t="s">
        <v>160</v>
      </c>
      <c r="I26" s="14" t="s">
        <v>55</v>
      </c>
      <c r="J26" s="14" t="s">
        <v>20</v>
      </c>
      <c r="K26" s="14"/>
      <c r="L26" s="15">
        <v>40513</v>
      </c>
      <c r="M26" s="1"/>
      <c r="N26" s="1"/>
      <c r="O26" s="1"/>
      <c r="P26" s="1"/>
    </row>
    <row r="27" spans="1:16">
      <c r="A27" s="12">
        <v>30</v>
      </c>
      <c r="B27" s="13" t="s">
        <v>161</v>
      </c>
      <c r="C27" s="13" t="s">
        <v>123</v>
      </c>
      <c r="D27" s="14" t="s">
        <v>162</v>
      </c>
      <c r="E27" s="14"/>
      <c r="F27" s="13" t="s">
        <v>163</v>
      </c>
      <c r="G27" s="13" t="s">
        <v>164</v>
      </c>
      <c r="H27" s="14" t="s">
        <v>19</v>
      </c>
      <c r="I27" s="14"/>
      <c r="J27" s="14" t="s">
        <v>28</v>
      </c>
      <c r="K27" s="14"/>
      <c r="L27" s="15">
        <v>40513</v>
      </c>
      <c r="M27" s="1"/>
      <c r="N27" s="1"/>
      <c r="O27" s="1"/>
      <c r="P27" s="1"/>
    </row>
    <row r="28" spans="1:16">
      <c r="A28" s="12">
        <v>32</v>
      </c>
      <c r="B28" s="13" t="s">
        <v>165</v>
      </c>
      <c r="C28" s="13" t="s">
        <v>166</v>
      </c>
      <c r="D28" s="14" t="s">
        <v>167</v>
      </c>
      <c r="E28" s="14"/>
      <c r="F28" s="13" t="s">
        <v>168</v>
      </c>
      <c r="G28" s="13" t="s">
        <v>169</v>
      </c>
      <c r="H28" s="14" t="s">
        <v>170</v>
      </c>
      <c r="I28" s="14" t="s">
        <v>55</v>
      </c>
      <c r="J28" s="14" t="s">
        <v>87</v>
      </c>
      <c r="K28" s="14"/>
      <c r="L28" s="15">
        <v>40513</v>
      </c>
      <c r="M28" s="1"/>
      <c r="N28" s="1"/>
      <c r="O28" s="1"/>
      <c r="P28" s="1"/>
    </row>
    <row r="29" spans="1:16">
      <c r="A29" s="12">
        <v>33</v>
      </c>
      <c r="B29" s="13" t="s">
        <v>171</v>
      </c>
      <c r="C29" s="13" t="s">
        <v>172</v>
      </c>
      <c r="D29" s="14" t="s">
        <v>173</v>
      </c>
      <c r="E29" s="14"/>
      <c r="F29" s="13" t="s">
        <v>174</v>
      </c>
      <c r="G29" s="13" t="s">
        <v>175</v>
      </c>
      <c r="H29" s="14" t="s">
        <v>19</v>
      </c>
      <c r="I29" s="14"/>
      <c r="J29" s="14" t="s">
        <v>87</v>
      </c>
      <c r="K29" s="14"/>
      <c r="L29" s="15">
        <v>40513</v>
      </c>
      <c r="M29" s="1"/>
      <c r="N29" s="1"/>
      <c r="O29" s="1"/>
      <c r="P29" s="1"/>
    </row>
    <row r="30" spans="1:16">
      <c r="A30" s="12">
        <v>35</v>
      </c>
      <c r="B30" s="13" t="s">
        <v>176</v>
      </c>
      <c r="C30" s="13" t="s">
        <v>177</v>
      </c>
      <c r="D30" s="14" t="s">
        <v>178</v>
      </c>
      <c r="E30" s="14"/>
      <c r="F30" s="13" t="s">
        <v>179</v>
      </c>
      <c r="G30" s="13" t="s">
        <v>180</v>
      </c>
      <c r="H30" s="14" t="s">
        <v>181</v>
      </c>
      <c r="I30" s="14" t="s">
        <v>55</v>
      </c>
      <c r="J30" s="14" t="s">
        <v>106</v>
      </c>
      <c r="K30" s="14"/>
      <c r="L30" s="15">
        <v>40513</v>
      </c>
      <c r="M30" s="1"/>
      <c r="N30" s="1"/>
      <c r="O30" s="1"/>
      <c r="P30" s="1"/>
    </row>
    <row r="31" spans="1:16">
      <c r="A31" s="12">
        <v>36</v>
      </c>
      <c r="B31" s="13" t="s">
        <v>182</v>
      </c>
      <c r="C31" s="13" t="s">
        <v>183</v>
      </c>
      <c r="D31" s="14" t="s">
        <v>184</v>
      </c>
      <c r="E31" s="14"/>
      <c r="F31" s="13" t="s">
        <v>185</v>
      </c>
      <c r="G31" s="13" t="s">
        <v>104</v>
      </c>
      <c r="H31" s="14" t="s">
        <v>186</v>
      </c>
      <c r="I31" s="14" t="s">
        <v>55</v>
      </c>
      <c r="J31" s="14" t="s">
        <v>62</v>
      </c>
      <c r="K31" s="14">
        <v>100</v>
      </c>
      <c r="L31" s="15">
        <v>40513</v>
      </c>
      <c r="M31" s="1"/>
      <c r="N31" s="1"/>
      <c r="O31" s="1"/>
      <c r="P31" s="1"/>
    </row>
    <row r="32" spans="1:16">
      <c r="A32" s="12">
        <v>38</v>
      </c>
      <c r="B32" s="13" t="s">
        <v>187</v>
      </c>
      <c r="C32" s="13" t="s">
        <v>188</v>
      </c>
      <c r="D32" s="14" t="s">
        <v>189</v>
      </c>
      <c r="E32" s="14"/>
      <c r="F32" s="13"/>
      <c r="G32" s="13"/>
      <c r="H32" s="14"/>
      <c r="I32" s="14" t="s">
        <v>55</v>
      </c>
      <c r="J32" s="14" t="s">
        <v>62</v>
      </c>
      <c r="K32" s="14"/>
      <c r="L32" s="15">
        <v>40513</v>
      </c>
      <c r="M32" s="1"/>
      <c r="N32" s="1"/>
      <c r="O32" s="1"/>
      <c r="P32" s="1"/>
    </row>
    <row r="33" spans="1:16">
      <c r="A33" s="12">
        <v>39</v>
      </c>
      <c r="B33" s="13" t="s">
        <v>190</v>
      </c>
      <c r="C33" s="13" t="s">
        <v>191</v>
      </c>
      <c r="D33" s="14" t="s">
        <v>192</v>
      </c>
      <c r="E33" s="14"/>
      <c r="F33" s="13" t="s">
        <v>193</v>
      </c>
      <c r="G33" s="13" t="s">
        <v>92</v>
      </c>
      <c r="H33" s="14" t="s">
        <v>68</v>
      </c>
      <c r="I33" s="14" t="s">
        <v>42</v>
      </c>
      <c r="J33" s="14" t="s">
        <v>112</v>
      </c>
      <c r="K33" s="14">
        <v>60</v>
      </c>
      <c r="L33" s="15">
        <v>40513</v>
      </c>
      <c r="M33" s="1"/>
      <c r="N33" s="1"/>
      <c r="O33" s="1"/>
      <c r="P33" s="1"/>
    </row>
    <row r="34" spans="1:16">
      <c r="A34" s="12">
        <v>41</v>
      </c>
      <c r="B34" s="13" t="s">
        <v>194</v>
      </c>
      <c r="C34" s="13" t="s">
        <v>195</v>
      </c>
      <c r="D34" s="14" t="s">
        <v>196</v>
      </c>
      <c r="E34" s="14"/>
      <c r="F34" s="13" t="s">
        <v>197</v>
      </c>
      <c r="G34" s="13" t="s">
        <v>164</v>
      </c>
      <c r="H34" s="14" t="s">
        <v>198</v>
      </c>
      <c r="I34" s="14" t="s">
        <v>27</v>
      </c>
      <c r="J34" s="14" t="s">
        <v>28</v>
      </c>
      <c r="K34" s="14">
        <v>100</v>
      </c>
      <c r="L34" s="15">
        <v>40513</v>
      </c>
      <c r="M34" s="1"/>
      <c r="N34" s="1"/>
      <c r="O34" s="1"/>
      <c r="P34" s="1"/>
    </row>
    <row r="35" spans="1:16">
      <c r="A35" s="12">
        <v>42</v>
      </c>
      <c r="B35" s="13" t="s">
        <v>199</v>
      </c>
      <c r="C35" s="13" t="s">
        <v>200</v>
      </c>
      <c r="D35" s="14" t="s">
        <v>201</v>
      </c>
      <c r="E35" s="14"/>
      <c r="F35" s="13" t="s">
        <v>202</v>
      </c>
      <c r="G35" s="13" t="s">
        <v>203</v>
      </c>
      <c r="H35" s="14" t="s">
        <v>26</v>
      </c>
      <c r="I35" s="14" t="s">
        <v>27</v>
      </c>
      <c r="J35" s="14" t="s">
        <v>204</v>
      </c>
      <c r="K35" s="14">
        <v>80</v>
      </c>
      <c r="L35" s="15">
        <v>40513</v>
      </c>
      <c r="M35" s="1"/>
      <c r="N35" s="1"/>
      <c r="O35" s="1"/>
      <c r="P35" s="1"/>
    </row>
    <row r="36" spans="1:16">
      <c r="A36" s="12">
        <v>43</v>
      </c>
      <c r="B36" s="13" t="s">
        <v>205</v>
      </c>
      <c r="C36" s="13" t="s">
        <v>206</v>
      </c>
      <c r="D36" s="14" t="s">
        <v>207</v>
      </c>
      <c r="E36" s="14"/>
      <c r="F36" s="13" t="s">
        <v>208</v>
      </c>
      <c r="G36" s="13" t="s">
        <v>209</v>
      </c>
      <c r="H36" s="14" t="s">
        <v>210</v>
      </c>
      <c r="I36" s="14" t="s">
        <v>55</v>
      </c>
      <c r="J36" s="14" t="s">
        <v>106</v>
      </c>
      <c r="K36" s="14">
        <v>80</v>
      </c>
      <c r="L36" s="15">
        <v>40513</v>
      </c>
      <c r="M36" s="1"/>
      <c r="N36" s="1"/>
      <c r="O36" s="1"/>
      <c r="P36" s="1"/>
    </row>
    <row r="37" spans="1:16">
      <c r="A37" s="12">
        <v>44</v>
      </c>
      <c r="B37" s="13" t="s">
        <v>211</v>
      </c>
      <c r="C37" s="13" t="s">
        <v>212</v>
      </c>
      <c r="D37" s="14" t="s">
        <v>213</v>
      </c>
      <c r="E37" s="14"/>
      <c r="F37" s="13" t="s">
        <v>214</v>
      </c>
      <c r="G37" s="13" t="s">
        <v>215</v>
      </c>
      <c r="H37" s="14" t="s">
        <v>19</v>
      </c>
      <c r="I37" s="14"/>
      <c r="J37" s="14" t="s">
        <v>216</v>
      </c>
      <c r="K37" s="14"/>
      <c r="L37" s="15">
        <v>40513</v>
      </c>
      <c r="M37" s="1"/>
      <c r="N37" s="1"/>
      <c r="O37" s="1"/>
      <c r="P37" s="1"/>
    </row>
    <row r="38" spans="1:16">
      <c r="A38" s="12">
        <v>45</v>
      </c>
      <c r="B38" s="13" t="s">
        <v>217</v>
      </c>
      <c r="C38" s="13" t="s">
        <v>218</v>
      </c>
      <c r="D38" s="14" t="s">
        <v>219</v>
      </c>
      <c r="E38" s="14"/>
      <c r="F38" s="13" t="s">
        <v>220</v>
      </c>
      <c r="G38" s="13" t="s">
        <v>221</v>
      </c>
      <c r="H38" s="14" t="s">
        <v>19</v>
      </c>
      <c r="I38" s="14"/>
      <c r="J38" s="14" t="s">
        <v>222</v>
      </c>
      <c r="K38" s="14"/>
      <c r="L38" s="15">
        <v>40513</v>
      </c>
      <c r="M38" s="1"/>
      <c r="N38" s="1"/>
      <c r="O38" s="1"/>
      <c r="P38" s="1"/>
    </row>
    <row r="39" spans="1:16">
      <c r="A39" s="12">
        <v>47</v>
      </c>
      <c r="B39" s="13" t="s">
        <v>223</v>
      </c>
      <c r="C39" s="13" t="s">
        <v>224</v>
      </c>
      <c r="D39" s="14" t="s">
        <v>225</v>
      </c>
      <c r="E39" s="14"/>
      <c r="F39" s="13" t="s">
        <v>226</v>
      </c>
      <c r="G39" s="13" t="s">
        <v>221</v>
      </c>
      <c r="H39" s="14" t="s">
        <v>227</v>
      </c>
      <c r="I39" s="14" t="s">
        <v>55</v>
      </c>
      <c r="J39" s="14" t="s">
        <v>28</v>
      </c>
      <c r="K39" s="14">
        <v>80</v>
      </c>
      <c r="L39" s="15">
        <v>40513</v>
      </c>
      <c r="M39" s="1"/>
      <c r="N39" s="1"/>
      <c r="O39" s="1"/>
      <c r="P39" s="1"/>
    </row>
    <row r="40" spans="1:16">
      <c r="A40" s="12">
        <v>48</v>
      </c>
      <c r="B40" s="13" t="s">
        <v>228</v>
      </c>
      <c r="C40" s="13" t="s">
        <v>229</v>
      </c>
      <c r="D40" s="14" t="s">
        <v>230</v>
      </c>
      <c r="E40" s="14"/>
      <c r="F40" s="13" t="s">
        <v>231</v>
      </c>
      <c r="G40" s="13" t="s">
        <v>232</v>
      </c>
      <c r="H40" s="14" t="s">
        <v>19</v>
      </c>
      <c r="I40" s="14"/>
      <c r="J40" s="14" t="s">
        <v>216</v>
      </c>
      <c r="K40" s="14"/>
      <c r="L40" s="15">
        <v>40513</v>
      </c>
      <c r="M40" s="1"/>
      <c r="N40" s="1"/>
      <c r="O40" s="1"/>
      <c r="P40" s="1"/>
    </row>
    <row r="41" spans="1:16">
      <c r="A41" s="12">
        <v>49</v>
      </c>
      <c r="B41" s="13" t="s">
        <v>233</v>
      </c>
      <c r="C41" s="13" t="s">
        <v>234</v>
      </c>
      <c r="D41" s="16" t="s">
        <v>235</v>
      </c>
      <c r="E41" s="16"/>
      <c r="F41" s="13" t="s">
        <v>236</v>
      </c>
      <c r="G41" s="13" t="s">
        <v>237</v>
      </c>
      <c r="H41" s="14" t="s">
        <v>41</v>
      </c>
      <c r="I41" s="14" t="s">
        <v>42</v>
      </c>
      <c r="J41" s="14" t="s">
        <v>62</v>
      </c>
      <c r="K41" s="14"/>
      <c r="L41" s="15">
        <v>40513</v>
      </c>
      <c r="M41" s="1"/>
      <c r="N41" s="1"/>
      <c r="O41" s="1"/>
      <c r="P41" s="1"/>
    </row>
    <row r="42" spans="1:16">
      <c r="A42" s="12">
        <v>50</v>
      </c>
      <c r="B42" s="13" t="s">
        <v>238</v>
      </c>
      <c r="C42" s="13" t="s">
        <v>239</v>
      </c>
      <c r="D42" s="14" t="s">
        <v>240</v>
      </c>
      <c r="E42" s="14"/>
      <c r="F42" s="13" t="s">
        <v>241</v>
      </c>
      <c r="G42" s="13" t="s">
        <v>18</v>
      </c>
      <c r="H42" s="14" t="s">
        <v>242</v>
      </c>
      <c r="I42" s="14" t="s">
        <v>27</v>
      </c>
      <c r="J42" s="14" t="s">
        <v>243</v>
      </c>
      <c r="K42" s="14"/>
      <c r="L42" s="15">
        <v>40513</v>
      </c>
      <c r="M42" s="1"/>
      <c r="N42" s="1"/>
      <c r="O42" s="1"/>
      <c r="P42" s="1"/>
    </row>
    <row r="43" spans="1:16">
      <c r="A43" s="12">
        <v>51</v>
      </c>
      <c r="B43" s="13"/>
      <c r="C43" s="13"/>
      <c r="D43" s="14"/>
      <c r="E43" s="14"/>
      <c r="F43" s="13"/>
      <c r="G43" s="13"/>
      <c r="H43" s="14"/>
      <c r="I43" s="14"/>
      <c r="J43" s="14"/>
      <c r="K43" s="14"/>
      <c r="L43" s="13"/>
      <c r="M43" s="1"/>
      <c r="N43" s="1"/>
      <c r="O43" s="1"/>
      <c r="P43" s="1"/>
    </row>
    <row r="44" spans="1:16">
      <c r="A44" s="12">
        <v>52</v>
      </c>
      <c r="B44" s="13"/>
      <c r="C44" s="13"/>
      <c r="D44" s="14"/>
      <c r="E44" s="14"/>
      <c r="F44" s="13"/>
      <c r="G44" s="13"/>
      <c r="H44" s="14"/>
      <c r="I44" s="14"/>
      <c r="J44" s="14"/>
      <c r="K44" s="14"/>
      <c r="L44" s="13"/>
      <c r="M44" s="1"/>
      <c r="N44" s="1"/>
      <c r="O44" s="1"/>
      <c r="P44" s="1"/>
    </row>
    <row r="45" spans="1:16">
      <c r="A45" s="12">
        <v>53</v>
      </c>
      <c r="B45" s="13"/>
      <c r="C45" s="13"/>
      <c r="D45" s="14"/>
      <c r="E45" s="14"/>
      <c r="F45" s="13"/>
      <c r="G45" s="13"/>
      <c r="H45" s="14"/>
      <c r="I45" s="14"/>
      <c r="J45" s="14"/>
      <c r="K45" s="14"/>
      <c r="L45" s="13"/>
      <c r="M45" s="1"/>
      <c r="N45" s="1"/>
      <c r="O45" s="1"/>
      <c r="P45" s="1"/>
    </row>
    <row r="46" spans="1:16">
      <c r="A46" s="12">
        <v>54</v>
      </c>
      <c r="B46" s="13"/>
      <c r="C46" s="13"/>
      <c r="D46" s="14"/>
      <c r="E46" s="14"/>
      <c r="F46" s="13"/>
      <c r="G46" s="13"/>
      <c r="H46" s="14"/>
      <c r="I46" s="14"/>
      <c r="J46" s="14"/>
      <c r="K46" s="14"/>
      <c r="L46" s="13"/>
      <c r="M46" s="1"/>
      <c r="N46" s="1"/>
      <c r="O46" s="1"/>
      <c r="P46" s="1"/>
    </row>
    <row r="47" spans="1:16">
      <c r="A47" s="12">
        <v>55</v>
      </c>
      <c r="B47" s="13"/>
      <c r="C47" s="13"/>
      <c r="D47" s="14"/>
      <c r="E47" s="14"/>
      <c r="F47" s="13"/>
      <c r="G47" s="13"/>
      <c r="H47" s="14"/>
      <c r="I47" s="14"/>
      <c r="J47" s="14"/>
      <c r="K47" s="14"/>
      <c r="L47" s="13"/>
      <c r="M47" s="1"/>
      <c r="N47" s="1"/>
      <c r="O47" s="1"/>
      <c r="P47" s="1"/>
    </row>
    <row r="48" spans="1:16">
      <c r="A48" s="12">
        <v>56</v>
      </c>
      <c r="B48" s="13"/>
      <c r="C48" s="13"/>
      <c r="D48" s="14"/>
      <c r="E48" s="14"/>
      <c r="F48" s="13"/>
      <c r="G48" s="13"/>
      <c r="H48" s="14"/>
      <c r="I48" s="14"/>
      <c r="J48" s="14"/>
      <c r="K48" s="14"/>
      <c r="L48" s="13"/>
      <c r="M48" s="1"/>
      <c r="N48" s="1"/>
      <c r="O48" s="1"/>
      <c r="P48" s="1"/>
    </row>
    <row r="49" spans="1:16">
      <c r="A49" s="12">
        <v>57</v>
      </c>
      <c r="B49" s="13"/>
      <c r="C49" s="13"/>
      <c r="D49" s="14"/>
      <c r="E49" s="14"/>
      <c r="F49" s="13"/>
      <c r="G49" s="13"/>
      <c r="H49" s="14"/>
      <c r="I49" s="14"/>
      <c r="J49" s="14"/>
      <c r="K49" s="14"/>
      <c r="L49" s="13"/>
      <c r="M49" s="1"/>
      <c r="N49" s="1"/>
      <c r="O49" s="1"/>
      <c r="P49" s="1"/>
    </row>
    <row r="50" spans="1:16">
      <c r="A50" s="12">
        <v>58</v>
      </c>
      <c r="B50" s="13"/>
      <c r="C50" s="13"/>
      <c r="D50" s="14"/>
      <c r="E50" s="14"/>
      <c r="F50" s="13"/>
      <c r="G50" s="13"/>
      <c r="H50" s="14"/>
      <c r="I50" s="14"/>
      <c r="J50" s="14"/>
      <c r="K50" s="14"/>
      <c r="L50" s="13"/>
      <c r="M50" s="1"/>
      <c r="N50" s="1"/>
      <c r="O50" s="1"/>
      <c r="P50" s="1"/>
    </row>
    <row r="51" spans="1:16">
      <c r="A51" s="12">
        <v>59</v>
      </c>
      <c r="B51" s="13"/>
      <c r="C51" s="13"/>
      <c r="D51" s="14"/>
      <c r="E51" s="14"/>
      <c r="F51" s="13"/>
      <c r="G51" s="13"/>
      <c r="H51" s="14"/>
      <c r="I51" s="14"/>
      <c r="J51" s="14"/>
      <c r="K51" s="14"/>
      <c r="L51" s="13"/>
      <c r="M51" s="1"/>
      <c r="N51" s="1"/>
      <c r="O51" s="1"/>
      <c r="P51" s="1"/>
    </row>
    <row r="52" spans="1:16">
      <c r="A52" s="12">
        <v>60</v>
      </c>
      <c r="B52" s="13"/>
      <c r="C52" s="13"/>
      <c r="D52" s="14"/>
      <c r="E52" s="14"/>
      <c r="F52" s="13"/>
      <c r="G52" s="13"/>
      <c r="H52" s="14"/>
      <c r="I52" s="14"/>
      <c r="J52" s="14"/>
      <c r="K52" s="14"/>
      <c r="L52" s="13"/>
      <c r="M52" s="1"/>
      <c r="N52" s="1"/>
      <c r="O52" s="1"/>
      <c r="P52" s="1"/>
    </row>
    <row r="53" spans="1:16">
      <c r="A53" s="12">
        <v>61</v>
      </c>
      <c r="B53" s="13"/>
      <c r="C53" s="13"/>
      <c r="D53" s="14"/>
      <c r="E53" s="14"/>
      <c r="F53" s="13"/>
      <c r="G53" s="13"/>
      <c r="H53" s="14"/>
      <c r="I53" s="14"/>
      <c r="J53" s="14"/>
      <c r="K53" s="14"/>
      <c r="L53" s="13"/>
      <c r="M53" s="1"/>
      <c r="N53" s="1"/>
      <c r="O53" s="1"/>
      <c r="P53" s="1"/>
    </row>
    <row r="54" spans="1:16">
      <c r="A54" s="12">
        <v>62</v>
      </c>
      <c r="B54" s="13"/>
      <c r="C54" s="13"/>
      <c r="D54" s="14"/>
      <c r="E54" s="14"/>
      <c r="F54" s="13"/>
      <c r="G54" s="13"/>
      <c r="H54" s="14"/>
      <c r="I54" s="14"/>
      <c r="J54" s="14"/>
      <c r="K54" s="14"/>
      <c r="L54" s="13"/>
      <c r="M54" s="1"/>
      <c r="N54" s="1"/>
      <c r="O54" s="1"/>
      <c r="P54" s="1"/>
    </row>
    <row r="55" spans="1:16">
      <c r="A55" s="12">
        <v>63</v>
      </c>
      <c r="B55" s="13"/>
      <c r="C55" s="13"/>
      <c r="D55" s="14"/>
      <c r="E55" s="14"/>
      <c r="F55" s="13"/>
      <c r="G55" s="13"/>
      <c r="H55" s="14"/>
      <c r="I55" s="14"/>
      <c r="J55" s="14"/>
      <c r="K55" s="14"/>
      <c r="L55" s="13"/>
      <c r="M55" s="1"/>
      <c r="N55" s="1"/>
      <c r="O55" s="1"/>
      <c r="P55" s="1"/>
    </row>
    <row r="56" spans="1:16">
      <c r="A56" s="12">
        <v>64</v>
      </c>
      <c r="B56" s="13"/>
      <c r="C56" s="13"/>
      <c r="D56" s="14"/>
      <c r="E56" s="14"/>
      <c r="F56" s="13"/>
      <c r="G56" s="13"/>
      <c r="H56" s="14"/>
      <c r="I56" s="14"/>
      <c r="J56" s="14"/>
      <c r="K56" s="14"/>
      <c r="L56" s="13"/>
      <c r="M56" s="1"/>
      <c r="N56" s="1"/>
      <c r="O56" s="1"/>
      <c r="P56" s="1"/>
    </row>
    <row r="57" spans="1:16">
      <c r="A57" s="12">
        <v>65</v>
      </c>
      <c r="B57" s="13"/>
      <c r="C57" s="13"/>
      <c r="D57" s="14"/>
      <c r="E57" s="14"/>
      <c r="F57" s="13"/>
      <c r="G57" s="13"/>
      <c r="H57" s="14"/>
      <c r="I57" s="14"/>
      <c r="J57" s="14"/>
      <c r="K57" s="14"/>
      <c r="L57" s="13"/>
      <c r="M57" s="1"/>
      <c r="N57" s="1"/>
      <c r="O57" s="1"/>
      <c r="P57" s="1"/>
    </row>
    <row r="58" spans="1:16">
      <c r="A58" s="12">
        <v>66</v>
      </c>
      <c r="B58" s="13"/>
      <c r="C58" s="13"/>
      <c r="D58" s="14"/>
      <c r="E58" s="14"/>
      <c r="F58" s="13"/>
      <c r="G58" s="13"/>
      <c r="H58" s="14"/>
      <c r="I58" s="14"/>
      <c r="J58" s="14"/>
      <c r="K58" s="14"/>
      <c r="L58" s="13"/>
      <c r="M58" s="1"/>
      <c r="N58" s="1"/>
      <c r="O58" s="1"/>
      <c r="P58" s="1"/>
    </row>
    <row r="59" spans="1:16">
      <c r="A59" s="12">
        <v>67</v>
      </c>
      <c r="B59" s="13"/>
      <c r="C59" s="13"/>
      <c r="D59" s="14"/>
      <c r="E59" s="14"/>
      <c r="F59" s="13"/>
      <c r="G59" s="13"/>
      <c r="H59" s="14"/>
      <c r="I59" s="14"/>
      <c r="J59" s="14"/>
      <c r="K59" s="14"/>
      <c r="L59" s="13"/>
      <c r="M59" s="1"/>
      <c r="N59" s="1"/>
      <c r="O59" s="1"/>
      <c r="P59" s="1"/>
    </row>
    <row r="60" spans="1:16">
      <c r="A60" s="17">
        <v>68</v>
      </c>
      <c r="B60" s="18"/>
      <c r="C60" s="18"/>
      <c r="D60" s="19"/>
      <c r="E60" s="19"/>
      <c r="F60" s="18"/>
      <c r="G60" s="18"/>
      <c r="H60" s="19"/>
      <c r="I60" s="19"/>
      <c r="J60" s="19"/>
      <c r="K60" s="19"/>
      <c r="L60" s="18"/>
      <c r="M60" s="1"/>
      <c r="N60" s="1"/>
      <c r="O60" s="1"/>
      <c r="P60" s="1"/>
    </row>
  </sheetData>
  <mergeCells count="2">
    <mergeCell ref="A1:I1"/>
    <mergeCell ref="J1:L1"/>
  </mergeCells>
  <pageMargins left="0.25" right="0.25" top="0.75" bottom="0.75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MK381"/>
  <sheetViews>
    <sheetView zoomScale="133" zoomScaleNormal="212" workbookViewId="0">
      <selection sqref="A1:XFD1048576"/>
    </sheetView>
  </sheetViews>
  <sheetFormatPr baseColWidth="10" defaultColWidth="8.83203125" defaultRowHeight="15"/>
  <cols>
    <col min="1" max="1" width="2.33203125" style="20" customWidth="1"/>
    <col min="2" max="2" width="12.1640625" style="21" customWidth="1"/>
    <col min="3" max="3" width="3.33203125" style="22" customWidth="1"/>
    <col min="4" max="5" width="3.5" style="22" customWidth="1"/>
    <col min="6" max="6" width="3.5" style="23" customWidth="1"/>
    <col min="7" max="9" width="3.5" style="22" customWidth="1"/>
    <col min="10" max="10" width="3.5" style="23" customWidth="1"/>
    <col min="11" max="13" width="3.5" style="22" customWidth="1"/>
    <col min="14" max="14" width="3.5" style="23" customWidth="1"/>
    <col min="15" max="17" width="3.5" style="22" customWidth="1"/>
    <col min="18" max="18" width="3.5" style="23" customWidth="1"/>
    <col min="19" max="21" width="3.5" style="22" customWidth="1"/>
    <col min="22" max="22" width="3.5" style="23" customWidth="1"/>
    <col min="23" max="25" width="3.5" style="22" customWidth="1"/>
    <col min="26" max="26" width="3.5" style="23" customWidth="1"/>
    <col min="27" max="29" width="3.5" style="22" customWidth="1"/>
    <col min="30" max="30" width="3.5" style="23" customWidth="1"/>
    <col min="31" max="31" width="11.33203125" style="24" customWidth="1"/>
    <col min="32" max="32" width="7.1640625" style="24" customWidth="1"/>
    <col min="33" max="33" width="12.33203125" style="24" customWidth="1"/>
    <col min="34" max="47" width="9.1640625" style="25" customWidth="1"/>
    <col min="48" max="48" width="13.6640625" style="26" customWidth="1"/>
    <col min="49" max="214" width="11.33203125" style="24" customWidth="1"/>
    <col min="215" max="215" width="11.1640625" style="24" customWidth="1"/>
    <col min="216" max="1025" width="11.33203125" style="24" customWidth="1"/>
  </cols>
  <sheetData>
    <row r="1" spans="1:49" ht="14.25" customHeight="1">
      <c r="A1" s="348" t="s">
        <v>366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27"/>
      <c r="AF1" s="27"/>
      <c r="AG1" s="28" t="s">
        <v>244</v>
      </c>
      <c r="AH1" s="336" t="s">
        <v>245</v>
      </c>
      <c r="AI1" s="336"/>
      <c r="AJ1" s="29">
        <v>28</v>
      </c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1"/>
    </row>
    <row r="2" spans="1:49" ht="14.25" customHeight="1" thickBot="1">
      <c r="A2" s="349"/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27"/>
      <c r="AF2" s="27"/>
      <c r="AG2" s="32">
        <f>A3</f>
        <v>44</v>
      </c>
      <c r="AH2" s="337" t="s">
        <v>246</v>
      </c>
      <c r="AI2" s="337"/>
      <c r="AJ2" s="33">
        <v>42</v>
      </c>
      <c r="AK2" s="34">
        <f>AJ2/100</f>
        <v>0.42</v>
      </c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1"/>
    </row>
    <row r="3" spans="1:49" ht="14.25" customHeight="1" thickBot="1">
      <c r="A3" s="338">
        <v>44</v>
      </c>
      <c r="B3" s="339" t="s">
        <v>247</v>
      </c>
      <c r="C3" s="331" t="s">
        <v>248</v>
      </c>
      <c r="D3" s="331"/>
      <c r="E3" s="331"/>
      <c r="F3" s="331"/>
      <c r="G3" s="330" t="s">
        <v>249</v>
      </c>
      <c r="H3" s="330"/>
      <c r="I3" s="330"/>
      <c r="J3" s="330"/>
      <c r="K3" s="331" t="s">
        <v>250</v>
      </c>
      <c r="L3" s="331"/>
      <c r="M3" s="331"/>
      <c r="N3" s="331"/>
      <c r="O3" s="331" t="s">
        <v>251</v>
      </c>
      <c r="P3" s="331"/>
      <c r="Q3" s="331"/>
      <c r="R3" s="331"/>
      <c r="S3" s="331" t="s">
        <v>252</v>
      </c>
      <c r="T3" s="331"/>
      <c r="U3" s="331"/>
      <c r="V3" s="331"/>
      <c r="W3" s="331" t="s">
        <v>253</v>
      </c>
      <c r="X3" s="331"/>
      <c r="Y3" s="331"/>
      <c r="Z3" s="331"/>
      <c r="AA3" s="331" t="s">
        <v>254</v>
      </c>
      <c r="AB3" s="331"/>
      <c r="AC3" s="331"/>
      <c r="AD3" s="331"/>
      <c r="AE3" s="342" t="s">
        <v>255</v>
      </c>
      <c r="AF3" s="343" t="s">
        <v>256</v>
      </c>
      <c r="AG3" s="344" t="s">
        <v>257</v>
      </c>
      <c r="AH3" s="329" t="str">
        <f>C3</f>
        <v>MONTAG</v>
      </c>
      <c r="AI3" s="329"/>
      <c r="AJ3" s="329" t="str">
        <f>G3</f>
        <v>DIENSTAG</v>
      </c>
      <c r="AK3" s="329"/>
      <c r="AL3" s="329" t="str">
        <f>K3</f>
        <v>MITTWOCH</v>
      </c>
      <c r="AM3" s="329"/>
      <c r="AN3" s="329" t="str">
        <f>O3</f>
        <v>DONNERSTAG</v>
      </c>
      <c r="AO3" s="329"/>
      <c r="AP3" s="329" t="str">
        <f>S3</f>
        <v>FREITAG</v>
      </c>
      <c r="AQ3" s="329"/>
      <c r="AR3" s="329" t="str">
        <f>W3</f>
        <v>SAMSTAG</v>
      </c>
      <c r="AS3" s="329"/>
      <c r="AT3" s="329" t="str">
        <f>AA3</f>
        <v>SONNTAG</v>
      </c>
      <c r="AU3" s="329"/>
      <c r="AV3" s="35"/>
    </row>
    <row r="4" spans="1:49" ht="14.25" customHeight="1" thickBot="1">
      <c r="A4" s="338"/>
      <c r="B4" s="339"/>
      <c r="C4" s="330">
        <v>45957</v>
      </c>
      <c r="D4" s="330"/>
      <c r="E4" s="330"/>
      <c r="F4" s="330"/>
      <c r="G4" s="331">
        <f>C4+1</f>
        <v>45958</v>
      </c>
      <c r="H4" s="331"/>
      <c r="I4" s="331"/>
      <c r="J4" s="331"/>
      <c r="K4" s="332">
        <f>G4+1</f>
        <v>45959</v>
      </c>
      <c r="L4" s="330"/>
      <c r="M4" s="330"/>
      <c r="N4" s="330"/>
      <c r="O4" s="330">
        <f>K4+1</f>
        <v>45960</v>
      </c>
      <c r="P4" s="330"/>
      <c r="Q4" s="330"/>
      <c r="R4" s="330"/>
      <c r="S4" s="330">
        <f>O4+1</f>
        <v>45961</v>
      </c>
      <c r="T4" s="330"/>
      <c r="U4" s="330"/>
      <c r="V4" s="330"/>
      <c r="W4" s="330">
        <f>S4+1</f>
        <v>45962</v>
      </c>
      <c r="X4" s="330"/>
      <c r="Y4" s="330"/>
      <c r="Z4" s="330"/>
      <c r="AA4" s="330">
        <f>W4+1</f>
        <v>45963</v>
      </c>
      <c r="AB4" s="330"/>
      <c r="AC4" s="330"/>
      <c r="AD4" s="330"/>
      <c r="AE4" s="342"/>
      <c r="AF4" s="343"/>
      <c r="AG4" s="344"/>
      <c r="AH4" s="333">
        <f>C4</f>
        <v>45957</v>
      </c>
      <c r="AI4" s="333"/>
      <c r="AJ4" s="334">
        <f>C4+1</f>
        <v>45958</v>
      </c>
      <c r="AK4" s="335"/>
      <c r="AL4" s="334">
        <f>G4+1</f>
        <v>45959</v>
      </c>
      <c r="AM4" s="335"/>
      <c r="AN4" s="334">
        <f>K4+1</f>
        <v>45960</v>
      </c>
      <c r="AO4" s="335"/>
      <c r="AP4" s="334">
        <f>S4</f>
        <v>45961</v>
      </c>
      <c r="AQ4" s="335"/>
      <c r="AR4" s="334">
        <f>W4</f>
        <v>45962</v>
      </c>
      <c r="AS4" s="335"/>
      <c r="AT4" s="334">
        <f>AA4</f>
        <v>45963</v>
      </c>
      <c r="AU4" s="335"/>
      <c r="AV4" s="35"/>
    </row>
    <row r="5" spans="1:49" ht="14.25" customHeight="1" thickBot="1">
      <c r="A5" s="338"/>
      <c r="B5" s="339"/>
      <c r="C5" s="345" t="s">
        <v>258</v>
      </c>
      <c r="D5" s="345"/>
      <c r="E5" s="346">
        <f>AH46</f>
        <v>0.35560000000000003</v>
      </c>
      <c r="F5" s="346"/>
      <c r="G5" s="293" t="s">
        <v>258</v>
      </c>
      <c r="H5" s="293"/>
      <c r="I5" s="294">
        <f>AJ46</f>
        <v>0.24966666666666676</v>
      </c>
      <c r="J5" s="294"/>
      <c r="K5" s="347" t="s">
        <v>258</v>
      </c>
      <c r="L5" s="293"/>
      <c r="M5" s="294">
        <f>AL46</f>
        <v>0.32433333333333331</v>
      </c>
      <c r="N5" s="294"/>
      <c r="O5" s="293" t="s">
        <v>258</v>
      </c>
      <c r="P5" s="293"/>
      <c r="Q5" s="294">
        <f>AN46</f>
        <v>0.25987499999999997</v>
      </c>
      <c r="R5" s="294"/>
      <c r="S5" s="293" t="s">
        <v>258</v>
      </c>
      <c r="T5" s="293"/>
      <c r="U5" s="294">
        <f>AP46</f>
        <v>0.21505555555555553</v>
      </c>
      <c r="V5" s="294"/>
      <c r="W5" s="293" t="s">
        <v>258</v>
      </c>
      <c r="X5" s="293"/>
      <c r="Y5" s="294">
        <f>AR46</f>
        <v>0.24383333333333329</v>
      </c>
      <c r="Z5" s="294"/>
      <c r="AA5" s="293" t="s">
        <v>258</v>
      </c>
      <c r="AB5" s="293"/>
      <c r="AC5" s="294">
        <f>AT46</f>
        <v>0.26599999999999996</v>
      </c>
      <c r="AD5" s="294"/>
      <c r="AE5" s="36">
        <f>AI47</f>
        <v>0.27348055555555562</v>
      </c>
      <c r="AF5" s="343"/>
      <c r="AG5" s="344"/>
      <c r="AH5" s="320">
        <v>5000</v>
      </c>
      <c r="AI5" s="320"/>
      <c r="AJ5" s="320">
        <v>6000</v>
      </c>
      <c r="AK5" s="320"/>
      <c r="AL5" s="320">
        <v>6000</v>
      </c>
      <c r="AM5" s="320"/>
      <c r="AN5" s="320">
        <v>8000</v>
      </c>
      <c r="AO5" s="320"/>
      <c r="AP5" s="320">
        <v>12000</v>
      </c>
      <c r="AQ5" s="320"/>
      <c r="AR5" s="320">
        <v>12000</v>
      </c>
      <c r="AS5" s="320"/>
      <c r="AT5" s="320">
        <v>7000</v>
      </c>
      <c r="AU5" s="320"/>
      <c r="AV5" s="35"/>
      <c r="AW5" s="37"/>
    </row>
    <row r="6" spans="1:49" ht="14.25" customHeight="1" thickBot="1">
      <c r="A6" s="338"/>
      <c r="B6" s="340"/>
      <c r="C6" s="221"/>
      <c r="D6" s="222"/>
      <c r="E6" s="223"/>
      <c r="F6" s="224"/>
      <c r="G6" s="221"/>
      <c r="H6" s="222"/>
      <c r="I6" s="223"/>
      <c r="J6" s="224"/>
      <c r="K6" s="221"/>
      <c r="L6" s="222"/>
      <c r="M6" s="223"/>
      <c r="N6" s="224"/>
      <c r="O6" s="221"/>
      <c r="P6" s="222"/>
      <c r="Q6" s="223"/>
      <c r="R6" s="224"/>
      <c r="S6" s="221"/>
      <c r="T6" s="222"/>
      <c r="U6" s="223"/>
      <c r="V6" s="224"/>
      <c r="W6" s="221"/>
      <c r="X6" s="222"/>
      <c r="Y6" s="223"/>
      <c r="Z6" s="224"/>
      <c r="AA6" s="221"/>
      <c r="AB6" s="222"/>
      <c r="AC6" s="223"/>
      <c r="AD6" s="224"/>
      <c r="AE6" s="38"/>
      <c r="AF6" s="343"/>
      <c r="AG6" s="344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35"/>
      <c r="AW6" s="37"/>
    </row>
    <row r="7" spans="1:49" ht="14.25" customHeight="1" thickBot="1">
      <c r="A7" s="338"/>
      <c r="B7" s="340"/>
      <c r="C7" s="225"/>
      <c r="D7" s="226"/>
      <c r="E7" s="227"/>
      <c r="F7" s="228"/>
      <c r="G7" s="221"/>
      <c r="H7" s="222"/>
      <c r="I7" s="223"/>
      <c r="J7" s="224"/>
      <c r="K7" s="229"/>
      <c r="L7" s="222"/>
      <c r="M7" s="223"/>
      <c r="N7" s="224"/>
      <c r="O7" s="221"/>
      <c r="P7" s="222"/>
      <c r="Q7" s="223"/>
      <c r="R7" s="224"/>
      <c r="S7" s="221"/>
      <c r="T7" s="222"/>
      <c r="U7" s="223"/>
      <c r="V7" s="224"/>
      <c r="W7" s="221"/>
      <c r="X7" s="222"/>
      <c r="Y7" s="223"/>
      <c r="Z7" s="224"/>
      <c r="AA7" s="221"/>
      <c r="AB7" s="222"/>
      <c r="AC7" s="223"/>
      <c r="AD7" s="224"/>
      <c r="AE7" s="38"/>
      <c r="AF7" s="343"/>
      <c r="AG7" s="344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35"/>
      <c r="AW7" s="37"/>
    </row>
    <row r="8" spans="1:49" ht="14.25" customHeight="1" thickBot="1">
      <c r="A8" s="338"/>
      <c r="B8" s="340"/>
      <c r="C8" s="225"/>
      <c r="D8" s="226"/>
      <c r="E8" s="227"/>
      <c r="F8" s="228"/>
      <c r="G8" s="221"/>
      <c r="H8" s="222"/>
      <c r="I8" s="223"/>
      <c r="J8" s="224"/>
      <c r="K8" s="229"/>
      <c r="L8" s="222"/>
      <c r="M8" s="223"/>
      <c r="N8" s="224"/>
      <c r="O8" s="221"/>
      <c r="P8" s="222"/>
      <c r="Q8" s="223"/>
      <c r="R8" s="224"/>
      <c r="S8" s="221"/>
      <c r="T8" s="222"/>
      <c r="U8" s="223"/>
      <c r="V8" s="224"/>
      <c r="W8" s="221"/>
      <c r="X8" s="222"/>
      <c r="Y8" s="223"/>
      <c r="Z8" s="224"/>
      <c r="AA8" s="221"/>
      <c r="AB8" s="222"/>
      <c r="AC8" s="223"/>
      <c r="AD8" s="224"/>
      <c r="AE8" s="38"/>
      <c r="AF8" s="343"/>
      <c r="AG8" s="344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35"/>
      <c r="AW8" s="37"/>
    </row>
    <row r="9" spans="1:49" ht="14.25" customHeight="1" thickBot="1">
      <c r="A9" s="338"/>
      <c r="B9" s="341"/>
      <c r="C9" s="322" t="s">
        <v>259</v>
      </c>
      <c r="D9" s="322"/>
      <c r="E9" s="323" t="s">
        <v>260</v>
      </c>
      <c r="F9" s="323"/>
      <c r="G9" s="324" t="s">
        <v>259</v>
      </c>
      <c r="H9" s="324"/>
      <c r="I9" s="325" t="s">
        <v>260</v>
      </c>
      <c r="J9" s="325"/>
      <c r="K9" s="326" t="s">
        <v>259</v>
      </c>
      <c r="L9" s="324"/>
      <c r="M9" s="325" t="s">
        <v>260</v>
      </c>
      <c r="N9" s="325"/>
      <c r="O9" s="324" t="s">
        <v>259</v>
      </c>
      <c r="P9" s="324"/>
      <c r="Q9" s="325" t="s">
        <v>260</v>
      </c>
      <c r="R9" s="325"/>
      <c r="S9" s="327" t="s">
        <v>259</v>
      </c>
      <c r="T9" s="327"/>
      <c r="U9" s="328" t="s">
        <v>260</v>
      </c>
      <c r="V9" s="328"/>
      <c r="W9" s="327" t="s">
        <v>259</v>
      </c>
      <c r="X9" s="327"/>
      <c r="Y9" s="328" t="s">
        <v>260</v>
      </c>
      <c r="Z9" s="328"/>
      <c r="AA9" s="324" t="s">
        <v>259</v>
      </c>
      <c r="AB9" s="324"/>
      <c r="AC9" s="325" t="s">
        <v>260</v>
      </c>
      <c r="AD9" s="325"/>
      <c r="AE9" s="38" t="s">
        <v>261</v>
      </c>
      <c r="AF9" s="343"/>
      <c r="AG9" s="344"/>
      <c r="AH9" s="39" t="s">
        <v>259</v>
      </c>
      <c r="AI9" s="40" t="s">
        <v>260</v>
      </c>
      <c r="AJ9" s="39" t="s">
        <v>259</v>
      </c>
      <c r="AK9" s="40" t="s">
        <v>260</v>
      </c>
      <c r="AL9" s="39" t="s">
        <v>259</v>
      </c>
      <c r="AM9" s="40" t="s">
        <v>260</v>
      </c>
      <c r="AN9" s="39" t="s">
        <v>259</v>
      </c>
      <c r="AO9" s="40" t="s">
        <v>260</v>
      </c>
      <c r="AP9" s="39" t="s">
        <v>259</v>
      </c>
      <c r="AQ9" s="40" t="s">
        <v>260</v>
      </c>
      <c r="AR9" s="39" t="s">
        <v>259</v>
      </c>
      <c r="AS9" s="40" t="s">
        <v>260</v>
      </c>
      <c r="AT9" s="39" t="s">
        <v>259</v>
      </c>
      <c r="AU9" s="40" t="s">
        <v>260</v>
      </c>
      <c r="AV9" s="31"/>
    </row>
    <row r="10" spans="1:49">
      <c r="A10" s="213"/>
      <c r="B10" s="231" t="s">
        <v>397</v>
      </c>
      <c r="C10" s="243"/>
      <c r="D10" s="244"/>
      <c r="E10" s="244"/>
      <c r="F10" s="245"/>
      <c r="G10" s="243"/>
      <c r="H10" s="244"/>
      <c r="I10" s="244"/>
      <c r="J10" s="245"/>
      <c r="K10" s="243"/>
      <c r="L10" s="244"/>
      <c r="M10" s="244"/>
      <c r="N10" s="245"/>
      <c r="O10" s="243"/>
      <c r="P10" s="244"/>
      <c r="Q10" s="244"/>
      <c r="R10" s="245"/>
      <c r="S10" s="243"/>
      <c r="T10" s="244"/>
      <c r="U10" s="244"/>
      <c r="V10" s="245"/>
      <c r="W10" s="243"/>
      <c r="X10" s="244"/>
      <c r="Y10" s="244"/>
      <c r="Z10" s="245"/>
      <c r="AA10" s="217"/>
      <c r="AB10" s="214"/>
      <c r="AC10" s="214"/>
      <c r="AD10" s="215"/>
      <c r="AE10" s="237"/>
      <c r="AF10" s="193"/>
      <c r="AG10" s="344"/>
      <c r="AH10" s="191">
        <f t="shared" ref="AH10:AH18" si="0">IF(ISERROR(VALUE((MOD(D10-C10,1))))=TRUE,0,MOD(D10-C10,1))</f>
        <v>0</v>
      </c>
      <c r="AI10" s="191">
        <f t="shared" ref="AI10:AI18" si="1">IF(ISERROR(VALUE((MOD(F10-E10,1))))=TRUE,0,MOD(F10-E10,1))</f>
        <v>0</v>
      </c>
      <c r="AJ10" s="191">
        <f t="shared" ref="AJ10:AJ18" si="2">IF(ISERROR(VALUE((MOD(H10-G10,1))))=TRUE,0,MOD(H10-G10,1))</f>
        <v>0</v>
      </c>
      <c r="AK10" s="191">
        <f t="shared" ref="AK10:AK18" si="3">IF(ISERROR(VALUE((MOD(J10-I10,1))))=TRUE,0,MOD(J10-I10,1))</f>
        <v>0</v>
      </c>
      <c r="AL10" s="191">
        <f t="shared" ref="AL10:AL18" si="4">IF(ISERROR(VALUE((MOD(L10-K10,1))))=TRUE,0,MOD(L10-K10,1))</f>
        <v>0</v>
      </c>
      <c r="AM10" s="191">
        <f t="shared" ref="AM10:AM18" si="5">IF(ISERROR(VALUE((MOD(N10-M10,1))))=TRUE,0,MOD(N10-M10,1))</f>
        <v>0</v>
      </c>
      <c r="AN10" s="191">
        <f t="shared" ref="AN10:AN18" si="6">IF(ISERROR(VALUE((MOD(P10-O10,1))))=TRUE,0,MOD(P10-O10,1))</f>
        <v>0</v>
      </c>
      <c r="AO10" s="191">
        <f t="shared" ref="AO10:AO18" si="7">IF(ISERROR(VALUE((MOD(R10-Q10,1))))=TRUE,0,MOD(R10-Q10,1))</f>
        <v>0</v>
      </c>
      <c r="AP10" s="191">
        <f t="shared" ref="AP10:AP18" si="8">IF(ISERROR(VALUE((MOD(T10-S10,1))))=TRUE,0,MOD(T10-S10,1))</f>
        <v>0</v>
      </c>
      <c r="AQ10" s="191">
        <f t="shared" ref="AQ10:AQ18" si="9">IF(ISERROR(VALUE((MOD(V10-U10,1))))=TRUE,0,MOD(V10-U10,1))</f>
        <v>0</v>
      </c>
      <c r="AR10" s="191">
        <f t="shared" ref="AR10:AR18" si="10">IF(ISERROR(VALUE((MOD(X10-W10,1))))=TRUE,0,MOD(X10-W10,1))</f>
        <v>0</v>
      </c>
      <c r="AS10" s="191">
        <f t="shared" ref="AS10:AS18" si="11">IF(ISERROR(VALUE((MOD(Z10-Y10,1))))=TRUE,0,MOD(Z10-Y10,1))</f>
        <v>0</v>
      </c>
      <c r="AT10" s="191">
        <f t="shared" ref="AT10:AT18" si="12">IF(ISERROR(VALUE((MOD(AB10-AA10,1))))=TRUE,0,MOD(AB10-AA10,1))</f>
        <v>0</v>
      </c>
      <c r="AU10" s="191">
        <f t="shared" ref="AU10:AU18" si="13">IF(ISERROR(VALUE((MOD(AD10-AC10,1))))=TRUE,0,MOD(AD10-AC10,1))</f>
        <v>0</v>
      </c>
      <c r="AV10" s="31"/>
    </row>
    <row r="11" spans="1:49">
      <c r="A11" s="213"/>
      <c r="B11" s="198" t="s">
        <v>377</v>
      </c>
      <c r="C11" s="217"/>
      <c r="D11" s="214"/>
      <c r="E11" s="214">
        <v>0.45833333333333331</v>
      </c>
      <c r="F11" s="215">
        <v>0.95833333333333337</v>
      </c>
      <c r="G11" s="217"/>
      <c r="H11" s="214"/>
      <c r="I11" s="214">
        <v>0.45833333333333331</v>
      </c>
      <c r="J11" s="215">
        <v>0.95833333333333337</v>
      </c>
      <c r="K11" s="217"/>
      <c r="L11" s="214"/>
      <c r="M11" s="214">
        <v>0.45833333333333331</v>
      </c>
      <c r="N11" s="215">
        <v>0.95833333333333337</v>
      </c>
      <c r="O11" s="217"/>
      <c r="P11" s="214"/>
      <c r="Q11" s="214">
        <v>0.45833333333333331</v>
      </c>
      <c r="R11" s="215">
        <v>0.95833333333333337</v>
      </c>
      <c r="S11" s="217">
        <v>0.45833333333333331</v>
      </c>
      <c r="T11" s="214">
        <v>0.95833333333333337</v>
      </c>
      <c r="U11" s="214"/>
      <c r="V11" s="215"/>
      <c r="W11" s="217"/>
      <c r="X11" s="214"/>
      <c r="Y11" s="214">
        <v>0.45833333333333331</v>
      </c>
      <c r="Z11" s="215">
        <v>0.97916666666666663</v>
      </c>
      <c r="AA11" s="217"/>
      <c r="AB11" s="214"/>
      <c r="AC11" s="214">
        <v>0.45833333333333331</v>
      </c>
      <c r="AD11" s="215">
        <v>0.95833333333333337</v>
      </c>
      <c r="AE11" s="238">
        <f t="shared" ref="AE11:AE27" si="14">AH11+AI11+AJ11+AK11++AL11+AM11+AN11+AO11+AP11++AQ11+AR11+AS11+AT11+AU11</f>
        <v>3.520833333333333</v>
      </c>
      <c r="AF11" s="193"/>
      <c r="AG11" s="344"/>
      <c r="AH11" s="191">
        <f t="shared" si="0"/>
        <v>0</v>
      </c>
      <c r="AI11" s="191">
        <f t="shared" si="1"/>
        <v>0.5</v>
      </c>
      <c r="AJ11" s="191">
        <f t="shared" si="2"/>
        <v>0</v>
      </c>
      <c r="AK11" s="191">
        <f t="shared" si="3"/>
        <v>0.5</v>
      </c>
      <c r="AL11" s="191">
        <f t="shared" si="4"/>
        <v>0</v>
      </c>
      <c r="AM11" s="191">
        <f t="shared" si="5"/>
        <v>0.5</v>
      </c>
      <c r="AN11" s="191">
        <f t="shared" si="6"/>
        <v>0</v>
      </c>
      <c r="AO11" s="191">
        <f t="shared" si="7"/>
        <v>0.5</v>
      </c>
      <c r="AP11" s="191">
        <f t="shared" si="8"/>
        <v>0.5</v>
      </c>
      <c r="AQ11" s="191">
        <f t="shared" si="9"/>
        <v>0</v>
      </c>
      <c r="AR11" s="191">
        <f t="shared" si="10"/>
        <v>0</v>
      </c>
      <c r="AS11" s="191">
        <f t="shared" si="11"/>
        <v>0.52083333333333326</v>
      </c>
      <c r="AT11" s="191">
        <f>IF(ISERROR(VALUE((MOD(AB11-AA11,1))))=TRUE,0,MOD(AB11-AA11,1))</f>
        <v>0</v>
      </c>
      <c r="AU11" s="191">
        <f>IF(ISERROR(VALUE((MOD(AD11-AC11,1))))=TRUE,0,MOD(AD11-AC11,1))</f>
        <v>0.5</v>
      </c>
      <c r="AV11" s="31"/>
    </row>
    <row r="12" spans="1:49">
      <c r="A12" s="213"/>
      <c r="B12" s="198" t="s">
        <v>370</v>
      </c>
      <c r="C12" s="236">
        <v>0.45833333333333331</v>
      </c>
      <c r="D12" s="218">
        <v>0.58333333333333337</v>
      </c>
      <c r="E12" s="216">
        <v>0.72916666666666663</v>
      </c>
      <c r="F12" s="215">
        <v>0.95833333333333337</v>
      </c>
      <c r="G12" s="236" t="s">
        <v>42</v>
      </c>
      <c r="H12" s="218" t="s">
        <v>42</v>
      </c>
      <c r="I12" s="216" t="s">
        <v>42</v>
      </c>
      <c r="J12" s="215" t="s">
        <v>42</v>
      </c>
      <c r="K12" s="236"/>
      <c r="L12" s="218"/>
      <c r="M12" s="216">
        <v>0.625</v>
      </c>
      <c r="N12" s="215">
        <v>0.97916666666666663</v>
      </c>
      <c r="O12" s="236" t="s">
        <v>42</v>
      </c>
      <c r="P12" s="218" t="s">
        <v>42</v>
      </c>
      <c r="Q12" s="216" t="s">
        <v>42</v>
      </c>
      <c r="R12" s="215" t="s">
        <v>42</v>
      </c>
      <c r="S12" s="236">
        <v>0.45833333333333331</v>
      </c>
      <c r="T12" s="218">
        <v>0.58333333333333337</v>
      </c>
      <c r="U12" s="216">
        <v>0.70833333333333337</v>
      </c>
      <c r="V12" s="215">
        <v>2.0833333333333332E-2</v>
      </c>
      <c r="W12" s="217"/>
      <c r="X12" s="214"/>
      <c r="Y12" s="214">
        <v>0.45833333333333331</v>
      </c>
      <c r="Z12" s="215">
        <v>2.0833333333333332E-2</v>
      </c>
      <c r="AA12" s="217"/>
      <c r="AB12" s="214"/>
      <c r="AC12" s="214">
        <v>0.54166666666666663</v>
      </c>
      <c r="AD12" s="215">
        <v>0.97916666666666663</v>
      </c>
      <c r="AE12" s="238">
        <f t="shared" si="14"/>
        <v>2.0208333333333335</v>
      </c>
      <c r="AF12" s="240" t="s">
        <v>385</v>
      </c>
      <c r="AG12" s="344"/>
      <c r="AH12" s="191">
        <f>IF(ISERROR(VALUE((MOD(D12-#REF!,1))))=TRUE,0,MOD(D12-#REF!,1))</f>
        <v>0</v>
      </c>
      <c r="AI12" s="191">
        <f t="shared" si="1"/>
        <v>0.22916666666666674</v>
      </c>
      <c r="AJ12" s="191">
        <f t="shared" si="2"/>
        <v>0</v>
      </c>
      <c r="AK12" s="191">
        <f t="shared" si="3"/>
        <v>0</v>
      </c>
      <c r="AL12" s="191">
        <f t="shared" si="4"/>
        <v>0</v>
      </c>
      <c r="AM12" s="191">
        <f t="shared" si="5"/>
        <v>0.35416666666666663</v>
      </c>
      <c r="AN12" s="191">
        <f t="shared" si="6"/>
        <v>0</v>
      </c>
      <c r="AO12" s="191">
        <f t="shared" si="7"/>
        <v>0</v>
      </c>
      <c r="AP12" s="191">
        <f t="shared" si="8"/>
        <v>0.12500000000000006</v>
      </c>
      <c r="AQ12" s="191">
        <f t="shared" si="9"/>
        <v>0.3125</v>
      </c>
      <c r="AR12" s="191">
        <f t="shared" si="10"/>
        <v>0</v>
      </c>
      <c r="AS12" s="191">
        <f t="shared" si="11"/>
        <v>0.5625</v>
      </c>
      <c r="AT12" s="191">
        <f t="shared" si="12"/>
        <v>0</v>
      </c>
      <c r="AU12" s="191">
        <f t="shared" si="13"/>
        <v>0.4375</v>
      </c>
      <c r="AV12" s="31"/>
    </row>
    <row r="13" spans="1:49">
      <c r="A13" s="213"/>
      <c r="B13" s="199" t="s">
        <v>375</v>
      </c>
      <c r="C13" s="217" t="s">
        <v>42</v>
      </c>
      <c r="D13" s="214" t="s">
        <v>42</v>
      </c>
      <c r="E13" s="214" t="s">
        <v>42</v>
      </c>
      <c r="F13" s="215" t="s">
        <v>42</v>
      </c>
      <c r="G13" s="217"/>
      <c r="H13" s="214"/>
      <c r="I13" s="214">
        <v>0.45833333333333331</v>
      </c>
      <c r="J13" s="215">
        <v>0.9375</v>
      </c>
      <c r="K13" s="217">
        <v>0.45833333333333331</v>
      </c>
      <c r="L13" s="214">
        <v>0.875</v>
      </c>
      <c r="M13" s="214"/>
      <c r="N13" s="215"/>
      <c r="O13" s="217" t="s">
        <v>42</v>
      </c>
      <c r="P13" s="214" t="s">
        <v>42</v>
      </c>
      <c r="Q13" s="214" t="s">
        <v>42</v>
      </c>
      <c r="R13" s="215" t="s">
        <v>42</v>
      </c>
      <c r="S13" s="217"/>
      <c r="T13" s="214"/>
      <c r="U13" s="216">
        <v>0.58333333333333337</v>
      </c>
      <c r="V13" s="235">
        <v>2.0833333333333332E-2</v>
      </c>
      <c r="W13" s="217"/>
      <c r="X13" s="214"/>
      <c r="Y13" s="214">
        <v>0.70833333333333337</v>
      </c>
      <c r="Z13" s="215">
        <v>0.9375</v>
      </c>
      <c r="AA13" s="217">
        <v>0.375</v>
      </c>
      <c r="AB13" s="214">
        <v>0.875</v>
      </c>
      <c r="AC13" s="218" t="s">
        <v>42</v>
      </c>
      <c r="AD13" s="219" t="s">
        <v>42</v>
      </c>
      <c r="AE13" s="238">
        <f t="shared" si="14"/>
        <v>2.0625</v>
      </c>
      <c r="AF13" s="238"/>
      <c r="AG13" s="344"/>
      <c r="AH13" s="191">
        <f>IF(ISERROR(VALUE((MOD(D13-C12,1))))=TRUE,0,MOD(D13-C12,1))</f>
        <v>0</v>
      </c>
      <c r="AI13" s="191">
        <f t="shared" si="1"/>
        <v>0</v>
      </c>
      <c r="AJ13" s="191">
        <f t="shared" si="2"/>
        <v>0</v>
      </c>
      <c r="AK13" s="191">
        <f t="shared" si="3"/>
        <v>0.47916666666666669</v>
      </c>
      <c r="AL13" s="191">
        <f t="shared" si="4"/>
        <v>0.41666666666666669</v>
      </c>
      <c r="AM13" s="191">
        <f t="shared" si="5"/>
        <v>0</v>
      </c>
      <c r="AN13" s="191">
        <f t="shared" si="6"/>
        <v>0</v>
      </c>
      <c r="AO13" s="191">
        <f t="shared" si="7"/>
        <v>0</v>
      </c>
      <c r="AP13" s="191">
        <f t="shared" si="8"/>
        <v>0</v>
      </c>
      <c r="AQ13" s="191">
        <f t="shared" si="9"/>
        <v>0.4375</v>
      </c>
      <c r="AR13" s="191">
        <f t="shared" si="10"/>
        <v>0</v>
      </c>
      <c r="AS13" s="191">
        <f t="shared" si="11"/>
        <v>0.22916666666666663</v>
      </c>
      <c r="AT13" s="191">
        <f t="shared" si="12"/>
        <v>0.5</v>
      </c>
      <c r="AU13" s="191">
        <f t="shared" si="13"/>
        <v>0</v>
      </c>
      <c r="AV13" s="31"/>
    </row>
    <row r="14" spans="1:49">
      <c r="A14" s="213"/>
      <c r="B14" s="248" t="s">
        <v>388</v>
      </c>
      <c r="C14" s="217">
        <v>0.41666666666666669</v>
      </c>
      <c r="D14" s="214">
        <v>0.58333333333333337</v>
      </c>
      <c r="E14" s="214">
        <v>0.72916666666666663</v>
      </c>
      <c r="F14" s="215">
        <v>0.97916666666666663</v>
      </c>
      <c r="G14" s="216" t="s">
        <v>42</v>
      </c>
      <c r="H14" s="216" t="s">
        <v>42</v>
      </c>
      <c r="I14" s="216" t="s">
        <v>42</v>
      </c>
      <c r="J14" s="235" t="s">
        <v>42</v>
      </c>
      <c r="K14" s="216">
        <v>0.41666666666666669</v>
      </c>
      <c r="L14" s="216">
        <v>0.58333333333333337</v>
      </c>
      <c r="M14" s="216">
        <v>0.72916666666666663</v>
      </c>
      <c r="N14" s="235">
        <v>0.97916666666666663</v>
      </c>
      <c r="O14" s="217"/>
      <c r="P14" s="214"/>
      <c r="Q14" s="214">
        <v>0.45833333333333331</v>
      </c>
      <c r="R14" s="215">
        <v>0.9375</v>
      </c>
      <c r="S14" s="216">
        <v>0.45833333333333331</v>
      </c>
      <c r="T14" s="216">
        <v>0.58333333333333337</v>
      </c>
      <c r="U14" s="214">
        <v>0.70833333333333337</v>
      </c>
      <c r="V14" s="215">
        <v>0.97916666666666663</v>
      </c>
      <c r="W14" s="217"/>
      <c r="X14" s="214"/>
      <c r="Y14" s="214">
        <v>0.54166666666666663</v>
      </c>
      <c r="Z14" s="215">
        <v>2.0833333333333332E-2</v>
      </c>
      <c r="AA14" s="217" t="s">
        <v>42</v>
      </c>
      <c r="AB14" s="214" t="s">
        <v>42</v>
      </c>
      <c r="AC14" s="218" t="s">
        <v>42</v>
      </c>
      <c r="AD14" s="219" t="s">
        <v>42</v>
      </c>
      <c r="AE14" s="249">
        <f t="shared" si="14"/>
        <v>2.1875</v>
      </c>
      <c r="AF14" s="238">
        <v>0</v>
      </c>
      <c r="AG14" s="41"/>
      <c r="AH14" s="191">
        <f t="shared" si="0"/>
        <v>0.16666666666666669</v>
      </c>
      <c r="AI14" s="191">
        <f t="shared" si="1"/>
        <v>0.25</v>
      </c>
      <c r="AJ14" s="191">
        <f t="shared" si="2"/>
        <v>0</v>
      </c>
      <c r="AK14" s="191">
        <f t="shared" si="3"/>
        <v>0</v>
      </c>
      <c r="AL14" s="191">
        <f t="shared" si="4"/>
        <v>0.16666666666666669</v>
      </c>
      <c r="AM14" s="191">
        <f t="shared" si="5"/>
        <v>0.25</v>
      </c>
      <c r="AN14" s="191">
        <f t="shared" si="6"/>
        <v>0</v>
      </c>
      <c r="AO14" s="191">
        <f t="shared" si="7"/>
        <v>0.47916666666666669</v>
      </c>
      <c r="AP14" s="191">
        <f t="shared" si="8"/>
        <v>0.12500000000000006</v>
      </c>
      <c r="AQ14" s="191">
        <f t="shared" si="9"/>
        <v>0.27083333333333326</v>
      </c>
      <c r="AR14" s="191">
        <f t="shared" si="10"/>
        <v>0</v>
      </c>
      <c r="AS14" s="191">
        <f t="shared" si="11"/>
        <v>0.47916666666666674</v>
      </c>
      <c r="AT14" s="191">
        <f t="shared" si="12"/>
        <v>0</v>
      </c>
      <c r="AU14" s="191">
        <f t="shared" si="13"/>
        <v>0</v>
      </c>
      <c r="AV14" s="31"/>
    </row>
    <row r="15" spans="1:49" ht="15" customHeight="1">
      <c r="A15" s="321"/>
      <c r="B15" s="250" t="s">
        <v>374</v>
      </c>
      <c r="C15" s="217" t="s">
        <v>42</v>
      </c>
      <c r="D15" s="214" t="s">
        <v>42</v>
      </c>
      <c r="E15" s="214" t="s">
        <v>42</v>
      </c>
      <c r="F15" s="215" t="s">
        <v>42</v>
      </c>
      <c r="G15" s="217">
        <v>0.41666666666666669</v>
      </c>
      <c r="H15" s="214">
        <v>0.58333333333333337</v>
      </c>
      <c r="I15" s="214">
        <v>0.72916666666666663</v>
      </c>
      <c r="J15" s="215">
        <v>0.95833333333333337</v>
      </c>
      <c r="K15" s="216"/>
      <c r="L15" s="216"/>
      <c r="M15" s="216">
        <v>0.70833333333333337</v>
      </c>
      <c r="N15" s="235">
        <v>0.97916666666666663</v>
      </c>
      <c r="O15" s="217" t="s">
        <v>42</v>
      </c>
      <c r="P15" s="214" t="s">
        <v>42</v>
      </c>
      <c r="Q15" s="214" t="s">
        <v>42</v>
      </c>
      <c r="R15" s="215" t="s">
        <v>42</v>
      </c>
      <c r="S15" s="217">
        <v>0.41666666666666669</v>
      </c>
      <c r="T15" s="214">
        <v>0.58333333333333337</v>
      </c>
      <c r="U15" s="214">
        <v>0.70833333333333337</v>
      </c>
      <c r="V15" s="215">
        <v>0.97916666666666663</v>
      </c>
      <c r="W15" s="217">
        <v>0.41666666666666669</v>
      </c>
      <c r="X15" s="214">
        <v>0.58333333333333337</v>
      </c>
      <c r="Y15" s="214">
        <v>0.70833333333333337</v>
      </c>
      <c r="Z15" s="215">
        <v>0.97916666666666663</v>
      </c>
      <c r="AA15" s="217"/>
      <c r="AB15" s="214"/>
      <c r="AC15" s="218">
        <v>0.45833333333333331</v>
      </c>
      <c r="AD15" s="219">
        <v>0.97916666666666663</v>
      </c>
      <c r="AE15" s="249">
        <f t="shared" si="14"/>
        <v>2.0625</v>
      </c>
      <c r="AF15" s="238">
        <v>0.64097222222222228</v>
      </c>
      <c r="AG15" s="41"/>
      <c r="AH15" s="191">
        <f t="shared" si="0"/>
        <v>0</v>
      </c>
      <c r="AI15" s="191">
        <f t="shared" si="1"/>
        <v>0</v>
      </c>
      <c r="AJ15" s="191">
        <f>IF(ISERROR(VALUE((MOD(H15-G15,1))))=TRUE,0,MOD(H15-G15,1))</f>
        <v>0.16666666666666669</v>
      </c>
      <c r="AK15" s="191">
        <f>IF(ISERROR(VALUE((MOD(J15-I15,1))))=TRUE,0,MOD(J15-I15,1))</f>
        <v>0.22916666666666674</v>
      </c>
      <c r="AL15" s="191">
        <f t="shared" si="4"/>
        <v>0</v>
      </c>
      <c r="AM15" s="191">
        <f t="shared" si="5"/>
        <v>0.27083333333333326</v>
      </c>
      <c r="AN15" s="191">
        <f t="shared" si="6"/>
        <v>0</v>
      </c>
      <c r="AO15" s="191">
        <f t="shared" si="7"/>
        <v>0</v>
      </c>
      <c r="AP15" s="191">
        <f t="shared" si="8"/>
        <v>0.16666666666666669</v>
      </c>
      <c r="AQ15" s="191">
        <f t="shared" si="9"/>
        <v>0.27083333333333326</v>
      </c>
      <c r="AR15" s="191">
        <f t="shared" si="10"/>
        <v>0.16666666666666669</v>
      </c>
      <c r="AS15" s="191">
        <f t="shared" si="11"/>
        <v>0.27083333333333326</v>
      </c>
      <c r="AT15" s="191">
        <f>IF(ISERROR(VALUE((MOD(AB15-AA15,1))))=TRUE,0,MOD(AB15-AA15,1))</f>
        <v>0</v>
      </c>
      <c r="AU15" s="191">
        <f>IF(ISERROR(VALUE((MOD(AD15-AC15,1))))=TRUE,0,MOD(AD15-AC15,1))</f>
        <v>0.52083333333333326</v>
      </c>
      <c r="AV15" s="31"/>
    </row>
    <row r="16" spans="1:49" ht="16" thickBot="1">
      <c r="A16" s="321"/>
      <c r="B16" s="251" t="s">
        <v>381</v>
      </c>
      <c r="C16" s="217"/>
      <c r="D16" s="214"/>
      <c r="E16" s="214">
        <v>0.45833333333333331</v>
      </c>
      <c r="F16" s="215">
        <v>0.9375</v>
      </c>
      <c r="G16" s="216" t="s">
        <v>42</v>
      </c>
      <c r="H16" s="216" t="s">
        <v>42</v>
      </c>
      <c r="I16" s="216" t="s">
        <v>42</v>
      </c>
      <c r="J16" s="235" t="s">
        <v>42</v>
      </c>
      <c r="K16" s="216" t="s">
        <v>42</v>
      </c>
      <c r="L16" s="216" t="s">
        <v>42</v>
      </c>
      <c r="M16" s="216" t="s">
        <v>42</v>
      </c>
      <c r="N16" s="235" t="s">
        <v>42</v>
      </c>
      <c r="O16" s="217">
        <v>0.41666666666666669</v>
      </c>
      <c r="P16" s="214">
        <v>0.58333333333333337</v>
      </c>
      <c r="Q16" s="214">
        <v>0.72916666666666663</v>
      </c>
      <c r="R16" s="215">
        <v>0.97916666666666663</v>
      </c>
      <c r="S16" s="216" t="s">
        <v>42</v>
      </c>
      <c r="T16" s="216" t="s">
        <v>42</v>
      </c>
      <c r="U16" s="216" t="s">
        <v>42</v>
      </c>
      <c r="V16" s="235" t="s">
        <v>42</v>
      </c>
      <c r="W16" s="217"/>
      <c r="X16" s="216"/>
      <c r="Y16" s="216">
        <v>0.58333333333333337</v>
      </c>
      <c r="Z16" s="235">
        <v>2.0833333333333332E-2</v>
      </c>
      <c r="AA16" s="216" t="s">
        <v>42</v>
      </c>
      <c r="AB16" s="216" t="s">
        <v>42</v>
      </c>
      <c r="AC16" s="264" t="s">
        <v>42</v>
      </c>
      <c r="AD16" s="265" t="s">
        <v>42</v>
      </c>
      <c r="AE16" s="249">
        <f t="shared" si="14"/>
        <v>1.3333333333333335</v>
      </c>
      <c r="AF16" s="239" t="s">
        <v>386</v>
      </c>
      <c r="AG16" s="41"/>
      <c r="AH16" s="191">
        <f t="shared" si="0"/>
        <v>0</v>
      </c>
      <c r="AI16" s="191">
        <f t="shared" si="1"/>
        <v>0.47916666666666669</v>
      </c>
      <c r="AJ16" s="191">
        <f t="shared" si="2"/>
        <v>0</v>
      </c>
      <c r="AK16" s="191">
        <f t="shared" si="3"/>
        <v>0</v>
      </c>
      <c r="AL16" s="191">
        <f t="shared" si="4"/>
        <v>0</v>
      </c>
      <c r="AM16" s="191">
        <f t="shared" si="5"/>
        <v>0</v>
      </c>
      <c r="AN16" s="191">
        <f t="shared" si="6"/>
        <v>0.16666666666666669</v>
      </c>
      <c r="AO16" s="191">
        <f t="shared" si="7"/>
        <v>0.25</v>
      </c>
      <c r="AP16" s="191">
        <f t="shared" si="8"/>
        <v>0</v>
      </c>
      <c r="AQ16" s="191">
        <f t="shared" si="9"/>
        <v>0</v>
      </c>
      <c r="AR16" s="191">
        <f t="shared" si="10"/>
        <v>0</v>
      </c>
      <c r="AS16" s="191">
        <f t="shared" si="11"/>
        <v>0.4375</v>
      </c>
      <c r="AT16" s="191">
        <f t="shared" si="12"/>
        <v>0</v>
      </c>
      <c r="AU16" s="191">
        <f t="shared" si="13"/>
        <v>0</v>
      </c>
      <c r="AV16" s="31"/>
    </row>
    <row r="17" spans="1:48">
      <c r="A17" s="321"/>
      <c r="B17" s="253" t="s">
        <v>389</v>
      </c>
      <c r="C17" s="217" t="s">
        <v>42</v>
      </c>
      <c r="D17" s="214" t="s">
        <v>42</v>
      </c>
      <c r="E17" s="214" t="s">
        <v>42</v>
      </c>
      <c r="F17" s="215" t="s">
        <v>42</v>
      </c>
      <c r="G17" s="217">
        <v>0.45833333333333331</v>
      </c>
      <c r="H17" s="214">
        <v>0.58333333333333337</v>
      </c>
      <c r="I17" s="214">
        <v>0.72916666666666663</v>
      </c>
      <c r="J17" s="215">
        <v>0.97916666666666663</v>
      </c>
      <c r="K17" s="217" t="s">
        <v>42</v>
      </c>
      <c r="L17" s="214" t="s">
        <v>42</v>
      </c>
      <c r="M17" s="214" t="s">
        <v>42</v>
      </c>
      <c r="N17" s="215" t="s">
        <v>42</v>
      </c>
      <c r="O17" s="217">
        <v>8</v>
      </c>
      <c r="P17" s="214">
        <v>0.58333333333333337</v>
      </c>
      <c r="Q17" s="214">
        <v>0.70833333333333337</v>
      </c>
      <c r="R17" s="215">
        <v>0.97916666666666663</v>
      </c>
      <c r="S17" s="217"/>
      <c r="T17" s="214"/>
      <c r="U17" s="214">
        <v>0.66666666666666663</v>
      </c>
      <c r="V17" s="215">
        <v>0.97916666666666663</v>
      </c>
      <c r="W17" s="217"/>
      <c r="X17" s="214"/>
      <c r="Y17" s="214">
        <v>0.6875</v>
      </c>
      <c r="Z17" s="215">
        <v>0.9375</v>
      </c>
      <c r="AA17" s="217">
        <v>0.41666666666666669</v>
      </c>
      <c r="AB17" s="214">
        <v>0.58333333333333337</v>
      </c>
      <c r="AC17" s="214">
        <v>0.70833333333333337</v>
      </c>
      <c r="AD17" s="215">
        <v>0.97916666666666663</v>
      </c>
      <c r="AE17" s="249">
        <f t="shared" si="14"/>
        <v>2.2291666666666661</v>
      </c>
      <c r="AF17" s="238"/>
      <c r="AG17" s="41"/>
      <c r="AH17" s="191">
        <f t="shared" si="0"/>
        <v>0</v>
      </c>
      <c r="AI17" s="191">
        <f t="shared" si="1"/>
        <v>0</v>
      </c>
      <c r="AJ17" s="191">
        <f t="shared" si="2"/>
        <v>0.12500000000000006</v>
      </c>
      <c r="AK17" s="191">
        <f t="shared" si="3"/>
        <v>0.25</v>
      </c>
      <c r="AL17" s="191">
        <f t="shared" si="4"/>
        <v>0</v>
      </c>
      <c r="AM17" s="191">
        <f t="shared" si="5"/>
        <v>0</v>
      </c>
      <c r="AN17" s="191">
        <f t="shared" si="6"/>
        <v>0.58333333333333304</v>
      </c>
      <c r="AO17" s="191">
        <f t="shared" si="7"/>
        <v>0.27083333333333326</v>
      </c>
      <c r="AP17" s="191">
        <f t="shared" si="8"/>
        <v>0</v>
      </c>
      <c r="AQ17" s="191">
        <f t="shared" si="9"/>
        <v>0.3125</v>
      </c>
      <c r="AR17" s="191">
        <f t="shared" si="10"/>
        <v>0</v>
      </c>
      <c r="AS17" s="191">
        <f t="shared" si="11"/>
        <v>0.25</v>
      </c>
      <c r="AT17" s="191">
        <f t="shared" si="12"/>
        <v>0.16666666666666669</v>
      </c>
      <c r="AU17" s="191">
        <f t="shared" si="13"/>
        <v>0.27083333333333326</v>
      </c>
      <c r="AV17" s="31"/>
    </row>
    <row r="18" spans="1:48">
      <c r="A18" s="321"/>
      <c r="B18" s="252" t="s">
        <v>382</v>
      </c>
      <c r="C18" s="236">
        <v>0.45833333333333331</v>
      </c>
      <c r="D18" s="218">
        <v>0.58333333333333337</v>
      </c>
      <c r="E18" s="216">
        <v>0.70833333333333337</v>
      </c>
      <c r="F18" s="215">
        <v>0.9375</v>
      </c>
      <c r="G18" s="236" t="s">
        <v>42</v>
      </c>
      <c r="H18" s="218" t="s">
        <v>42</v>
      </c>
      <c r="I18" s="216" t="s">
        <v>42</v>
      </c>
      <c r="J18" s="215" t="s">
        <v>42</v>
      </c>
      <c r="K18" s="236">
        <v>0.45833333333333331</v>
      </c>
      <c r="L18" s="218">
        <v>0.58333333333333337</v>
      </c>
      <c r="M18" s="216">
        <v>0.72916666666666663</v>
      </c>
      <c r="N18" s="215">
        <v>0.9375</v>
      </c>
      <c r="O18" s="236" t="s">
        <v>42</v>
      </c>
      <c r="P18" s="218" t="s">
        <v>42</v>
      </c>
      <c r="Q18" s="216" t="s">
        <v>42</v>
      </c>
      <c r="R18" s="215" t="s">
        <v>42</v>
      </c>
      <c r="S18" s="236">
        <v>0.45833333333333331</v>
      </c>
      <c r="T18" s="218">
        <v>0.58333333333333337</v>
      </c>
      <c r="U18" s="216">
        <v>0.70833333333333337</v>
      </c>
      <c r="V18" s="215">
        <v>0.97916666666666663</v>
      </c>
      <c r="W18" s="236">
        <v>0.45833333333333331</v>
      </c>
      <c r="X18" s="218">
        <v>0.58333333333333337</v>
      </c>
      <c r="Y18" s="216">
        <v>0.70833333333333337</v>
      </c>
      <c r="Z18" s="215">
        <v>0.97916666666666663</v>
      </c>
      <c r="AA18" s="236" t="s">
        <v>42</v>
      </c>
      <c r="AB18" s="218" t="s">
        <v>42</v>
      </c>
      <c r="AC18" s="216" t="s">
        <v>42</v>
      </c>
      <c r="AD18" s="215" t="s">
        <v>42</v>
      </c>
      <c r="AE18" s="249">
        <f t="shared" si="14"/>
        <v>1.4791666666666667</v>
      </c>
      <c r="AF18" s="239">
        <v>0.86111111111111116</v>
      </c>
      <c r="AG18" s="41"/>
      <c r="AH18" s="191">
        <f t="shared" si="0"/>
        <v>0.12500000000000006</v>
      </c>
      <c r="AI18" s="191">
        <f t="shared" si="1"/>
        <v>0.22916666666666663</v>
      </c>
      <c r="AJ18" s="191">
        <f t="shared" si="2"/>
        <v>0</v>
      </c>
      <c r="AK18" s="191">
        <f t="shared" si="3"/>
        <v>0</v>
      </c>
      <c r="AL18" s="191">
        <f t="shared" si="4"/>
        <v>0.12500000000000006</v>
      </c>
      <c r="AM18" s="191">
        <f t="shared" si="5"/>
        <v>0.20833333333333337</v>
      </c>
      <c r="AN18" s="191">
        <f t="shared" si="6"/>
        <v>0</v>
      </c>
      <c r="AO18" s="191">
        <f t="shared" si="7"/>
        <v>0</v>
      </c>
      <c r="AP18" s="191">
        <f t="shared" si="8"/>
        <v>0.12500000000000006</v>
      </c>
      <c r="AQ18" s="191">
        <f t="shared" si="9"/>
        <v>0.27083333333333326</v>
      </c>
      <c r="AR18" s="191">
        <f t="shared" si="10"/>
        <v>0.12500000000000006</v>
      </c>
      <c r="AS18" s="191">
        <f t="shared" si="11"/>
        <v>0.27083333333333326</v>
      </c>
      <c r="AT18" s="191">
        <f t="shared" si="12"/>
        <v>0</v>
      </c>
      <c r="AU18" s="191">
        <f t="shared" si="13"/>
        <v>0</v>
      </c>
      <c r="AV18" s="31"/>
    </row>
    <row r="19" spans="1:48" hidden="1">
      <c r="A19" s="321"/>
      <c r="B19" s="252" t="s">
        <v>382</v>
      </c>
      <c r="C19" s="217"/>
      <c r="D19" s="214"/>
      <c r="E19" s="214">
        <v>0.45833333333333331</v>
      </c>
      <c r="F19" s="215">
        <v>0.97916666666666663</v>
      </c>
      <c r="G19" s="217" t="s">
        <v>42</v>
      </c>
      <c r="H19" s="214" t="s">
        <v>42</v>
      </c>
      <c r="I19" s="214" t="s">
        <v>42</v>
      </c>
      <c r="J19" s="215" t="s">
        <v>42</v>
      </c>
      <c r="K19" s="217" t="s">
        <v>42</v>
      </c>
      <c r="L19" s="214" t="s">
        <v>42</v>
      </c>
      <c r="M19" s="214" t="s">
        <v>42</v>
      </c>
      <c r="N19" s="215" t="s">
        <v>42</v>
      </c>
      <c r="O19" s="217">
        <v>0.45833333333333331</v>
      </c>
      <c r="P19" s="214">
        <v>0.58333333333333337</v>
      </c>
      <c r="Q19" s="214">
        <v>0.70833333333333337</v>
      </c>
      <c r="R19" s="215">
        <v>0.97916666666666663</v>
      </c>
      <c r="S19" s="217"/>
      <c r="T19" s="214"/>
      <c r="U19" s="214">
        <v>0.58333333333333337</v>
      </c>
      <c r="V19" s="215">
        <v>0.875</v>
      </c>
      <c r="W19" s="217"/>
      <c r="X19" s="214"/>
      <c r="Y19" s="214">
        <v>0.45833333333333331</v>
      </c>
      <c r="Z19" s="215">
        <v>0.97916666666666663</v>
      </c>
      <c r="AA19" s="217" t="s">
        <v>42</v>
      </c>
      <c r="AB19" s="214" t="s">
        <v>42</v>
      </c>
      <c r="AC19" s="214" t="s">
        <v>42</v>
      </c>
      <c r="AD19" s="235" t="s">
        <v>42</v>
      </c>
      <c r="AE19" s="249">
        <f t="shared" si="14"/>
        <v>1.7291666666666663</v>
      </c>
      <c r="AF19" s="238"/>
      <c r="AG19" s="41"/>
      <c r="AH19" s="191">
        <f t="shared" ref="AH19:AH27" si="15">IF(ISERROR(VALUE((MOD(D19-C19,1))))=TRUE,0,MOD(D19-C19,1))</f>
        <v>0</v>
      </c>
      <c r="AI19" s="191">
        <f t="shared" ref="AI19:AI27" si="16">IF(ISERROR(VALUE((MOD(F19-E19,1))))=TRUE,0,MOD(F19-E19,1))</f>
        <v>0.52083333333333326</v>
      </c>
      <c r="AJ19" s="191">
        <f t="shared" ref="AJ19:AJ27" si="17">IF(ISERROR(VALUE((MOD(H19-G19,1))))=TRUE,0,MOD(H19-G19,1))</f>
        <v>0</v>
      </c>
      <c r="AK19" s="191">
        <f t="shared" ref="AK19:AK27" si="18">IF(ISERROR(VALUE((MOD(J19-I19,1))))=TRUE,0,MOD(J19-I19,1))</f>
        <v>0</v>
      </c>
      <c r="AL19" s="191">
        <f t="shared" ref="AL19:AL27" si="19">IF(ISERROR(VALUE((MOD(L19-K19,1))))=TRUE,0,MOD(L19-K19,1))</f>
        <v>0</v>
      </c>
      <c r="AM19" s="191">
        <f t="shared" ref="AM19:AM27" si="20">IF(ISERROR(VALUE((MOD(N19-M19,1))))=TRUE,0,MOD(N19-M19,1))</f>
        <v>0</v>
      </c>
      <c r="AN19" s="191">
        <f t="shared" ref="AN19:AN27" si="21">IF(ISERROR(VALUE((MOD(P19-O19,1))))=TRUE,0,MOD(P19-O19,1))</f>
        <v>0.12500000000000006</v>
      </c>
      <c r="AO19" s="191">
        <f t="shared" ref="AO19:AO27" si="22">IF(ISERROR(VALUE((MOD(R19-Q19,1))))=TRUE,0,MOD(R19-Q19,1))</f>
        <v>0.27083333333333326</v>
      </c>
      <c r="AP19" s="191">
        <f t="shared" ref="AP19:AP27" si="23">IF(ISERROR(VALUE((MOD(T19-S19,1))))=TRUE,0,MOD(T19-S19,1))</f>
        <v>0</v>
      </c>
      <c r="AQ19" s="191">
        <f t="shared" ref="AQ19:AQ27" si="24">IF(ISERROR(VALUE((MOD(V19-U19,1))))=TRUE,0,MOD(V19-U19,1))</f>
        <v>0.29166666666666663</v>
      </c>
      <c r="AR19" s="191">
        <f t="shared" ref="AR19:AR27" si="25">IF(ISERROR(VALUE((MOD(X19-W19,1))))=TRUE,0,MOD(X19-W19,1))</f>
        <v>0</v>
      </c>
      <c r="AS19" s="191">
        <f t="shared" ref="AS19:AS27" si="26">IF(ISERROR(VALUE((MOD(Z19-Y19,1))))=TRUE,0,MOD(Z19-Y19,1))</f>
        <v>0.52083333333333326</v>
      </c>
      <c r="AT19" s="191">
        <f t="shared" ref="AT19:AT27" si="27">IF(ISERROR(VALUE((MOD(AB19-AA19,1))))=TRUE,0,MOD(AB19-AA19,1))</f>
        <v>0</v>
      </c>
      <c r="AU19" s="191">
        <f t="shared" ref="AU19:AU27" si="28">IF(ISERROR(VALUE((MOD(AD19-AC19,1))))=TRUE,0,MOD(AD19-AC19,1))</f>
        <v>0</v>
      </c>
      <c r="AV19" s="31"/>
    </row>
    <row r="20" spans="1:48">
      <c r="A20" s="321"/>
      <c r="B20" s="253" t="s">
        <v>380</v>
      </c>
      <c r="C20" s="236" t="s">
        <v>42</v>
      </c>
      <c r="D20" s="218" t="s">
        <v>42</v>
      </c>
      <c r="E20" s="216" t="s">
        <v>42</v>
      </c>
      <c r="F20" s="215" t="s">
        <v>42</v>
      </c>
      <c r="G20" s="236">
        <v>0.45833333333333331</v>
      </c>
      <c r="H20" s="218">
        <v>0.58333333333333337</v>
      </c>
      <c r="I20" s="216">
        <v>0.72916666666666663</v>
      </c>
      <c r="J20" s="215">
        <v>0.9375</v>
      </c>
      <c r="K20" s="236"/>
      <c r="L20" s="218"/>
      <c r="M20" s="216">
        <v>0.625</v>
      </c>
      <c r="N20" s="215">
        <v>0.97916666666666663</v>
      </c>
      <c r="O20" s="236" t="s">
        <v>42</v>
      </c>
      <c r="P20" s="218" t="s">
        <v>42</v>
      </c>
      <c r="Q20" s="216" t="s">
        <v>42</v>
      </c>
      <c r="R20" s="215" t="s">
        <v>42</v>
      </c>
      <c r="S20" s="236"/>
      <c r="T20" s="218"/>
      <c r="U20" s="216">
        <v>0.66666666666666663</v>
      </c>
      <c r="V20" s="215">
        <v>2.0833333333333332E-2</v>
      </c>
      <c r="W20" s="236"/>
      <c r="X20" s="218"/>
      <c r="Y20" s="216">
        <v>0.58333333333333337</v>
      </c>
      <c r="Z20" s="215">
        <v>2.0833333333333332E-2</v>
      </c>
      <c r="AA20" s="217" t="s">
        <v>42</v>
      </c>
      <c r="AB20" s="214" t="s">
        <v>42</v>
      </c>
      <c r="AC20" s="218" t="s">
        <v>42</v>
      </c>
      <c r="AD20" s="219" t="s">
        <v>42</v>
      </c>
      <c r="AE20" s="249">
        <f t="shared" si="14"/>
        <v>1.4791666666666667</v>
      </c>
      <c r="AF20" s="238"/>
      <c r="AG20" s="41"/>
      <c r="AH20" s="191">
        <f t="shared" ref="AH20:AH26" si="29">IF(ISERROR(VALUE((MOD(D20-C20,1))))=TRUE,0,MOD(D20-C20,1))</f>
        <v>0</v>
      </c>
      <c r="AI20" s="191">
        <f t="shared" ref="AI20:AI26" si="30">IF(ISERROR(VALUE((MOD(F20-E20,1))))=TRUE,0,MOD(F20-E20,1))</f>
        <v>0</v>
      </c>
      <c r="AJ20" s="191">
        <f t="shared" ref="AJ20:AJ26" si="31">IF(ISERROR(VALUE((MOD(H20-G20,1))))=TRUE,0,MOD(H20-G20,1))</f>
        <v>0.12500000000000006</v>
      </c>
      <c r="AK20" s="191">
        <f t="shared" ref="AK20:AK26" si="32">IF(ISERROR(VALUE((MOD(J20-I20,1))))=TRUE,0,MOD(J20-I20,1))</f>
        <v>0.20833333333333337</v>
      </c>
      <c r="AL20" s="191">
        <f t="shared" ref="AL20:AL26" si="33">IF(ISERROR(VALUE((MOD(L20-K20,1))))=TRUE,0,MOD(L20-K20,1))</f>
        <v>0</v>
      </c>
      <c r="AM20" s="191">
        <f t="shared" ref="AM20:AM26" si="34">IF(ISERROR(VALUE((MOD(N20-M20,1))))=TRUE,0,MOD(N20-M20,1))</f>
        <v>0.35416666666666663</v>
      </c>
      <c r="AN20" s="191">
        <f t="shared" ref="AN20:AN26" si="35">IF(ISERROR(VALUE((MOD(P20-O20,1))))=TRUE,0,MOD(P20-O20,1))</f>
        <v>0</v>
      </c>
      <c r="AO20" s="191">
        <f t="shared" ref="AO20:AO26" si="36">IF(ISERROR(VALUE((MOD(R20-Q20,1))))=TRUE,0,MOD(R20-Q20,1))</f>
        <v>0</v>
      </c>
      <c r="AP20" s="191">
        <f t="shared" ref="AP20:AP26" si="37">IF(ISERROR(VALUE((MOD(T20-S20,1))))=TRUE,0,MOD(T20-S20,1))</f>
        <v>0</v>
      </c>
      <c r="AQ20" s="191">
        <f t="shared" ref="AQ20:AQ26" si="38">IF(ISERROR(VALUE((MOD(V20-U20,1))))=TRUE,0,MOD(V20-U20,1))</f>
        <v>0.35416666666666674</v>
      </c>
      <c r="AR20" s="191">
        <f t="shared" ref="AR20:AR26" si="39">IF(ISERROR(VALUE((MOD(X20-W20,1))))=TRUE,0,MOD(X20-W20,1))</f>
        <v>0</v>
      </c>
      <c r="AS20" s="191">
        <f t="shared" ref="AS20:AS26" si="40">IF(ISERROR(VALUE((MOD(Z20-Y20,1))))=TRUE,0,MOD(Z20-Y20,1))</f>
        <v>0.4375</v>
      </c>
      <c r="AT20" s="191">
        <f t="shared" ref="AT20:AT26" si="41">IF(ISERROR(VALUE((MOD(AB20-AA20,1))))=TRUE,0,MOD(AB20-AA20,1))</f>
        <v>0</v>
      </c>
      <c r="AU20" s="191">
        <f t="shared" ref="AU20:AU26" si="42">IF(ISERROR(VALUE((MOD(AD20-AC20,1))))=TRUE,0,MOD(AD20-AC20,1))</f>
        <v>0</v>
      </c>
      <c r="AV20" s="31"/>
    </row>
    <row r="21" spans="1:48">
      <c r="A21" s="321"/>
      <c r="B21" s="248" t="s">
        <v>376</v>
      </c>
      <c r="C21" s="217" t="s">
        <v>42</v>
      </c>
      <c r="D21" s="214" t="s">
        <v>42</v>
      </c>
      <c r="E21" s="214" t="s">
        <v>42</v>
      </c>
      <c r="F21" s="215" t="s">
        <v>42</v>
      </c>
      <c r="G21" s="217" t="s">
        <v>42</v>
      </c>
      <c r="H21" s="214" t="s">
        <v>42</v>
      </c>
      <c r="I21" s="214" t="s">
        <v>42</v>
      </c>
      <c r="J21" s="215" t="s">
        <v>42</v>
      </c>
      <c r="K21" s="217" t="s">
        <v>42</v>
      </c>
      <c r="L21" s="214" t="s">
        <v>42</v>
      </c>
      <c r="M21" s="214" t="s">
        <v>42</v>
      </c>
      <c r="N21" s="215" t="s">
        <v>42</v>
      </c>
      <c r="O21" s="217">
        <v>0.45833333333333331</v>
      </c>
      <c r="P21" s="214">
        <v>0.58333333333333337</v>
      </c>
      <c r="Q21" s="216">
        <v>0.70833333333333337</v>
      </c>
      <c r="R21" s="215">
        <v>0.9375</v>
      </c>
      <c r="S21" s="217" t="s">
        <v>42</v>
      </c>
      <c r="T21" s="214" t="s">
        <v>42</v>
      </c>
      <c r="U21" s="214" t="s">
        <v>42</v>
      </c>
      <c r="V21" s="215" t="s">
        <v>42</v>
      </c>
      <c r="W21" s="217" t="s">
        <v>42</v>
      </c>
      <c r="X21" s="214" t="s">
        <v>42</v>
      </c>
      <c r="Y21" s="214" t="s">
        <v>42</v>
      </c>
      <c r="Z21" s="215" t="s">
        <v>42</v>
      </c>
      <c r="AA21" s="217">
        <v>0.375</v>
      </c>
      <c r="AB21" s="214">
        <v>0.875</v>
      </c>
      <c r="AC21" s="214"/>
      <c r="AD21" s="215"/>
      <c r="AE21" s="249">
        <f t="shared" si="14"/>
        <v>0.85416666666666674</v>
      </c>
      <c r="AF21" s="238"/>
      <c r="AG21" s="41"/>
      <c r="AH21" s="191">
        <f t="shared" si="29"/>
        <v>0</v>
      </c>
      <c r="AI21" s="191">
        <f t="shared" si="30"/>
        <v>0</v>
      </c>
      <c r="AJ21" s="191">
        <f t="shared" si="31"/>
        <v>0</v>
      </c>
      <c r="AK21" s="191">
        <f t="shared" si="32"/>
        <v>0</v>
      </c>
      <c r="AL21" s="191">
        <f t="shared" si="33"/>
        <v>0</v>
      </c>
      <c r="AM21" s="191">
        <f t="shared" si="34"/>
        <v>0</v>
      </c>
      <c r="AN21" s="191">
        <f t="shared" si="35"/>
        <v>0.12500000000000006</v>
      </c>
      <c r="AO21" s="191">
        <f t="shared" si="36"/>
        <v>0.22916666666666663</v>
      </c>
      <c r="AP21" s="191">
        <f t="shared" si="37"/>
        <v>0</v>
      </c>
      <c r="AQ21" s="191">
        <f t="shared" si="38"/>
        <v>0</v>
      </c>
      <c r="AR21" s="191">
        <f t="shared" si="39"/>
        <v>0</v>
      </c>
      <c r="AS21" s="191">
        <f t="shared" si="40"/>
        <v>0</v>
      </c>
      <c r="AT21" s="191">
        <f t="shared" si="41"/>
        <v>0.5</v>
      </c>
      <c r="AU21" s="191">
        <f t="shared" si="42"/>
        <v>0</v>
      </c>
      <c r="AV21" s="31"/>
    </row>
    <row r="22" spans="1:48">
      <c r="A22" s="321"/>
      <c r="B22" s="248" t="s">
        <v>399</v>
      </c>
      <c r="C22" s="217"/>
      <c r="D22" s="214"/>
      <c r="E22" s="214">
        <v>0.70833333333333337</v>
      </c>
      <c r="F22" s="215">
        <v>0.95833333333333337</v>
      </c>
      <c r="G22" s="217"/>
      <c r="H22" s="214"/>
      <c r="I22" s="214">
        <v>0.70833333333333337</v>
      </c>
      <c r="J22" s="215">
        <v>0.95833333333333337</v>
      </c>
      <c r="K22" s="217"/>
      <c r="L22" s="214"/>
      <c r="M22" s="214">
        <v>0.625</v>
      </c>
      <c r="N22" s="215">
        <v>0.97916666666666663</v>
      </c>
      <c r="O22" s="236"/>
      <c r="P22" s="218"/>
      <c r="Q22" s="216">
        <v>0.70833333333333337</v>
      </c>
      <c r="R22" s="215">
        <v>0.97916666666666663</v>
      </c>
      <c r="S22" s="217"/>
      <c r="T22" s="214"/>
      <c r="U22" s="214">
        <v>0.66666666666666663</v>
      </c>
      <c r="V22" s="215">
        <v>2.0833333333333332E-2</v>
      </c>
      <c r="W22" s="217">
        <v>0.45833333333333331</v>
      </c>
      <c r="X22" s="214">
        <v>0.625</v>
      </c>
      <c r="Y22" s="214" t="s">
        <v>42</v>
      </c>
      <c r="Z22" s="215" t="s">
        <v>42</v>
      </c>
      <c r="AA22" s="217" t="s">
        <v>42</v>
      </c>
      <c r="AB22" s="214" t="s">
        <v>42</v>
      </c>
      <c r="AC22" s="214" t="s">
        <v>42</v>
      </c>
      <c r="AD22" s="215" t="s">
        <v>42</v>
      </c>
      <c r="AE22" s="249">
        <f t="shared" ref="AE22" si="43">AH22+AI22+AJ22+AK22++AL22+AM22+AN22+AO22+AP22++AQ22+AR22+AS22+AT22+AU22</f>
        <v>1.6458333333333335</v>
      </c>
      <c r="AF22" s="238"/>
      <c r="AG22" s="41"/>
      <c r="AH22" s="191">
        <f t="shared" si="29"/>
        <v>0</v>
      </c>
      <c r="AI22" s="191">
        <f t="shared" si="30"/>
        <v>0.25</v>
      </c>
      <c r="AJ22" s="191">
        <f t="shared" si="31"/>
        <v>0</v>
      </c>
      <c r="AK22" s="191">
        <f t="shared" si="32"/>
        <v>0.25</v>
      </c>
      <c r="AL22" s="191">
        <f t="shared" si="33"/>
        <v>0</v>
      </c>
      <c r="AM22" s="191">
        <f t="shared" si="34"/>
        <v>0.35416666666666663</v>
      </c>
      <c r="AN22" s="191">
        <f t="shared" si="35"/>
        <v>0</v>
      </c>
      <c r="AO22" s="191">
        <f t="shared" si="36"/>
        <v>0.27083333333333326</v>
      </c>
      <c r="AP22" s="191">
        <f t="shared" si="37"/>
        <v>0</v>
      </c>
      <c r="AQ22" s="191">
        <f t="shared" si="38"/>
        <v>0.35416666666666674</v>
      </c>
      <c r="AR22" s="191">
        <f t="shared" si="39"/>
        <v>0.16666666666666669</v>
      </c>
      <c r="AS22" s="191">
        <f t="shared" si="40"/>
        <v>0</v>
      </c>
      <c r="AT22" s="191">
        <f t="shared" si="41"/>
        <v>0</v>
      </c>
      <c r="AU22" s="191">
        <f t="shared" si="42"/>
        <v>0</v>
      </c>
      <c r="AV22" s="31"/>
    </row>
    <row r="23" spans="1:48">
      <c r="A23" s="321"/>
      <c r="B23" s="253"/>
      <c r="C23" s="217"/>
      <c r="D23" s="214"/>
      <c r="E23" s="214"/>
      <c r="F23" s="215"/>
      <c r="G23" s="236"/>
      <c r="H23" s="218"/>
      <c r="I23" s="216"/>
      <c r="J23" s="215"/>
      <c r="K23" s="236"/>
      <c r="L23" s="218"/>
      <c r="M23" s="216"/>
      <c r="N23" s="215"/>
      <c r="O23" s="217"/>
      <c r="P23" s="214"/>
      <c r="Q23" s="214"/>
      <c r="R23" s="215"/>
      <c r="S23" s="217"/>
      <c r="T23" s="214"/>
      <c r="U23" s="216"/>
      <c r="V23" s="235"/>
      <c r="W23" s="230"/>
      <c r="X23" s="218"/>
      <c r="Y23" s="214"/>
      <c r="Z23" s="215"/>
      <c r="AA23" s="236"/>
      <c r="AB23" s="218"/>
      <c r="AC23" s="216"/>
      <c r="AD23" s="215"/>
      <c r="AE23" s="249">
        <f t="shared" si="14"/>
        <v>0</v>
      </c>
      <c r="AF23" s="238"/>
      <c r="AG23" s="41"/>
      <c r="AH23" s="191">
        <f t="shared" si="29"/>
        <v>0</v>
      </c>
      <c r="AI23" s="191">
        <f t="shared" si="30"/>
        <v>0</v>
      </c>
      <c r="AJ23" s="191">
        <f t="shared" si="31"/>
        <v>0</v>
      </c>
      <c r="AK23" s="191">
        <f t="shared" si="32"/>
        <v>0</v>
      </c>
      <c r="AL23" s="191">
        <f t="shared" si="33"/>
        <v>0</v>
      </c>
      <c r="AM23" s="191">
        <f t="shared" si="34"/>
        <v>0</v>
      </c>
      <c r="AN23" s="191">
        <f t="shared" si="35"/>
        <v>0</v>
      </c>
      <c r="AO23" s="191">
        <f t="shared" si="36"/>
        <v>0</v>
      </c>
      <c r="AP23" s="191">
        <f t="shared" si="37"/>
        <v>0</v>
      </c>
      <c r="AQ23" s="191">
        <f t="shared" si="38"/>
        <v>0</v>
      </c>
      <c r="AR23" s="191">
        <f t="shared" si="39"/>
        <v>0</v>
      </c>
      <c r="AS23" s="191">
        <f t="shared" si="40"/>
        <v>0</v>
      </c>
      <c r="AT23" s="191">
        <f t="shared" si="41"/>
        <v>0</v>
      </c>
      <c r="AU23" s="191">
        <f t="shared" si="42"/>
        <v>0</v>
      </c>
      <c r="AV23" s="31"/>
    </row>
    <row r="24" spans="1:48">
      <c r="A24" s="321"/>
      <c r="B24" s="253"/>
      <c r="C24" s="217"/>
      <c r="D24" s="214"/>
      <c r="E24" s="214"/>
      <c r="F24" s="215"/>
      <c r="G24" s="217"/>
      <c r="H24" s="214"/>
      <c r="I24" s="214"/>
      <c r="J24" s="215"/>
      <c r="K24" s="217"/>
      <c r="L24" s="214"/>
      <c r="M24" s="214"/>
      <c r="N24" s="215"/>
      <c r="O24" s="217"/>
      <c r="P24" s="214"/>
      <c r="Q24" s="214"/>
      <c r="R24" s="215"/>
      <c r="S24" s="217"/>
      <c r="T24" s="214"/>
      <c r="U24" s="214"/>
      <c r="V24" s="215"/>
      <c r="W24" s="217"/>
      <c r="X24" s="214"/>
      <c r="Y24" s="214"/>
      <c r="Z24" s="215"/>
      <c r="AA24" s="230"/>
      <c r="AB24" s="218"/>
      <c r="AC24" s="218"/>
      <c r="AD24" s="219"/>
      <c r="AE24" s="249">
        <f t="shared" si="14"/>
        <v>0</v>
      </c>
      <c r="AF24" s="238"/>
      <c r="AG24" s="41"/>
      <c r="AH24" s="191">
        <f t="shared" si="29"/>
        <v>0</v>
      </c>
      <c r="AI24" s="191">
        <f t="shared" si="30"/>
        <v>0</v>
      </c>
      <c r="AJ24" s="191">
        <f t="shared" si="31"/>
        <v>0</v>
      </c>
      <c r="AK24" s="191">
        <f t="shared" si="32"/>
        <v>0</v>
      </c>
      <c r="AL24" s="191">
        <f t="shared" si="33"/>
        <v>0</v>
      </c>
      <c r="AM24" s="191">
        <f t="shared" si="34"/>
        <v>0</v>
      </c>
      <c r="AN24" s="191">
        <f t="shared" si="35"/>
        <v>0</v>
      </c>
      <c r="AO24" s="191">
        <f t="shared" si="36"/>
        <v>0</v>
      </c>
      <c r="AP24" s="191">
        <f t="shared" si="37"/>
        <v>0</v>
      </c>
      <c r="AQ24" s="191">
        <f t="shared" si="38"/>
        <v>0</v>
      </c>
      <c r="AR24" s="191">
        <f t="shared" si="39"/>
        <v>0</v>
      </c>
      <c r="AS24" s="191">
        <f t="shared" si="40"/>
        <v>0</v>
      </c>
      <c r="AT24" s="191">
        <f t="shared" si="41"/>
        <v>0</v>
      </c>
      <c r="AU24" s="191">
        <f t="shared" si="42"/>
        <v>0</v>
      </c>
      <c r="AV24" s="31"/>
    </row>
    <row r="25" spans="1:48">
      <c r="A25" s="321"/>
      <c r="B25" s="255" t="s">
        <v>398</v>
      </c>
      <c r="C25" s="256"/>
      <c r="D25" s="257"/>
      <c r="E25" s="258"/>
      <c r="F25" s="259"/>
      <c r="G25" s="256"/>
      <c r="H25" s="257"/>
      <c r="I25" s="258"/>
      <c r="J25" s="259"/>
      <c r="K25" s="256"/>
      <c r="L25" s="257"/>
      <c r="M25" s="258"/>
      <c r="N25" s="259"/>
      <c r="O25" s="260"/>
      <c r="P25" s="261"/>
      <c r="Q25" s="261"/>
      <c r="R25" s="259"/>
      <c r="S25" s="260"/>
      <c r="T25" s="261"/>
      <c r="U25" s="261">
        <v>0.75</v>
      </c>
      <c r="V25" s="262">
        <v>0.91666666666666663</v>
      </c>
      <c r="W25" s="263"/>
      <c r="X25" s="257"/>
      <c r="Y25" s="261">
        <v>0.72916666666666663</v>
      </c>
      <c r="Z25" s="259">
        <v>0.91666666666666663</v>
      </c>
      <c r="AA25" s="256"/>
      <c r="AB25" s="257"/>
      <c r="AC25" s="258"/>
      <c r="AD25" s="259"/>
      <c r="AE25" s="249">
        <f t="shared" si="14"/>
        <v>0.35416666666666663</v>
      </c>
      <c r="AF25" s="238"/>
      <c r="AG25" s="41"/>
      <c r="AH25" s="191">
        <f t="shared" si="29"/>
        <v>0</v>
      </c>
      <c r="AI25" s="191">
        <f t="shared" si="30"/>
        <v>0</v>
      </c>
      <c r="AJ25" s="191">
        <f t="shared" si="31"/>
        <v>0</v>
      </c>
      <c r="AK25" s="191">
        <f t="shared" si="32"/>
        <v>0</v>
      </c>
      <c r="AL25" s="191">
        <f t="shared" si="33"/>
        <v>0</v>
      </c>
      <c r="AM25" s="191">
        <f t="shared" si="34"/>
        <v>0</v>
      </c>
      <c r="AN25" s="191">
        <f t="shared" si="35"/>
        <v>0</v>
      </c>
      <c r="AO25" s="191">
        <f t="shared" si="36"/>
        <v>0</v>
      </c>
      <c r="AP25" s="191">
        <f t="shared" si="37"/>
        <v>0</v>
      </c>
      <c r="AQ25" s="191">
        <f t="shared" si="38"/>
        <v>0.16666666666666663</v>
      </c>
      <c r="AR25" s="191">
        <f t="shared" si="39"/>
        <v>0</v>
      </c>
      <c r="AS25" s="191">
        <f t="shared" si="40"/>
        <v>0.1875</v>
      </c>
      <c r="AT25" s="191">
        <f t="shared" si="41"/>
        <v>0</v>
      </c>
      <c r="AU25" s="191">
        <f t="shared" si="42"/>
        <v>0</v>
      </c>
      <c r="AV25" s="31"/>
    </row>
    <row r="26" spans="1:48">
      <c r="A26" s="321"/>
      <c r="B26" s="253"/>
      <c r="C26" s="217"/>
      <c r="D26" s="214"/>
      <c r="E26" s="214"/>
      <c r="F26" s="215"/>
      <c r="G26" s="217"/>
      <c r="H26" s="214"/>
      <c r="I26" s="214"/>
      <c r="J26" s="215"/>
      <c r="K26" s="217"/>
      <c r="L26" s="214"/>
      <c r="M26" s="214"/>
      <c r="N26" s="215"/>
      <c r="O26" s="217"/>
      <c r="P26" s="214"/>
      <c r="Q26" s="214"/>
      <c r="R26" s="215"/>
      <c r="S26" s="217"/>
      <c r="T26" s="214"/>
      <c r="U26" s="214"/>
      <c r="V26" s="215"/>
      <c r="W26" s="217"/>
      <c r="X26" s="214"/>
      <c r="Y26" s="214"/>
      <c r="Z26" s="215"/>
      <c r="AA26" s="230"/>
      <c r="AB26" s="218"/>
      <c r="AC26" s="218"/>
      <c r="AD26" s="219"/>
      <c r="AE26" s="238">
        <f t="shared" si="14"/>
        <v>0</v>
      </c>
      <c r="AF26" s="238">
        <v>0</v>
      </c>
      <c r="AG26" s="41"/>
      <c r="AH26" s="191">
        <f t="shared" si="29"/>
        <v>0</v>
      </c>
      <c r="AI26" s="191">
        <f t="shared" si="30"/>
        <v>0</v>
      </c>
      <c r="AJ26" s="191">
        <f t="shared" si="31"/>
        <v>0</v>
      </c>
      <c r="AK26" s="191">
        <f t="shared" si="32"/>
        <v>0</v>
      </c>
      <c r="AL26" s="191">
        <f t="shared" si="33"/>
        <v>0</v>
      </c>
      <c r="AM26" s="191">
        <f t="shared" si="34"/>
        <v>0</v>
      </c>
      <c r="AN26" s="191">
        <f t="shared" si="35"/>
        <v>0</v>
      </c>
      <c r="AO26" s="191">
        <f t="shared" si="36"/>
        <v>0</v>
      </c>
      <c r="AP26" s="191">
        <f t="shared" si="37"/>
        <v>0</v>
      </c>
      <c r="AQ26" s="191">
        <f t="shared" si="38"/>
        <v>0</v>
      </c>
      <c r="AR26" s="191">
        <f t="shared" si="39"/>
        <v>0</v>
      </c>
      <c r="AS26" s="191">
        <f t="shared" si="40"/>
        <v>0</v>
      </c>
      <c r="AT26" s="191">
        <f t="shared" si="41"/>
        <v>0</v>
      </c>
      <c r="AU26" s="191">
        <f t="shared" si="42"/>
        <v>0</v>
      </c>
      <c r="AV26" s="31"/>
    </row>
    <row r="27" spans="1:48" ht="16" customHeight="1" thickBot="1">
      <c r="A27" s="321"/>
      <c r="B27" s="232"/>
      <c r="C27" s="216"/>
      <c r="D27" s="214"/>
      <c r="E27" s="214"/>
      <c r="F27" s="215"/>
      <c r="G27" s="217"/>
      <c r="H27" s="214"/>
      <c r="I27" s="214"/>
      <c r="J27" s="215"/>
      <c r="K27" s="217"/>
      <c r="L27" s="214"/>
      <c r="M27" s="214"/>
      <c r="N27" s="215"/>
      <c r="O27" s="217"/>
      <c r="P27" s="214"/>
      <c r="Q27" s="214"/>
      <c r="R27" s="215"/>
      <c r="S27" s="217"/>
      <c r="T27" s="214"/>
      <c r="U27" s="214"/>
      <c r="V27" s="215"/>
      <c r="W27" s="217"/>
      <c r="X27" s="214"/>
      <c r="Y27" s="214"/>
      <c r="Z27" s="215"/>
      <c r="AA27" s="217"/>
      <c r="AB27" s="214"/>
      <c r="AC27" s="214"/>
      <c r="AD27" s="215"/>
      <c r="AE27" s="238">
        <f t="shared" si="14"/>
        <v>0</v>
      </c>
      <c r="AF27" s="238"/>
      <c r="AG27" s="41"/>
      <c r="AH27" s="191">
        <f t="shared" si="15"/>
        <v>0</v>
      </c>
      <c r="AI27" s="191">
        <f t="shared" si="16"/>
        <v>0</v>
      </c>
      <c r="AJ27" s="191">
        <f t="shared" si="17"/>
        <v>0</v>
      </c>
      <c r="AK27" s="191">
        <f t="shared" si="18"/>
        <v>0</v>
      </c>
      <c r="AL27" s="191">
        <f t="shared" si="19"/>
        <v>0</v>
      </c>
      <c r="AM27" s="191">
        <f t="shared" si="20"/>
        <v>0</v>
      </c>
      <c r="AN27" s="191">
        <f t="shared" si="21"/>
        <v>0</v>
      </c>
      <c r="AO27" s="191">
        <f t="shared" si="22"/>
        <v>0</v>
      </c>
      <c r="AP27" s="191">
        <f t="shared" si="23"/>
        <v>0</v>
      </c>
      <c r="AQ27" s="191">
        <f t="shared" si="24"/>
        <v>0</v>
      </c>
      <c r="AR27" s="191">
        <f t="shared" si="25"/>
        <v>0</v>
      </c>
      <c r="AS27" s="191">
        <f t="shared" si="26"/>
        <v>0</v>
      </c>
      <c r="AT27" s="191">
        <f t="shared" si="27"/>
        <v>0</v>
      </c>
      <c r="AU27" s="191">
        <f t="shared" si="28"/>
        <v>0</v>
      </c>
      <c r="AV27" s="31"/>
    </row>
    <row r="28" spans="1:48" ht="11.5" customHeight="1" thickBot="1">
      <c r="A28" s="45"/>
      <c r="B28" s="210"/>
      <c r="C28" s="308" t="s">
        <v>369</v>
      </c>
      <c r="D28" s="309"/>
      <c r="E28" s="309"/>
      <c r="F28" s="310"/>
      <c r="G28" s="311" t="s">
        <v>378</v>
      </c>
      <c r="H28" s="312"/>
      <c r="I28" s="312"/>
      <c r="J28" s="313"/>
      <c r="K28" s="314" t="s">
        <v>379</v>
      </c>
      <c r="L28" s="315"/>
      <c r="M28" s="315"/>
      <c r="N28" s="315"/>
      <c r="O28" s="316" t="s">
        <v>390</v>
      </c>
      <c r="P28" s="317"/>
      <c r="Q28" s="317"/>
      <c r="R28" s="317"/>
      <c r="S28" s="318"/>
      <c r="T28" s="318"/>
      <c r="U28" s="318"/>
      <c r="V28" s="318"/>
      <c r="W28" s="318"/>
      <c r="X28" s="318"/>
      <c r="Y28" s="318"/>
      <c r="Z28" s="318"/>
      <c r="AA28" s="319" t="s">
        <v>400</v>
      </c>
      <c r="AB28" s="319"/>
      <c r="AC28" s="319"/>
      <c r="AD28" s="319"/>
      <c r="AE28" s="44"/>
      <c r="AF28" s="44"/>
      <c r="AG28" s="44"/>
      <c r="AH28" s="42"/>
      <c r="AI28" s="43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31"/>
    </row>
    <row r="29" spans="1:48" ht="16" thickBot="1">
      <c r="A29" s="291" t="s">
        <v>363</v>
      </c>
      <c r="B29" s="208" t="s">
        <v>387</v>
      </c>
      <c r="C29" s="217"/>
      <c r="D29" s="214"/>
      <c r="E29" s="214"/>
      <c r="F29" s="215"/>
      <c r="G29" s="217"/>
      <c r="H29" s="214"/>
      <c r="I29" s="214"/>
      <c r="J29" s="215"/>
      <c r="K29" s="217"/>
      <c r="L29" s="214"/>
      <c r="M29" s="214"/>
      <c r="N29" s="215"/>
      <c r="O29" s="217"/>
      <c r="P29" s="214"/>
      <c r="Q29" s="214"/>
      <c r="R29" s="215"/>
      <c r="S29" s="217"/>
      <c r="T29" s="214"/>
      <c r="U29" s="214"/>
      <c r="V29" s="215"/>
      <c r="W29" s="217"/>
      <c r="X29" s="214"/>
      <c r="Y29" s="214"/>
      <c r="Z29" s="215"/>
      <c r="AA29" s="217"/>
      <c r="AB29" s="216"/>
      <c r="AC29" s="216"/>
      <c r="AD29" s="235"/>
      <c r="AE29" s="44"/>
      <c r="AF29" s="44"/>
      <c r="AG29" s="44"/>
      <c r="AH29" s="191">
        <f t="shared" ref="AH29" si="44">IF(ISERROR(VALUE((MOD(D29-C29,1))))=TRUE,0,MOD(D29-C29,1))</f>
        <v>0</v>
      </c>
      <c r="AI29" s="191">
        <f t="shared" ref="AI29" si="45">IF(ISERROR(VALUE((MOD(F29-E29,1))))=TRUE,0,MOD(F29-E29,1))</f>
        <v>0</v>
      </c>
      <c r="AJ29" s="191">
        <f t="shared" ref="AJ29" si="46">IF(ISERROR(VALUE((MOD(H29-G29,1))))=TRUE,0,MOD(H29-G29,1))</f>
        <v>0</v>
      </c>
      <c r="AK29" s="191">
        <f t="shared" ref="AK29" si="47">IF(ISERROR(VALUE((MOD(J29-I29,1))))=TRUE,0,MOD(J29-I29,1))</f>
        <v>0</v>
      </c>
      <c r="AL29" s="191">
        <f t="shared" ref="AL29" si="48">IF(ISERROR(VALUE((MOD(L29-K29,1))))=TRUE,0,MOD(L29-K29,1))</f>
        <v>0</v>
      </c>
      <c r="AM29" s="191">
        <f t="shared" ref="AM29" si="49">IF(ISERROR(VALUE((MOD(N29-M29,1))))=TRUE,0,MOD(N29-M29,1))</f>
        <v>0</v>
      </c>
      <c r="AN29" s="191">
        <f t="shared" ref="AN29" si="50">IF(ISERROR(VALUE((MOD(P29-O29,1))))=TRUE,0,MOD(P29-O29,1))</f>
        <v>0</v>
      </c>
      <c r="AO29" s="191">
        <f t="shared" ref="AO29" si="51">IF(ISERROR(VALUE((MOD(R29-Q29,1))))=TRUE,0,MOD(R29-Q29,1))</f>
        <v>0</v>
      </c>
      <c r="AP29" s="191">
        <f t="shared" ref="AP29" si="52">IF(ISERROR(VALUE((MOD(T29-S29,1))))=TRUE,0,MOD(T29-S29,1))</f>
        <v>0</v>
      </c>
      <c r="AQ29" s="191">
        <f t="shared" ref="AQ29" si="53">IF(ISERROR(VALUE((MOD(V29-U29,1))))=TRUE,0,MOD(V29-U29,1))</f>
        <v>0</v>
      </c>
      <c r="AR29" s="191">
        <f t="shared" ref="AR29" si="54">IF(ISERROR(VALUE((MOD(X29-W29,1))))=TRUE,0,MOD(X29-W29,1))</f>
        <v>0</v>
      </c>
      <c r="AS29" s="191">
        <f t="shared" ref="AS29" si="55">IF(ISERROR(VALUE((MOD(Z29-Y29,1))))=TRUE,0,MOD(Z29-Y29,1))</f>
        <v>0</v>
      </c>
      <c r="AT29" s="191">
        <f t="shared" ref="AT29" si="56">IF(ISERROR(VALUE((MOD(AB29-AA29,1))))=TRUE,0,MOD(AB29-AA29,1))</f>
        <v>0</v>
      </c>
      <c r="AU29" s="191">
        <f t="shared" ref="AU29" si="57">IF(ISERROR(VALUE((MOD(AD29-AC29,1))))=TRUE,0,MOD(AD29-AC29,1))</f>
        <v>0</v>
      </c>
      <c r="AV29" s="31"/>
    </row>
    <row r="30" spans="1:48" ht="16" thickBot="1">
      <c r="A30" s="291"/>
      <c r="B30" s="198" t="s">
        <v>391</v>
      </c>
      <c r="C30" s="216"/>
      <c r="D30" s="214"/>
      <c r="E30" s="214"/>
      <c r="F30" s="215"/>
      <c r="G30" s="217"/>
      <c r="H30" s="214"/>
      <c r="I30" s="214"/>
      <c r="J30" s="215"/>
      <c r="K30" s="217"/>
      <c r="L30" s="214"/>
      <c r="M30" s="214"/>
      <c r="N30" s="215"/>
      <c r="O30" s="217"/>
      <c r="P30" s="214"/>
      <c r="Q30" s="214"/>
      <c r="R30" s="215"/>
      <c r="S30" s="217"/>
      <c r="T30" s="214"/>
      <c r="U30" s="214"/>
      <c r="V30" s="215"/>
      <c r="W30" s="217"/>
      <c r="X30" s="214"/>
      <c r="Y30" s="214"/>
      <c r="Z30" s="215"/>
      <c r="AA30" s="217"/>
      <c r="AB30" s="214"/>
      <c r="AC30" s="214"/>
      <c r="AD30" s="215"/>
      <c r="AE30" s="44"/>
      <c r="AF30" s="44"/>
      <c r="AG30" s="44"/>
      <c r="AH30" s="191">
        <f t="shared" ref="AH30:AH40" si="58">IF(ISERROR(VALUE((MOD(D30-C30,1))))=TRUE,0,MOD(D30-C30,1))</f>
        <v>0</v>
      </c>
      <c r="AI30" s="191">
        <f t="shared" ref="AI30:AI40" si="59">IF(ISERROR(VALUE((MOD(F30-E30,1))))=TRUE,0,MOD(F30-E30,1))</f>
        <v>0</v>
      </c>
      <c r="AJ30" s="191">
        <f t="shared" ref="AJ30:AJ40" si="60">IF(ISERROR(VALUE((MOD(H30-G30,1))))=TRUE,0,MOD(H30-G30,1))</f>
        <v>0</v>
      </c>
      <c r="AK30" s="191">
        <f t="shared" ref="AK30:AK40" si="61">IF(ISERROR(VALUE((MOD(J30-I30,1))))=TRUE,0,MOD(J30-I30,1))</f>
        <v>0</v>
      </c>
      <c r="AL30" s="191">
        <f t="shared" ref="AL30:AL40" si="62">IF(ISERROR(VALUE((MOD(L30-K30,1))))=TRUE,0,MOD(L30-K30,1))</f>
        <v>0</v>
      </c>
      <c r="AM30" s="191">
        <f t="shared" ref="AM30:AM40" si="63">IF(ISERROR(VALUE((MOD(N30-M30,1))))=TRUE,0,MOD(N30-M30,1))</f>
        <v>0</v>
      </c>
      <c r="AN30" s="191">
        <f t="shared" ref="AN30:AN40" si="64">IF(ISERROR(VALUE((MOD(P30-O30,1))))=TRUE,0,MOD(P30-O30,1))</f>
        <v>0</v>
      </c>
      <c r="AO30" s="191">
        <f t="shared" ref="AO30:AO40" si="65">IF(ISERROR(VALUE((MOD(R30-Q30,1))))=TRUE,0,MOD(R30-Q30,1))</f>
        <v>0</v>
      </c>
      <c r="AP30" s="191">
        <f t="shared" ref="AP30:AP40" si="66">IF(ISERROR(VALUE((MOD(T30-S30,1))))=TRUE,0,MOD(T30-S30,1))</f>
        <v>0</v>
      </c>
      <c r="AQ30" s="191">
        <f t="shared" ref="AQ30:AQ40" si="67">IF(ISERROR(VALUE((MOD(V30-U30,1))))=TRUE,0,MOD(V30-U30,1))</f>
        <v>0</v>
      </c>
      <c r="AR30" s="191">
        <f t="shared" ref="AR30:AR40" si="68">IF(ISERROR(VALUE((MOD(X30-W30,1))))=TRUE,0,MOD(X30-W30,1))</f>
        <v>0</v>
      </c>
      <c r="AS30" s="191">
        <f t="shared" ref="AS30:AS40" si="69">IF(ISERROR(VALUE((MOD(Z30-Y30,1))))=TRUE,0,MOD(Z30-Y30,1))</f>
        <v>0</v>
      </c>
      <c r="AT30" s="191">
        <f t="shared" ref="AT30:AT40" si="70">IF(ISERROR(VALUE((MOD(AB30-AA30,1))))=TRUE,0,MOD(AB30-AA30,1))</f>
        <v>0</v>
      </c>
      <c r="AU30" s="191">
        <f t="shared" ref="AU30:AU40" si="71">IF(ISERROR(VALUE((MOD(AD30-AC30,1))))=TRUE,0,MOD(AD30-AC30,1))</f>
        <v>0</v>
      </c>
      <c r="AV30" s="31"/>
    </row>
    <row r="31" spans="1:48" ht="16" thickBot="1">
      <c r="A31" s="291"/>
      <c r="B31" s="211" t="s">
        <v>365</v>
      </c>
      <c r="C31" s="216"/>
      <c r="D31" s="214"/>
      <c r="E31" s="214"/>
      <c r="F31" s="215"/>
      <c r="G31" s="216"/>
      <c r="H31" s="214"/>
      <c r="I31" s="214"/>
      <c r="J31" s="215"/>
      <c r="K31" s="217"/>
      <c r="L31" s="214"/>
      <c r="M31" s="214"/>
      <c r="N31" s="215"/>
      <c r="O31" s="217"/>
      <c r="P31" s="214"/>
      <c r="Q31" s="214"/>
      <c r="R31" s="215"/>
      <c r="S31" s="217"/>
      <c r="T31" s="214"/>
      <c r="U31" s="214"/>
      <c r="V31" s="215"/>
      <c r="W31" s="217"/>
      <c r="X31" s="214"/>
      <c r="Y31" s="214"/>
      <c r="Z31" s="215"/>
      <c r="AA31" s="217"/>
      <c r="AB31" s="214"/>
      <c r="AC31" s="214"/>
      <c r="AD31" s="215"/>
      <c r="AE31" s="44"/>
      <c r="AF31" s="44"/>
      <c r="AG31" s="44"/>
      <c r="AH31" s="191">
        <f t="shared" si="58"/>
        <v>0</v>
      </c>
      <c r="AI31" s="191">
        <f t="shared" si="59"/>
        <v>0</v>
      </c>
      <c r="AJ31" s="191">
        <f t="shared" si="60"/>
        <v>0</v>
      </c>
      <c r="AK31" s="191">
        <f t="shared" si="61"/>
        <v>0</v>
      </c>
      <c r="AL31" s="191">
        <f t="shared" si="62"/>
        <v>0</v>
      </c>
      <c r="AM31" s="191">
        <f>IF(ISERROR(VALUE((MOD(N31-M31,1))))=TRUE,0,MOD(N31-M31,1))</f>
        <v>0</v>
      </c>
      <c r="AN31" s="191">
        <f t="shared" si="64"/>
        <v>0</v>
      </c>
      <c r="AO31" s="191">
        <f t="shared" si="65"/>
        <v>0</v>
      </c>
      <c r="AP31" s="191">
        <f t="shared" si="66"/>
        <v>0</v>
      </c>
      <c r="AQ31" s="191">
        <f t="shared" si="67"/>
        <v>0</v>
      </c>
      <c r="AR31" s="191">
        <f t="shared" si="68"/>
        <v>0</v>
      </c>
      <c r="AS31" s="191">
        <f t="shared" si="69"/>
        <v>0</v>
      </c>
      <c r="AT31" s="191">
        <f t="shared" si="70"/>
        <v>0</v>
      </c>
      <c r="AU31" s="191">
        <f t="shared" si="71"/>
        <v>0</v>
      </c>
      <c r="AV31" s="31"/>
    </row>
    <row r="32" spans="1:48" ht="16" thickBot="1">
      <c r="A32" s="291"/>
      <c r="B32" s="211" t="s">
        <v>392</v>
      </c>
      <c r="C32" s="217"/>
      <c r="D32" s="216"/>
      <c r="E32" s="216"/>
      <c r="F32" s="235"/>
      <c r="G32" s="217"/>
      <c r="H32" s="216"/>
      <c r="I32" s="216"/>
      <c r="J32" s="235"/>
      <c r="K32" s="216"/>
      <c r="L32" s="214"/>
      <c r="M32" s="214"/>
      <c r="N32" s="215"/>
      <c r="O32" s="216"/>
      <c r="P32" s="214"/>
      <c r="Q32" s="214"/>
      <c r="R32" s="215"/>
      <c r="S32" s="216"/>
      <c r="T32" s="214"/>
      <c r="U32" s="214"/>
      <c r="V32" s="215"/>
      <c r="W32" s="216"/>
      <c r="X32" s="214"/>
      <c r="Y32" s="214"/>
      <c r="Z32" s="215"/>
      <c r="AA32" s="214"/>
      <c r="AB32" s="246"/>
      <c r="AC32" s="247"/>
      <c r="AD32" s="235"/>
      <c r="AE32" s="44"/>
      <c r="AF32" s="44"/>
      <c r="AG32" s="44"/>
      <c r="AH32" s="191">
        <f t="shared" si="58"/>
        <v>0</v>
      </c>
      <c r="AI32" s="191">
        <f t="shared" si="59"/>
        <v>0</v>
      </c>
      <c r="AJ32" s="191">
        <f t="shared" si="60"/>
        <v>0</v>
      </c>
      <c r="AK32" s="191">
        <f t="shared" si="61"/>
        <v>0</v>
      </c>
      <c r="AL32" s="191">
        <f t="shared" si="62"/>
        <v>0</v>
      </c>
      <c r="AM32" s="191">
        <f>IF(ISERROR(VALUE((MOD(N32-M32,1))))=TRUE,0,MOD(N32-M32,1))</f>
        <v>0</v>
      </c>
      <c r="AN32" s="191">
        <f t="shared" si="64"/>
        <v>0</v>
      </c>
      <c r="AO32" s="191">
        <f t="shared" si="65"/>
        <v>0</v>
      </c>
      <c r="AP32" s="191">
        <f t="shared" si="66"/>
        <v>0</v>
      </c>
      <c r="AQ32" s="191">
        <f t="shared" si="67"/>
        <v>0</v>
      </c>
      <c r="AR32" s="191">
        <f t="shared" si="68"/>
        <v>0</v>
      </c>
      <c r="AS32" s="191">
        <f t="shared" si="69"/>
        <v>0</v>
      </c>
      <c r="AT32" s="191">
        <f t="shared" si="70"/>
        <v>0</v>
      </c>
      <c r="AU32" s="191">
        <f t="shared" si="71"/>
        <v>0</v>
      </c>
      <c r="AV32" s="31"/>
    </row>
    <row r="33" spans="1:220" ht="16" thickBot="1">
      <c r="A33" s="291"/>
      <c r="B33" s="211" t="s">
        <v>393</v>
      </c>
      <c r="C33" s="216"/>
      <c r="D33" s="214"/>
      <c r="E33" s="214"/>
      <c r="F33" s="215"/>
      <c r="G33" s="217"/>
      <c r="H33" s="216"/>
      <c r="I33" s="216"/>
      <c r="J33" s="235"/>
      <c r="K33" s="217"/>
      <c r="L33" s="216"/>
      <c r="M33" s="216"/>
      <c r="N33" s="235"/>
      <c r="O33" s="217"/>
      <c r="P33" s="214"/>
      <c r="Q33" s="214"/>
      <c r="R33" s="215"/>
      <c r="S33" s="217"/>
      <c r="T33" s="216"/>
      <c r="U33" s="214"/>
      <c r="V33" s="215"/>
      <c r="W33" s="217"/>
      <c r="X33" s="216"/>
      <c r="Y33" s="214"/>
      <c r="Z33" s="215"/>
      <c r="AA33" s="217"/>
      <c r="AB33" s="214"/>
      <c r="AC33" s="244"/>
      <c r="AD33" s="215"/>
      <c r="AE33" s="44"/>
      <c r="AF33" s="44"/>
      <c r="AG33" s="44"/>
      <c r="AH33" s="191">
        <f t="shared" si="58"/>
        <v>0</v>
      </c>
      <c r="AI33" s="191">
        <f t="shared" si="59"/>
        <v>0</v>
      </c>
      <c r="AJ33" s="191">
        <f t="shared" si="60"/>
        <v>0</v>
      </c>
      <c r="AK33" s="191">
        <f t="shared" si="61"/>
        <v>0</v>
      </c>
      <c r="AL33" s="191">
        <f t="shared" si="62"/>
        <v>0</v>
      </c>
      <c r="AM33" s="191">
        <f t="shared" si="63"/>
        <v>0</v>
      </c>
      <c r="AN33" s="191">
        <f t="shared" si="64"/>
        <v>0</v>
      </c>
      <c r="AO33" s="191">
        <f t="shared" si="65"/>
        <v>0</v>
      </c>
      <c r="AP33" s="191">
        <f t="shared" si="66"/>
        <v>0</v>
      </c>
      <c r="AQ33" s="191">
        <f t="shared" si="67"/>
        <v>0</v>
      </c>
      <c r="AR33" s="191">
        <f t="shared" si="68"/>
        <v>0</v>
      </c>
      <c r="AS33" s="191">
        <f t="shared" si="69"/>
        <v>0</v>
      </c>
      <c r="AT33" s="191">
        <f t="shared" si="70"/>
        <v>0</v>
      </c>
      <c r="AU33" s="191">
        <f t="shared" si="71"/>
        <v>0</v>
      </c>
      <c r="AV33" s="31"/>
    </row>
    <row r="34" spans="1:220" ht="16" thickBot="1">
      <c r="A34" s="291"/>
      <c r="B34" s="254" t="s">
        <v>396</v>
      </c>
      <c r="C34" s="216"/>
      <c r="D34" s="214"/>
      <c r="E34" s="214"/>
      <c r="F34" s="215"/>
      <c r="G34" s="217"/>
      <c r="H34" s="214"/>
      <c r="I34" s="214"/>
      <c r="J34" s="215"/>
      <c r="K34" s="217"/>
      <c r="L34" s="214"/>
      <c r="M34" s="214"/>
      <c r="N34" s="215"/>
      <c r="O34" s="217"/>
      <c r="P34" s="214"/>
      <c r="Q34" s="214"/>
      <c r="R34" s="215"/>
      <c r="S34" s="217"/>
      <c r="T34" s="214"/>
      <c r="U34" s="214"/>
      <c r="V34" s="215"/>
      <c r="W34" s="217"/>
      <c r="X34" s="214"/>
      <c r="Y34" s="214"/>
      <c r="Z34" s="215"/>
      <c r="AA34" s="217"/>
      <c r="AB34" s="214"/>
      <c r="AC34" s="214"/>
      <c r="AD34" s="215"/>
      <c r="AE34" s="44"/>
      <c r="AF34" s="44"/>
      <c r="AG34" s="44"/>
      <c r="AH34" s="191">
        <f t="shared" si="58"/>
        <v>0</v>
      </c>
      <c r="AI34" s="191">
        <f t="shared" si="59"/>
        <v>0</v>
      </c>
      <c r="AJ34" s="191">
        <f t="shared" si="60"/>
        <v>0</v>
      </c>
      <c r="AK34" s="191">
        <f t="shared" si="61"/>
        <v>0</v>
      </c>
      <c r="AL34" s="191">
        <f t="shared" si="62"/>
        <v>0</v>
      </c>
      <c r="AM34" s="191">
        <f t="shared" si="63"/>
        <v>0</v>
      </c>
      <c r="AN34" s="191">
        <f t="shared" si="64"/>
        <v>0</v>
      </c>
      <c r="AO34" s="191">
        <f t="shared" si="65"/>
        <v>0</v>
      </c>
      <c r="AP34" s="191">
        <f t="shared" si="66"/>
        <v>0</v>
      </c>
      <c r="AQ34" s="191">
        <f t="shared" si="67"/>
        <v>0</v>
      </c>
      <c r="AR34" s="191">
        <f t="shared" si="68"/>
        <v>0</v>
      </c>
      <c r="AS34" s="191">
        <f t="shared" si="69"/>
        <v>0</v>
      </c>
      <c r="AT34" s="191">
        <f t="shared" si="70"/>
        <v>0</v>
      </c>
      <c r="AU34" s="191">
        <f t="shared" si="71"/>
        <v>0</v>
      </c>
      <c r="AV34" s="31"/>
    </row>
    <row r="35" spans="1:220" ht="16" thickBot="1">
      <c r="A35" s="291"/>
      <c r="B35" s="248"/>
      <c r="C35" s="217"/>
      <c r="D35" s="216"/>
      <c r="E35" s="216"/>
      <c r="F35" s="235"/>
      <c r="G35" s="217"/>
      <c r="H35" s="216"/>
      <c r="I35" s="216"/>
      <c r="J35" s="235"/>
      <c r="K35" s="217"/>
      <c r="L35" s="214"/>
      <c r="M35" s="214"/>
      <c r="N35" s="215"/>
      <c r="O35" s="217"/>
      <c r="P35" s="214"/>
      <c r="Q35" s="214"/>
      <c r="R35" s="215"/>
      <c r="S35" s="217"/>
      <c r="T35" s="214"/>
      <c r="U35" s="214"/>
      <c r="V35" s="215"/>
      <c r="W35" s="217"/>
      <c r="X35" s="214"/>
      <c r="Y35" s="214"/>
      <c r="Z35" s="215"/>
      <c r="AA35" s="217"/>
      <c r="AB35" s="214"/>
      <c r="AC35" s="214"/>
      <c r="AD35" s="215"/>
      <c r="AE35" s="44"/>
      <c r="AF35" s="44"/>
      <c r="AG35" s="44"/>
      <c r="AH35" s="191">
        <f t="shared" si="58"/>
        <v>0</v>
      </c>
      <c r="AI35" s="191">
        <f t="shared" si="59"/>
        <v>0</v>
      </c>
      <c r="AJ35" s="191">
        <f t="shared" si="60"/>
        <v>0</v>
      </c>
      <c r="AK35" s="191">
        <f t="shared" si="61"/>
        <v>0</v>
      </c>
      <c r="AL35" s="191">
        <f t="shared" si="62"/>
        <v>0</v>
      </c>
      <c r="AM35" s="191">
        <f t="shared" si="63"/>
        <v>0</v>
      </c>
      <c r="AN35" s="191">
        <f t="shared" si="64"/>
        <v>0</v>
      </c>
      <c r="AO35" s="191">
        <f t="shared" si="65"/>
        <v>0</v>
      </c>
      <c r="AP35" s="191">
        <f t="shared" si="66"/>
        <v>0</v>
      </c>
      <c r="AQ35" s="191">
        <f t="shared" si="67"/>
        <v>0</v>
      </c>
      <c r="AR35" s="191">
        <f t="shared" si="68"/>
        <v>0</v>
      </c>
      <c r="AS35" s="191">
        <f t="shared" si="69"/>
        <v>0</v>
      </c>
      <c r="AT35" s="191">
        <f t="shared" si="70"/>
        <v>0</v>
      </c>
      <c r="AU35" s="191">
        <f t="shared" si="71"/>
        <v>0</v>
      </c>
      <c r="AV35" s="31"/>
    </row>
    <row r="36" spans="1:220" ht="16" thickBot="1">
      <c r="A36" s="291"/>
      <c r="B36" s="211" t="s">
        <v>394</v>
      </c>
      <c r="C36" s="216"/>
      <c r="D36" s="214"/>
      <c r="E36" s="214"/>
      <c r="F36" s="215"/>
      <c r="G36" s="216"/>
      <c r="H36" s="214"/>
      <c r="I36" s="214"/>
      <c r="J36" s="215"/>
      <c r="K36" s="216"/>
      <c r="L36" s="214"/>
      <c r="M36" s="214"/>
      <c r="N36" s="215"/>
      <c r="O36" s="216"/>
      <c r="P36" s="214"/>
      <c r="Q36" s="214"/>
      <c r="R36" s="215"/>
      <c r="S36" s="216"/>
      <c r="T36" s="214"/>
      <c r="U36" s="214"/>
      <c r="V36" s="215"/>
      <c r="W36" s="217"/>
      <c r="X36" s="214"/>
      <c r="Y36" s="216"/>
      <c r="Z36" s="235"/>
      <c r="AA36" s="217"/>
      <c r="AB36" s="214"/>
      <c r="AC36" s="216"/>
      <c r="AD36" s="235"/>
      <c r="AE36" s="44"/>
      <c r="AF36" s="44"/>
      <c r="AG36" s="44"/>
      <c r="AH36" s="191">
        <f t="shared" si="58"/>
        <v>0</v>
      </c>
      <c r="AI36" s="191">
        <f t="shared" si="59"/>
        <v>0</v>
      </c>
      <c r="AJ36" s="191">
        <f t="shared" si="60"/>
        <v>0</v>
      </c>
      <c r="AK36" s="191">
        <f t="shared" si="61"/>
        <v>0</v>
      </c>
      <c r="AL36" s="191">
        <f t="shared" si="62"/>
        <v>0</v>
      </c>
      <c r="AM36" s="191">
        <f t="shared" si="63"/>
        <v>0</v>
      </c>
      <c r="AN36" s="191">
        <f t="shared" si="64"/>
        <v>0</v>
      </c>
      <c r="AO36" s="191">
        <f t="shared" si="65"/>
        <v>0</v>
      </c>
      <c r="AP36" s="191">
        <f t="shared" si="66"/>
        <v>0</v>
      </c>
      <c r="AQ36" s="191">
        <f t="shared" si="67"/>
        <v>0</v>
      </c>
      <c r="AR36" s="191">
        <f t="shared" si="68"/>
        <v>0</v>
      </c>
      <c r="AS36" s="191">
        <f t="shared" si="69"/>
        <v>0</v>
      </c>
      <c r="AT36" s="191">
        <f t="shared" si="70"/>
        <v>0</v>
      </c>
      <c r="AU36" s="191">
        <f t="shared" si="71"/>
        <v>0</v>
      </c>
      <c r="AV36" s="31"/>
    </row>
    <row r="37" spans="1:220" ht="16" thickBot="1">
      <c r="A37" s="291"/>
      <c r="B37" s="212" t="s">
        <v>395</v>
      </c>
      <c r="C37" s="216"/>
      <c r="D37" s="214"/>
      <c r="E37" s="214"/>
      <c r="F37" s="215"/>
      <c r="G37" s="217"/>
      <c r="H37" s="214"/>
      <c r="I37" s="214"/>
      <c r="J37" s="215"/>
      <c r="K37" s="217"/>
      <c r="L37" s="214"/>
      <c r="M37" s="214"/>
      <c r="N37" s="215"/>
      <c r="O37" s="217"/>
      <c r="P37" s="214"/>
      <c r="Q37" s="214"/>
      <c r="R37" s="215"/>
      <c r="S37" s="217"/>
      <c r="T37" s="214"/>
      <c r="U37" s="214"/>
      <c r="V37" s="215"/>
      <c r="W37" s="216"/>
      <c r="X37" s="216"/>
      <c r="Y37" s="216"/>
      <c r="Z37" s="235"/>
      <c r="AA37" s="216"/>
      <c r="AB37" s="216"/>
      <c r="AC37" s="216"/>
      <c r="AD37" s="235"/>
      <c r="AE37" s="44"/>
      <c r="AF37" s="44"/>
      <c r="AG37" s="44"/>
      <c r="AH37" s="191">
        <f t="shared" si="58"/>
        <v>0</v>
      </c>
      <c r="AI37" s="191">
        <f t="shared" si="59"/>
        <v>0</v>
      </c>
      <c r="AJ37" s="191">
        <f t="shared" si="60"/>
        <v>0</v>
      </c>
      <c r="AK37" s="191">
        <f t="shared" si="61"/>
        <v>0</v>
      </c>
      <c r="AL37" s="191">
        <f t="shared" si="62"/>
        <v>0</v>
      </c>
      <c r="AM37" s="191">
        <f t="shared" si="63"/>
        <v>0</v>
      </c>
      <c r="AN37" s="191">
        <f t="shared" si="64"/>
        <v>0</v>
      </c>
      <c r="AO37" s="191">
        <f t="shared" si="65"/>
        <v>0</v>
      </c>
      <c r="AP37" s="191">
        <f t="shared" si="66"/>
        <v>0</v>
      </c>
      <c r="AQ37" s="191">
        <f t="shared" si="67"/>
        <v>0</v>
      </c>
      <c r="AR37" s="191">
        <f t="shared" si="68"/>
        <v>0</v>
      </c>
      <c r="AS37" s="191">
        <f t="shared" si="69"/>
        <v>0</v>
      </c>
      <c r="AT37" s="191">
        <f t="shared" si="70"/>
        <v>0</v>
      </c>
      <c r="AU37" s="191">
        <f t="shared" si="71"/>
        <v>0</v>
      </c>
      <c r="AV37" s="31"/>
    </row>
    <row r="38" spans="1:220" ht="12.75" customHeight="1" thickBot="1">
      <c r="A38" s="292"/>
      <c r="B38" s="201"/>
      <c r="C38" s="202"/>
      <c r="D38" s="203"/>
      <c r="E38" s="203"/>
      <c r="F38" s="204"/>
      <c r="G38" s="202"/>
      <c r="H38" s="203"/>
      <c r="I38" s="203"/>
      <c r="J38" s="204"/>
      <c r="K38" s="202"/>
      <c r="L38" s="203"/>
      <c r="M38" s="203"/>
      <c r="N38" s="204"/>
      <c r="O38" s="202"/>
      <c r="P38" s="203"/>
      <c r="Q38" s="203"/>
      <c r="R38" s="204"/>
      <c r="S38" s="202"/>
      <c r="T38" s="203"/>
      <c r="U38" s="203"/>
      <c r="V38" s="204"/>
      <c r="W38" s="202"/>
      <c r="X38" s="203"/>
      <c r="Y38" s="203"/>
      <c r="Z38" s="204"/>
      <c r="AA38" s="205"/>
      <c r="AB38" s="206"/>
      <c r="AC38" s="206"/>
      <c r="AD38" s="207"/>
      <c r="AE38" s="44"/>
      <c r="AF38" s="44"/>
      <c r="AG38" s="44"/>
      <c r="AH38" s="191">
        <f>IF(ISERROR(VALUE((MOD(D38-C38,1))))=TRUE,0,MOD(D38-C38,1))</f>
        <v>0</v>
      </c>
      <c r="AI38" s="191">
        <f>IF(ISERROR(VALUE((MOD(F38-E38,1))))=TRUE,0,MOD(F38-E38,1))</f>
        <v>0</v>
      </c>
      <c r="AJ38" s="191">
        <f>IF(ISERROR(VALUE((MOD(H38-G38,1))))=TRUE,0,MOD(H38-G38,1))</f>
        <v>0</v>
      </c>
      <c r="AK38" s="191">
        <f>IF(ISERROR(VALUE((MOD(J38-I38,1))))=TRUE,0,MOD(J38-I38,1))</f>
        <v>0</v>
      </c>
      <c r="AL38" s="191">
        <f>IF(ISERROR(VALUE((MOD(L38-K38,1))))=TRUE,0,MOD(L38-K38,1))</f>
        <v>0</v>
      </c>
      <c r="AM38" s="191">
        <f>IF(ISERROR(VALUE((MOD(N38-M38,1))))=TRUE,0,MOD(N38-M38,1))</f>
        <v>0</v>
      </c>
      <c r="AN38" s="191">
        <f>IF(ISERROR(VALUE((MOD(P38-O38,1))))=TRUE,0,MOD(P38-O38,1))</f>
        <v>0</v>
      </c>
      <c r="AO38" s="191">
        <f>IF(ISERROR(VALUE((MOD(R38-Q38,1))))=TRUE,0,MOD(R38-Q38,1))</f>
        <v>0</v>
      </c>
      <c r="AP38" s="191">
        <f>IF(ISERROR(VALUE((MOD(T38-S38,1))))=TRUE,0,MOD(T38-S38,1))</f>
        <v>0</v>
      </c>
      <c r="AQ38" s="191">
        <f>IF(ISERROR(VALUE((MOD(V38-U38,1))))=TRUE,0,MOD(V38-U38,1))</f>
        <v>0</v>
      </c>
      <c r="AR38" s="191">
        <f>IF(ISERROR(VALUE((MOD(X38-W38,1))))=TRUE,0,MOD(X38-W38,1))</f>
        <v>0</v>
      </c>
      <c r="AS38" s="191">
        <f>IF(ISERROR(VALUE((MOD(Z38-Y38,1))))=TRUE,0,MOD(Z38-Y38,1))</f>
        <v>0</v>
      </c>
      <c r="AT38" s="191">
        <f>IF(ISERROR(VALUE((MOD(AB38-AA38,1))))=TRUE,0,MOD(AB38-AA38,1))</f>
        <v>0</v>
      </c>
      <c r="AU38" s="191">
        <f>IF(ISERROR(VALUE((MOD(AD38-AC38,1))))=TRUE,0,MOD(AD38-AC38,1))</f>
        <v>0</v>
      </c>
      <c r="AV38" s="31"/>
    </row>
    <row r="39" spans="1:220" ht="16" thickBot="1">
      <c r="A39" s="292"/>
      <c r="B39" s="194" t="s">
        <v>364</v>
      </c>
      <c r="C39" s="216"/>
      <c r="D39" s="214"/>
      <c r="E39" s="195"/>
      <c r="F39" s="196"/>
      <c r="G39" s="217"/>
      <c r="H39" s="214"/>
      <c r="I39" s="195"/>
      <c r="J39" s="196"/>
      <c r="K39" s="217"/>
      <c r="L39" s="214"/>
      <c r="M39" s="195"/>
      <c r="N39" s="196"/>
      <c r="O39" s="233"/>
      <c r="P39" s="234"/>
      <c r="Q39" s="195"/>
      <c r="R39" s="196"/>
      <c r="S39" s="217"/>
      <c r="T39" s="214"/>
      <c r="U39" s="195"/>
      <c r="V39" s="196"/>
      <c r="W39" s="200"/>
      <c r="X39" s="197"/>
      <c r="Y39" s="241"/>
      <c r="Z39" s="242"/>
      <c r="AA39" s="209"/>
      <c r="AB39" s="195"/>
      <c r="AC39" s="195"/>
      <c r="AD39" s="196"/>
      <c r="AE39" s="44"/>
      <c r="AF39" s="44"/>
      <c r="AG39" s="44"/>
      <c r="AH39" s="191">
        <f>IF(ISERROR(VALUE((MOD(D39-C39,1))))=TRUE,0,MOD(D39-C39,1))</f>
        <v>0</v>
      </c>
      <c r="AI39" s="191">
        <f>IF(ISERROR(VALUE((MOD(F39-E39,1))))=TRUE,0,MOD(F39-E39,1))</f>
        <v>0</v>
      </c>
      <c r="AJ39" s="191">
        <f>IF(ISERROR(VALUE((MOD(H39-G39,1))))=TRUE,0,MOD(H39-G39,1))</f>
        <v>0</v>
      </c>
      <c r="AK39" s="191">
        <f>IF(ISERROR(VALUE((MOD(J39-I39,1))))=TRUE,0,MOD(J39-I39,1))</f>
        <v>0</v>
      </c>
      <c r="AL39" s="191">
        <f>IF(ISERROR(VALUE((MOD(L39-K39,1))))=TRUE,0,MOD(L39-K39,1))</f>
        <v>0</v>
      </c>
      <c r="AM39" s="191">
        <f>IF(ISERROR(VALUE((MOD(N39-M39,1))))=TRUE,0,MOD(N39-M39,1))</f>
        <v>0</v>
      </c>
      <c r="AN39" s="191">
        <f>IF(ISERROR(VALUE((MOD(P39-O39,1))))=TRUE,0,MOD(P39-O39,1))</f>
        <v>0</v>
      </c>
      <c r="AO39" s="191">
        <f>IF(ISERROR(VALUE((MOD(R39-Q39,1))))=TRUE,0,MOD(R39-Q39,1))</f>
        <v>0</v>
      </c>
      <c r="AP39" s="191">
        <f>IF(ISERROR(VALUE((MOD(T39-S39,1))))=TRUE,0,MOD(T39-S39,1))</f>
        <v>0</v>
      </c>
      <c r="AQ39" s="191">
        <f>IF(ISERROR(VALUE((MOD(V39-U39,1))))=TRUE,0,MOD(V39-U39,1))</f>
        <v>0</v>
      </c>
      <c r="AR39" s="191">
        <f>IF(ISERROR(VALUE((MOD(X39-W39,1))))=TRUE,0,MOD(X39-W39,1))</f>
        <v>0</v>
      </c>
      <c r="AS39" s="191">
        <f>IF(ISERROR(VALUE((MOD(Z39-Y39,1))))=TRUE,0,MOD(Z39-Y39,1))</f>
        <v>0</v>
      </c>
      <c r="AT39" s="191">
        <f>IF(ISERROR(VALUE((MOD(AB39-AA39,1))))=TRUE,0,MOD(AB39-AA39,1))</f>
        <v>0</v>
      </c>
      <c r="AU39" s="191">
        <f>IF(ISERROR(VALUE((MOD(AD39-AC39,1))))=TRUE,0,MOD(AD39-AC39,1))</f>
        <v>0</v>
      </c>
      <c r="AV39" s="31"/>
    </row>
    <row r="40" spans="1:220" ht="11.5" customHeight="1" thickBot="1">
      <c r="A40" s="292"/>
      <c r="B40" s="46"/>
      <c r="C40" s="295" t="s">
        <v>367</v>
      </c>
      <c r="D40" s="296"/>
      <c r="E40" s="296"/>
      <c r="F40" s="297"/>
      <c r="G40" s="298" t="s">
        <v>62</v>
      </c>
      <c r="H40" s="299"/>
      <c r="I40" s="299"/>
      <c r="J40" s="300"/>
      <c r="K40" s="301" t="s">
        <v>368</v>
      </c>
      <c r="L40" s="301"/>
      <c r="M40" s="301"/>
      <c r="N40" s="301"/>
      <c r="O40" s="302" t="s">
        <v>372</v>
      </c>
      <c r="P40" s="302"/>
      <c r="Q40" s="302"/>
      <c r="R40" s="302"/>
      <c r="S40" s="303" t="s">
        <v>43</v>
      </c>
      <c r="T40" s="304"/>
      <c r="U40" s="304"/>
      <c r="V40" s="305"/>
      <c r="W40" s="306" t="s">
        <v>373</v>
      </c>
      <c r="X40" s="306"/>
      <c r="Y40" s="306"/>
      <c r="Z40" s="306"/>
      <c r="AA40" s="307" t="s">
        <v>371</v>
      </c>
      <c r="AB40" s="307"/>
      <c r="AC40" s="307"/>
      <c r="AD40" s="307"/>
      <c r="AE40" s="44"/>
      <c r="AF40" s="44"/>
      <c r="AG40" s="44"/>
      <c r="AH40" s="191">
        <f t="shared" si="58"/>
        <v>0</v>
      </c>
      <c r="AI40" s="191">
        <f t="shared" si="59"/>
        <v>0</v>
      </c>
      <c r="AJ40" s="191">
        <f t="shared" si="60"/>
        <v>0</v>
      </c>
      <c r="AK40" s="191">
        <f t="shared" si="61"/>
        <v>0</v>
      </c>
      <c r="AL40" s="191">
        <f t="shared" si="62"/>
        <v>0</v>
      </c>
      <c r="AM40" s="191">
        <f t="shared" si="63"/>
        <v>0</v>
      </c>
      <c r="AN40" s="191">
        <f t="shared" si="64"/>
        <v>0</v>
      </c>
      <c r="AO40" s="191">
        <f t="shared" si="65"/>
        <v>0</v>
      </c>
      <c r="AP40" s="191">
        <f t="shared" si="66"/>
        <v>0</v>
      </c>
      <c r="AQ40" s="191">
        <f t="shared" si="67"/>
        <v>0</v>
      </c>
      <c r="AR40" s="191">
        <f t="shared" si="68"/>
        <v>0</v>
      </c>
      <c r="AS40" s="191">
        <f t="shared" si="69"/>
        <v>0</v>
      </c>
      <c r="AT40" s="191">
        <f t="shared" si="70"/>
        <v>0</v>
      </c>
      <c r="AU40" s="191">
        <f t="shared" si="71"/>
        <v>0</v>
      </c>
      <c r="AV40" s="31"/>
    </row>
    <row r="41" spans="1:220" s="23" customFormat="1" ht="12.75" customHeight="1" thickBot="1">
      <c r="A41" s="47"/>
      <c r="B41" s="48" t="s">
        <v>262</v>
      </c>
      <c r="C41" s="288">
        <v>0.10416666666666667</v>
      </c>
      <c r="D41" s="288"/>
      <c r="E41" s="288"/>
      <c r="F41" s="288"/>
      <c r="G41" s="288">
        <v>0.10416666666666667</v>
      </c>
      <c r="H41" s="288"/>
      <c r="I41" s="288"/>
      <c r="J41" s="288"/>
      <c r="K41" s="288">
        <v>0.10416666666666667</v>
      </c>
      <c r="L41" s="288"/>
      <c r="M41" s="288"/>
      <c r="N41" s="288"/>
      <c r="O41" s="288">
        <v>0.17708333333333334</v>
      </c>
      <c r="P41" s="288"/>
      <c r="Q41" s="288"/>
      <c r="R41" s="288"/>
      <c r="S41" s="288">
        <v>0.24305555555555555</v>
      </c>
      <c r="T41" s="288"/>
      <c r="U41" s="288"/>
      <c r="V41" s="288"/>
      <c r="W41" s="288">
        <v>0.27083333333333331</v>
      </c>
      <c r="X41" s="288"/>
      <c r="Y41" s="288"/>
      <c r="Z41" s="288"/>
      <c r="AA41" s="288">
        <v>0.125</v>
      </c>
      <c r="AB41" s="288"/>
      <c r="AC41" s="288"/>
      <c r="AD41" s="288"/>
      <c r="AE41" s="27"/>
      <c r="AF41" s="27"/>
      <c r="AG41" s="27"/>
      <c r="AH41" s="42"/>
      <c r="AI41" s="43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31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  <c r="GS41" s="24"/>
      <c r="GT41" s="24"/>
      <c r="GU41" s="24"/>
      <c r="GV41" s="24"/>
      <c r="GW41" s="24"/>
      <c r="GX41" s="24"/>
      <c r="GY41" s="24"/>
      <c r="GZ41" s="24"/>
      <c r="HA41" s="24"/>
      <c r="HB41" s="24"/>
      <c r="HC41" s="24"/>
      <c r="HD41" s="24"/>
      <c r="HE41" s="24"/>
      <c r="HF41" s="24"/>
      <c r="HG41" s="24"/>
      <c r="HH41" s="24"/>
      <c r="HI41" s="24"/>
      <c r="HJ41" s="24"/>
      <c r="HK41" s="24"/>
      <c r="HL41" s="24"/>
    </row>
    <row r="42" spans="1:220" s="23" customFormat="1" ht="14.25" customHeight="1">
      <c r="B42" s="49"/>
      <c r="C42" s="49"/>
      <c r="D42" s="49"/>
      <c r="E42" s="49"/>
      <c r="F42" s="49"/>
      <c r="G42" s="49"/>
      <c r="H42" s="49"/>
      <c r="I42" s="49"/>
      <c r="J42" s="49"/>
      <c r="K42" s="50"/>
      <c r="L42" s="51"/>
      <c r="M42" s="51"/>
      <c r="N42" s="51"/>
      <c r="O42" s="51"/>
      <c r="P42" s="51"/>
      <c r="Q42" s="51"/>
      <c r="R42" s="51"/>
      <c r="S42" s="287"/>
      <c r="T42" s="287"/>
      <c r="U42" s="287"/>
      <c r="V42" s="287"/>
      <c r="W42" s="52"/>
      <c r="X42" s="52"/>
      <c r="Y42" s="52"/>
      <c r="Z42" s="52"/>
      <c r="AA42" s="287"/>
      <c r="AB42" s="287"/>
      <c r="AC42" s="287"/>
      <c r="AD42" s="287"/>
      <c r="AE42" s="27"/>
      <c r="AF42" s="27"/>
      <c r="AG42" s="27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31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</row>
    <row r="43" spans="1:220" s="23" customFormat="1" ht="14.25" customHeight="1">
      <c r="A43" s="54"/>
      <c r="B43" s="55" t="s">
        <v>263</v>
      </c>
      <c r="C43" s="56"/>
      <c r="D43" s="56" t="s">
        <v>264</v>
      </c>
      <c r="E43" s="56"/>
      <c r="F43" s="56"/>
      <c r="G43" s="56"/>
      <c r="H43" s="56"/>
      <c r="I43" s="56"/>
      <c r="J43" s="57"/>
      <c r="K43" s="283"/>
      <c r="L43" s="283"/>
      <c r="M43" s="283"/>
      <c r="N43" s="283"/>
      <c r="O43" s="283"/>
      <c r="P43" s="283"/>
      <c r="Q43" s="283"/>
      <c r="R43" s="283"/>
      <c r="S43" s="283"/>
      <c r="T43" s="52"/>
      <c r="U43" s="52"/>
      <c r="V43" s="52"/>
      <c r="W43" s="52" t="s">
        <v>383</v>
      </c>
      <c r="X43" s="52"/>
      <c r="Y43" s="52" t="s">
        <v>384</v>
      </c>
      <c r="Z43" s="52"/>
      <c r="AA43" s="52"/>
      <c r="AB43" s="52"/>
      <c r="AC43" s="52"/>
      <c r="AD43" s="58"/>
      <c r="AE43" s="27"/>
      <c r="AF43" s="27"/>
      <c r="AG43" s="59" t="s">
        <v>265</v>
      </c>
      <c r="AH43" s="60">
        <f>SUM(AH10:AH41)</f>
        <v>0.29166666666666674</v>
      </c>
      <c r="AI43" s="60">
        <f>SUM(AI10:AI40)</f>
        <v>2.458333333333333</v>
      </c>
      <c r="AJ43" s="60">
        <f t="shared" ref="AJ43:AU43" si="72">SUM(AJ10:AJ41)</f>
        <v>0.4166666666666668</v>
      </c>
      <c r="AK43" s="60">
        <f t="shared" si="72"/>
        <v>1.916666666666667</v>
      </c>
      <c r="AL43" s="60">
        <f t="shared" si="72"/>
        <v>0.70833333333333348</v>
      </c>
      <c r="AM43" s="60">
        <f t="shared" si="72"/>
        <v>2.2916666666666661</v>
      </c>
      <c r="AN43" s="60">
        <f t="shared" si="72"/>
        <v>0.99999999999999978</v>
      </c>
      <c r="AO43" s="60">
        <f t="shared" si="72"/>
        <v>2.270833333333333</v>
      </c>
      <c r="AP43" s="60">
        <f t="shared" si="72"/>
        <v>1.0416666666666667</v>
      </c>
      <c r="AQ43" s="60">
        <f t="shared" si="72"/>
        <v>3.0416666666666665</v>
      </c>
      <c r="AR43" s="60">
        <f t="shared" si="72"/>
        <v>0.45833333333333343</v>
      </c>
      <c r="AS43" s="60">
        <f t="shared" si="72"/>
        <v>4.1666666666666661</v>
      </c>
      <c r="AT43" s="60">
        <f t="shared" si="72"/>
        <v>1.1666666666666667</v>
      </c>
      <c r="AU43" s="60">
        <f t="shared" si="72"/>
        <v>1.7291666666666665</v>
      </c>
      <c r="AV43" s="31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</row>
    <row r="44" spans="1:220" s="23" customFormat="1" ht="14.25" customHeight="1">
      <c r="A44" s="54"/>
      <c r="B44" s="61" t="s">
        <v>266</v>
      </c>
      <c r="C44" s="62"/>
      <c r="D44" s="62" t="s">
        <v>267</v>
      </c>
      <c r="E44" s="62"/>
      <c r="F44" s="62"/>
      <c r="G44" s="62"/>
      <c r="H44" s="62"/>
      <c r="I44" s="62"/>
      <c r="J44" s="63"/>
      <c r="K44" s="283"/>
      <c r="L44" s="283"/>
      <c r="M44" s="283"/>
      <c r="N44" s="283"/>
      <c r="O44" s="283"/>
      <c r="P44" s="283"/>
      <c r="Q44" s="283"/>
      <c r="R44" s="283"/>
      <c r="S44" s="283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8"/>
      <c r="AE44" s="27"/>
      <c r="AF44" s="27"/>
      <c r="AG44" s="64" t="s">
        <v>268</v>
      </c>
      <c r="AH44" s="284">
        <f>SUM(AH43:AI43)-C41</f>
        <v>2.6458333333333335</v>
      </c>
      <c r="AI44" s="284"/>
      <c r="AJ44" s="284">
        <f>SUM(AJ43:AK43)-G41</f>
        <v>2.2291666666666674</v>
      </c>
      <c r="AK44" s="284"/>
      <c r="AL44" s="284">
        <f>SUM(AL43:AM43)-K41</f>
        <v>2.895833333333333</v>
      </c>
      <c r="AM44" s="284"/>
      <c r="AN44" s="284">
        <f>SUM(AN43:AO43)-O41</f>
        <v>3.0937499999999996</v>
      </c>
      <c r="AO44" s="284"/>
      <c r="AP44" s="284">
        <f>SUM(AP43:AQ43)-S41</f>
        <v>3.8402777777777777</v>
      </c>
      <c r="AQ44" s="284"/>
      <c r="AR44" s="284">
        <f>SUM(AR43:AS43)-W41</f>
        <v>4.3541666666666661</v>
      </c>
      <c r="AS44" s="284"/>
      <c r="AT44" s="284">
        <f>SUM(AT43:AU43)-AA41</f>
        <v>2.770833333333333</v>
      </c>
      <c r="AU44" s="284"/>
      <c r="AV44" s="65">
        <f>SUM(AH44:AU44)</f>
        <v>21.829861111111111</v>
      </c>
      <c r="AW44" s="24">
        <v>1362</v>
      </c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</row>
    <row r="45" spans="1:220" s="23" customFormat="1" ht="14.25" customHeight="1">
      <c r="A45" s="54"/>
      <c r="B45" s="66" t="s">
        <v>269</v>
      </c>
      <c r="C45" s="67"/>
      <c r="D45" s="67" t="s">
        <v>270</v>
      </c>
      <c r="E45" s="67"/>
      <c r="F45" s="67"/>
      <c r="G45" s="67"/>
      <c r="H45" s="67"/>
      <c r="I45" s="67"/>
      <c r="J45" s="68"/>
      <c r="K45" s="285"/>
      <c r="L45" s="285"/>
      <c r="M45" s="285"/>
      <c r="N45" s="285"/>
      <c r="O45" s="285"/>
      <c r="P45" s="285"/>
      <c r="Q45" s="285"/>
      <c r="R45" s="285"/>
      <c r="S45" s="285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8"/>
      <c r="AE45" s="27"/>
      <c r="AF45" s="27"/>
      <c r="AG45" s="69">
        <f>AJ1</f>
        <v>28</v>
      </c>
      <c r="AH45" s="286">
        <f>AH44*24*AG45</f>
        <v>1778</v>
      </c>
      <c r="AI45" s="286"/>
      <c r="AJ45" s="286">
        <f>AJ44*24*AG45</f>
        <v>1498.0000000000005</v>
      </c>
      <c r="AK45" s="286"/>
      <c r="AL45" s="286">
        <f>AL44*24*AG45</f>
        <v>1946</v>
      </c>
      <c r="AM45" s="286"/>
      <c r="AN45" s="286">
        <f>AN44*24*AG45</f>
        <v>2078.9999999999995</v>
      </c>
      <c r="AO45" s="286"/>
      <c r="AP45" s="286">
        <f>AP44*24*AG45</f>
        <v>2580.6666666666665</v>
      </c>
      <c r="AQ45" s="286"/>
      <c r="AR45" s="286">
        <f>AR44*24*AG45</f>
        <v>2925.9999999999995</v>
      </c>
      <c r="AS45" s="286"/>
      <c r="AT45" s="286">
        <f>AT44*24*AG45</f>
        <v>1862</v>
      </c>
      <c r="AU45" s="286"/>
      <c r="AV45" s="31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</row>
    <row r="46" spans="1:220" s="23" customFormat="1" ht="14.25" customHeight="1">
      <c r="A46" s="54"/>
      <c r="B46" s="61" t="s">
        <v>271</v>
      </c>
      <c r="C46" s="71"/>
      <c r="D46" s="71" t="s">
        <v>272</v>
      </c>
      <c r="E46" s="71"/>
      <c r="F46" s="71"/>
      <c r="G46" s="71"/>
      <c r="H46" s="71"/>
      <c r="I46" s="71"/>
      <c r="J46" s="72"/>
      <c r="K46" s="290"/>
      <c r="L46" s="290"/>
      <c r="M46" s="290"/>
      <c r="N46" s="290"/>
      <c r="O46" s="290"/>
      <c r="P46" s="290"/>
      <c r="Q46" s="290"/>
      <c r="R46" s="290"/>
      <c r="S46" s="290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8"/>
      <c r="AE46" s="27"/>
      <c r="AF46" s="27"/>
      <c r="AG46" s="28" t="s">
        <v>258</v>
      </c>
      <c r="AH46" s="281">
        <f>100/AH5*AH45/100</f>
        <v>0.35560000000000003</v>
      </c>
      <c r="AI46" s="281"/>
      <c r="AJ46" s="281">
        <f>100/AJ5*AJ45/100</f>
        <v>0.24966666666666676</v>
      </c>
      <c r="AK46" s="281"/>
      <c r="AL46" s="281">
        <f>100/AL5*AL45/100</f>
        <v>0.32433333333333331</v>
      </c>
      <c r="AM46" s="281"/>
      <c r="AN46" s="281">
        <f>100/AN5*AN45/100</f>
        <v>0.25987499999999997</v>
      </c>
      <c r="AO46" s="281"/>
      <c r="AP46" s="281">
        <f>100/AP5*AP45/100</f>
        <v>0.21505555555555553</v>
      </c>
      <c r="AQ46" s="281"/>
      <c r="AR46" s="281">
        <f>100/AR5*AR45/100</f>
        <v>0.24383333333333329</v>
      </c>
      <c r="AS46" s="281"/>
      <c r="AT46" s="281">
        <f>100/AT5*AT45/100</f>
        <v>0.26599999999999996</v>
      </c>
      <c r="AU46" s="281"/>
      <c r="AV46" s="31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</row>
    <row r="47" spans="1:220" s="23" customFormat="1" ht="14.25" customHeight="1">
      <c r="A47" s="73"/>
      <c r="B47" s="74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E47" s="27"/>
      <c r="AF47" s="27"/>
      <c r="AG47" s="28" t="s">
        <v>273</v>
      </c>
      <c r="AH47" s="70">
        <f>SUM(AH46:AU46)</f>
        <v>1.9143638888888892</v>
      </c>
      <c r="AI47" s="76">
        <f>AH47/7</f>
        <v>0.27348055555555562</v>
      </c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31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</row>
    <row r="48" spans="1:220" s="23" customFormat="1" ht="14.25" customHeight="1">
      <c r="A48" s="20"/>
      <c r="B48" s="74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E48" s="192"/>
      <c r="AF48" s="24"/>
      <c r="AG48" s="24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25"/>
      <c r="AV48" s="26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</row>
    <row r="49" spans="1:200" s="23" customFormat="1" ht="14.25" customHeight="1">
      <c r="A49" s="20"/>
      <c r="B49" s="74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E49" s="24"/>
      <c r="AF49" s="24"/>
      <c r="AG49" s="24"/>
      <c r="AH49" s="78"/>
      <c r="AI49" s="25"/>
      <c r="AJ49" s="78"/>
      <c r="AK49" s="25"/>
      <c r="AL49" s="78"/>
      <c r="AM49" s="25"/>
      <c r="AN49" s="78"/>
      <c r="AO49" s="25"/>
      <c r="AP49" s="78"/>
      <c r="AQ49" s="25"/>
      <c r="AR49" s="78"/>
      <c r="AS49" s="25"/>
      <c r="AT49" s="78"/>
      <c r="AU49" s="25"/>
      <c r="AV49" s="26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</row>
    <row r="50" spans="1:200" s="23" customFormat="1" ht="14.25" customHeight="1">
      <c r="A50" s="20"/>
      <c r="B50" s="80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E50" s="24"/>
      <c r="AF50" s="24"/>
      <c r="AG50" s="24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6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</row>
    <row r="51" spans="1:200" s="23" customFormat="1" ht="14.25" customHeight="1">
      <c r="A51" s="20"/>
      <c r="B51" s="81"/>
      <c r="C51" s="289" t="s">
        <v>274</v>
      </c>
      <c r="D51" s="289"/>
      <c r="E51" s="289"/>
      <c r="F51" s="289" t="s">
        <v>275</v>
      </c>
      <c r="G51" s="289"/>
      <c r="H51" s="289"/>
      <c r="I51" s="289" t="s">
        <v>276</v>
      </c>
      <c r="J51" s="289"/>
      <c r="K51" s="289"/>
      <c r="L51" s="289" t="s">
        <v>277</v>
      </c>
      <c r="M51" s="289"/>
      <c r="N51" s="289"/>
      <c r="O51" s="289" t="s">
        <v>278</v>
      </c>
      <c r="P51" s="289"/>
      <c r="Q51" s="289"/>
      <c r="R51" s="289" t="s">
        <v>279</v>
      </c>
      <c r="S51" s="289"/>
      <c r="T51" s="289"/>
      <c r="U51" s="289" t="s">
        <v>280</v>
      </c>
      <c r="V51" s="289"/>
      <c r="W51" s="289"/>
      <c r="X51" s="82"/>
      <c r="Y51" s="83" t="s">
        <v>281</v>
      </c>
      <c r="Z51" s="83"/>
      <c r="AA51" s="83"/>
      <c r="AB51" s="83"/>
      <c r="AC51" s="82"/>
      <c r="AD51" s="84"/>
      <c r="AE51" s="24"/>
      <c r="AF51" s="24"/>
      <c r="AG51" s="24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6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</row>
    <row r="52" spans="1:200" s="23" customFormat="1" ht="14.25" customHeight="1">
      <c r="A52" s="20"/>
      <c r="B52" s="85"/>
      <c r="C52" s="22"/>
      <c r="D52" s="22"/>
      <c r="E52" s="22"/>
      <c r="G52" s="22"/>
      <c r="H52" s="22"/>
      <c r="I52" s="22"/>
      <c r="K52" s="22"/>
      <c r="L52" s="22"/>
      <c r="M52" s="22"/>
      <c r="O52" s="22"/>
      <c r="P52" s="22"/>
      <c r="Q52" s="22"/>
      <c r="S52" s="22"/>
      <c r="T52" s="22"/>
      <c r="U52" s="22"/>
      <c r="W52" s="22"/>
      <c r="X52" s="22"/>
      <c r="Y52" s="22"/>
      <c r="AA52" s="22"/>
      <c r="AB52" s="22"/>
      <c r="AC52" s="22"/>
      <c r="AE52" s="86"/>
      <c r="AF52" s="24"/>
      <c r="AG52" s="24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6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</row>
    <row r="53" spans="1:200" s="23" customFormat="1" ht="14.25" customHeight="1">
      <c r="A53" s="20"/>
      <c r="B53" s="85"/>
      <c r="C53" s="22"/>
      <c r="D53" s="22"/>
      <c r="E53" s="22"/>
      <c r="G53" s="22"/>
      <c r="H53" s="22"/>
      <c r="I53" s="22"/>
      <c r="K53" s="22"/>
      <c r="L53" s="22"/>
      <c r="M53" s="22"/>
      <c r="O53" s="22"/>
      <c r="P53" s="22"/>
      <c r="Q53" s="22"/>
      <c r="S53" s="22"/>
      <c r="T53" s="22"/>
      <c r="U53" s="22"/>
      <c r="W53" s="22"/>
      <c r="X53" s="22"/>
      <c r="Y53" s="22"/>
      <c r="AA53" s="22"/>
      <c r="AB53" s="22"/>
      <c r="AC53" s="22"/>
      <c r="AE53" s="83"/>
      <c r="AF53" s="24"/>
      <c r="AG53" s="24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6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</row>
    <row r="54" spans="1:200" s="23" customFormat="1" ht="14.25" customHeight="1">
      <c r="A54" s="20"/>
      <c r="B54" s="85"/>
      <c r="C54" s="22"/>
      <c r="D54" s="22"/>
      <c r="E54" s="22"/>
      <c r="G54" s="22"/>
      <c r="H54" s="22"/>
      <c r="I54" s="22"/>
      <c r="K54" s="22"/>
      <c r="L54" s="22"/>
      <c r="M54" s="22"/>
      <c r="O54" s="22"/>
      <c r="P54" s="22"/>
      <c r="Q54" s="22"/>
      <c r="S54" s="22"/>
      <c r="T54" s="22"/>
      <c r="U54" s="22"/>
      <c r="W54" s="22"/>
      <c r="X54" s="22"/>
      <c r="Y54" s="22"/>
      <c r="AA54" s="22"/>
      <c r="AB54" s="22"/>
      <c r="AC54" s="22"/>
      <c r="AE54" s="83"/>
      <c r="AF54" s="24"/>
      <c r="AG54" s="24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6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</row>
    <row r="55" spans="1:200" s="23" customFormat="1" ht="14.25" customHeight="1">
      <c r="A55" s="20"/>
      <c r="B55" s="85"/>
      <c r="C55" s="22"/>
      <c r="D55" s="22"/>
      <c r="E55" s="22"/>
      <c r="G55" s="22"/>
      <c r="H55" s="22"/>
      <c r="I55" s="22"/>
      <c r="K55" s="22"/>
      <c r="L55" s="22"/>
      <c r="M55" s="22"/>
      <c r="O55" s="22"/>
      <c r="P55" s="22"/>
      <c r="Q55" s="22"/>
      <c r="S55" s="22"/>
      <c r="T55" s="22"/>
      <c r="U55" s="22"/>
      <c r="W55" s="22"/>
      <c r="X55" s="22"/>
      <c r="Y55" s="22"/>
      <c r="AA55" s="22"/>
      <c r="AB55" s="22"/>
      <c r="AC55" s="22"/>
      <c r="AE55" s="24"/>
      <c r="AF55" s="24"/>
      <c r="AG55" s="24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6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</row>
    <row r="56" spans="1:200" s="23" customFormat="1" ht="14.25" customHeight="1">
      <c r="A56" s="20"/>
      <c r="B56" s="85"/>
      <c r="C56" s="22"/>
      <c r="D56" s="22"/>
      <c r="E56" s="22"/>
      <c r="G56" s="22"/>
      <c r="H56" s="22"/>
      <c r="I56" s="22"/>
      <c r="K56" s="22"/>
      <c r="L56" s="22"/>
      <c r="M56" s="22"/>
      <c r="O56" s="22"/>
      <c r="P56" s="22"/>
      <c r="Q56" s="22"/>
      <c r="S56" s="22"/>
      <c r="T56" s="22"/>
      <c r="U56" s="22"/>
      <c r="W56" s="22"/>
      <c r="X56" s="22"/>
      <c r="Y56" s="22"/>
      <c r="AA56" s="22"/>
      <c r="AB56" s="22"/>
      <c r="AC56" s="22"/>
      <c r="AE56" s="24"/>
      <c r="AF56" s="24"/>
      <c r="AG56" s="24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6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</row>
    <row r="57" spans="1:200" s="23" customFormat="1" ht="14.25" customHeight="1">
      <c r="A57" s="20"/>
      <c r="B57" s="85"/>
      <c r="C57" s="22"/>
      <c r="D57" s="22"/>
      <c r="E57" s="22"/>
      <c r="G57" s="22"/>
      <c r="H57" s="22"/>
      <c r="I57" s="22"/>
      <c r="K57" s="22"/>
      <c r="L57" s="22"/>
      <c r="M57" s="22"/>
      <c r="O57" s="22"/>
      <c r="P57" s="22"/>
      <c r="Q57" s="22"/>
      <c r="S57" s="22"/>
      <c r="T57" s="22"/>
      <c r="U57" s="22"/>
      <c r="W57" s="22"/>
      <c r="X57" s="22"/>
      <c r="Y57" s="22"/>
      <c r="AA57" s="22"/>
      <c r="AB57" s="22"/>
      <c r="AC57" s="22"/>
      <c r="AE57" s="24"/>
      <c r="AF57" s="24"/>
      <c r="AG57" s="24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6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</row>
    <row r="58" spans="1:200" s="23" customFormat="1" ht="14.25" customHeight="1">
      <c r="A58" s="20"/>
      <c r="B58" s="85"/>
      <c r="C58" s="22"/>
      <c r="D58" s="22"/>
      <c r="E58" s="22"/>
      <c r="G58" s="22"/>
      <c r="H58" s="22"/>
      <c r="I58" s="22"/>
      <c r="K58" s="22"/>
      <c r="L58" s="22"/>
      <c r="M58" s="22"/>
      <c r="O58" s="22"/>
      <c r="P58" s="22"/>
      <c r="Q58" s="22"/>
      <c r="S58" s="22"/>
      <c r="T58" s="22"/>
      <c r="U58" s="22"/>
      <c r="W58" s="22"/>
      <c r="X58" s="22"/>
      <c r="Y58" s="22"/>
      <c r="AA58" s="22"/>
      <c r="AB58" s="22"/>
      <c r="AC58" s="22"/>
      <c r="AE58" s="24"/>
      <c r="AF58" s="24"/>
      <c r="AG58" s="24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6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</row>
    <row r="59" spans="1:200" s="23" customFormat="1" ht="14.25" customHeight="1">
      <c r="A59" s="20"/>
      <c r="B59" s="85"/>
      <c r="C59" s="22"/>
      <c r="D59" s="22"/>
      <c r="E59" s="22"/>
      <c r="G59" s="22"/>
      <c r="H59" s="22"/>
      <c r="I59" s="22"/>
      <c r="K59" s="22"/>
      <c r="L59" s="22"/>
      <c r="M59" s="22"/>
      <c r="O59" s="22"/>
      <c r="P59" s="22"/>
      <c r="Q59" s="22"/>
      <c r="S59" s="22"/>
      <c r="T59" s="22"/>
      <c r="U59" s="22"/>
      <c r="W59" s="22"/>
      <c r="X59" s="22"/>
      <c r="Y59" s="22"/>
      <c r="AA59" s="22"/>
      <c r="AB59" s="22"/>
      <c r="AC59" s="22"/>
      <c r="AE59" s="24"/>
      <c r="AF59" s="24"/>
      <c r="AG59" s="24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6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</row>
    <row r="60" spans="1:200" s="23" customFormat="1" ht="14.25" customHeight="1">
      <c r="A60" s="20"/>
      <c r="B60" s="85"/>
      <c r="C60" s="22"/>
      <c r="D60" s="22"/>
      <c r="E60" s="22"/>
      <c r="G60" s="22"/>
      <c r="H60" s="22"/>
      <c r="I60" s="22"/>
      <c r="K60" s="22"/>
      <c r="L60" s="22"/>
      <c r="M60" s="22"/>
      <c r="O60" s="22"/>
      <c r="P60" s="22"/>
      <c r="Q60" s="22"/>
      <c r="S60" s="22"/>
      <c r="T60" s="22"/>
      <c r="U60" s="22"/>
      <c r="W60" s="22"/>
      <c r="X60" s="22"/>
      <c r="Y60" s="22"/>
      <c r="AA60" s="22"/>
      <c r="AB60" s="22"/>
      <c r="AC60" s="22"/>
      <c r="AE60" s="24"/>
      <c r="AF60" s="24"/>
      <c r="AG60" s="24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6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</row>
    <row r="61" spans="1:200" s="23" customFormat="1" ht="14.25" customHeight="1">
      <c r="A61" s="20"/>
      <c r="B61" s="85"/>
      <c r="C61" s="22"/>
      <c r="D61" s="22"/>
      <c r="E61" s="22"/>
      <c r="G61" s="22"/>
      <c r="H61" s="22"/>
      <c r="I61" s="22"/>
      <c r="K61" s="22"/>
      <c r="L61" s="22"/>
      <c r="M61" s="22"/>
      <c r="O61" s="22"/>
      <c r="P61" s="22"/>
      <c r="Q61" s="22"/>
      <c r="S61" s="22"/>
      <c r="T61" s="22"/>
      <c r="U61" s="22"/>
      <c r="W61" s="22"/>
      <c r="X61" s="22"/>
      <c r="Y61" s="22"/>
      <c r="AA61" s="22"/>
      <c r="AB61" s="22"/>
      <c r="AC61" s="22"/>
      <c r="AE61" s="24"/>
      <c r="AF61" s="24"/>
      <c r="AG61" s="24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6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</row>
    <row r="62" spans="1:200" s="23" customFormat="1" ht="14.25" customHeight="1">
      <c r="A62" s="20"/>
      <c r="B62" s="85"/>
      <c r="C62" s="22"/>
      <c r="D62" s="22"/>
      <c r="E62" s="22"/>
      <c r="G62" s="22"/>
      <c r="H62" s="22"/>
      <c r="I62" s="22"/>
      <c r="K62" s="22"/>
      <c r="L62" s="22"/>
      <c r="M62" s="22"/>
      <c r="O62" s="22"/>
      <c r="P62" s="22"/>
      <c r="Q62" s="22"/>
      <c r="S62" s="22"/>
      <c r="T62" s="22"/>
      <c r="U62" s="22"/>
      <c r="W62" s="22"/>
      <c r="X62" s="22"/>
      <c r="Y62" s="22"/>
      <c r="AA62" s="22"/>
      <c r="AB62" s="22"/>
      <c r="AC62" s="22"/>
      <c r="AE62" s="24"/>
      <c r="AF62" s="24"/>
      <c r="AG62" s="24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6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</row>
    <row r="63" spans="1:200" s="23" customFormat="1" ht="14.25" customHeight="1">
      <c r="A63" s="20"/>
      <c r="B63" s="85"/>
      <c r="C63" s="22"/>
      <c r="D63" s="22"/>
      <c r="E63" s="22"/>
      <c r="G63" s="22"/>
      <c r="H63" s="22"/>
      <c r="I63" s="22"/>
      <c r="K63" s="22"/>
      <c r="L63" s="22"/>
      <c r="M63" s="22"/>
      <c r="O63" s="22"/>
      <c r="P63" s="22"/>
      <c r="Q63" s="22"/>
      <c r="S63" s="22"/>
      <c r="T63" s="22"/>
      <c r="U63" s="22"/>
      <c r="W63" s="22"/>
      <c r="X63" s="22"/>
      <c r="Y63" s="22"/>
      <c r="AA63" s="22"/>
      <c r="AB63" s="22"/>
      <c r="AC63" s="22"/>
      <c r="AE63" s="24"/>
      <c r="AF63" s="24"/>
      <c r="AG63" s="24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6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</row>
    <row r="64" spans="1:200" s="23" customFormat="1" ht="14.25" customHeight="1">
      <c r="A64" s="20"/>
      <c r="B64" s="85"/>
      <c r="C64" s="22"/>
      <c r="D64" s="22"/>
      <c r="E64" s="22"/>
      <c r="G64" s="22"/>
      <c r="H64" s="22"/>
      <c r="I64" s="22"/>
      <c r="K64" s="22"/>
      <c r="L64" s="22"/>
      <c r="M64" s="22"/>
      <c r="O64" s="22"/>
      <c r="P64" s="22"/>
      <c r="Q64" s="22"/>
      <c r="S64" s="22"/>
      <c r="T64" s="22"/>
      <c r="U64" s="22"/>
      <c r="W64" s="22"/>
      <c r="X64" s="22"/>
      <c r="Y64" s="22"/>
      <c r="AA64" s="22"/>
      <c r="AB64" s="22"/>
      <c r="AC64" s="22"/>
      <c r="AE64" s="24"/>
      <c r="AF64" s="24"/>
      <c r="AG64" s="24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6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</row>
    <row r="65" spans="1:200" s="23" customFormat="1" ht="14.25" customHeight="1">
      <c r="A65" s="20"/>
      <c r="B65" s="85"/>
      <c r="C65" s="22"/>
      <c r="D65" s="22"/>
      <c r="E65" s="22"/>
      <c r="G65" s="22"/>
      <c r="H65" s="22"/>
      <c r="I65" s="22"/>
      <c r="K65" s="22"/>
      <c r="L65" s="22"/>
      <c r="M65" s="22"/>
      <c r="O65" s="22"/>
      <c r="P65" s="22"/>
      <c r="Q65" s="22"/>
      <c r="S65" s="22"/>
      <c r="T65" s="22"/>
      <c r="U65" s="22"/>
      <c r="W65" s="22"/>
      <c r="X65" s="22"/>
      <c r="Y65" s="22"/>
      <c r="AA65" s="22"/>
      <c r="AB65" s="22"/>
      <c r="AC65" s="22"/>
      <c r="AE65" s="24"/>
      <c r="AF65" s="24"/>
      <c r="AG65" s="24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6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</row>
    <row r="66" spans="1:200" s="23" customFormat="1" ht="14.25" customHeight="1">
      <c r="A66" s="20"/>
      <c r="B66" s="85"/>
      <c r="C66" s="22"/>
      <c r="D66" s="22"/>
      <c r="E66" s="22"/>
      <c r="G66" s="22"/>
      <c r="H66" s="22"/>
      <c r="I66" s="22"/>
      <c r="K66" s="22"/>
      <c r="L66" s="22"/>
      <c r="M66" s="22"/>
      <c r="O66" s="22"/>
      <c r="P66" s="22"/>
      <c r="Q66" s="22"/>
      <c r="S66" s="22"/>
      <c r="T66" s="22"/>
      <c r="U66" s="22"/>
      <c r="W66" s="22"/>
      <c r="X66" s="22"/>
      <c r="Y66" s="22"/>
      <c r="AA66" s="22"/>
      <c r="AB66" s="22"/>
      <c r="AC66" s="22"/>
      <c r="AE66" s="24"/>
      <c r="AF66" s="24"/>
      <c r="AG66" s="24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6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</row>
    <row r="67" spans="1:200" s="23" customFormat="1" ht="14.25" customHeight="1">
      <c r="A67" s="20"/>
      <c r="B67" s="85"/>
      <c r="C67" s="22"/>
      <c r="D67" s="22"/>
      <c r="E67" s="22"/>
      <c r="G67" s="22"/>
      <c r="H67" s="22"/>
      <c r="I67" s="22"/>
      <c r="K67" s="22"/>
      <c r="L67" s="22"/>
      <c r="M67" s="22"/>
      <c r="O67" s="22"/>
      <c r="P67" s="22"/>
      <c r="Q67" s="22"/>
      <c r="S67" s="22"/>
      <c r="T67" s="22"/>
      <c r="U67" s="22"/>
      <c r="W67" s="22"/>
      <c r="X67" s="22"/>
      <c r="Y67" s="22"/>
      <c r="AA67" s="22"/>
      <c r="AB67" s="22"/>
      <c r="AC67" s="22"/>
      <c r="AE67" s="24"/>
      <c r="AF67" s="24"/>
      <c r="AG67" s="24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6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</row>
    <row r="68" spans="1:200" s="23" customFormat="1" ht="14.25" customHeight="1">
      <c r="A68" s="20"/>
      <c r="B68" s="85"/>
      <c r="C68" s="22"/>
      <c r="D68" s="22"/>
      <c r="E68" s="22"/>
      <c r="G68" s="22"/>
      <c r="H68" s="22"/>
      <c r="I68" s="22"/>
      <c r="K68" s="22"/>
      <c r="L68" s="22"/>
      <c r="M68" s="22"/>
      <c r="O68" s="22"/>
      <c r="P68" s="22"/>
      <c r="Q68" s="22"/>
      <c r="S68" s="22"/>
      <c r="T68" s="22"/>
      <c r="U68" s="22"/>
      <c r="W68" s="22"/>
      <c r="X68" s="22"/>
      <c r="Y68" s="22"/>
      <c r="AA68" s="22"/>
      <c r="AB68" s="22"/>
      <c r="AC68" s="22"/>
      <c r="AE68" s="24"/>
      <c r="AF68" s="24"/>
      <c r="AG68" s="24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6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</row>
    <row r="69" spans="1:200" s="23" customFormat="1" ht="14.25" customHeight="1">
      <c r="A69" s="20"/>
      <c r="B69" s="85"/>
      <c r="C69" s="22"/>
      <c r="D69" s="22"/>
      <c r="E69" s="22"/>
      <c r="G69" s="22"/>
      <c r="H69" s="22"/>
      <c r="I69" s="22"/>
      <c r="K69" s="22"/>
      <c r="L69" s="22"/>
      <c r="M69" s="22"/>
      <c r="O69" s="22"/>
      <c r="P69" s="22"/>
      <c r="Q69" s="22"/>
      <c r="S69" s="22"/>
      <c r="T69" s="22"/>
      <c r="U69" s="22"/>
      <c r="W69" s="22"/>
      <c r="X69" s="22"/>
      <c r="Y69" s="22"/>
      <c r="AA69" s="22"/>
      <c r="AB69" s="22"/>
      <c r="AC69" s="22"/>
      <c r="AE69" s="24"/>
      <c r="AF69" s="24"/>
      <c r="AG69" s="24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6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</row>
    <row r="70" spans="1:200" s="23" customFormat="1" ht="14.25" customHeight="1">
      <c r="A70" s="20"/>
      <c r="B70" s="85"/>
      <c r="C70" s="22"/>
      <c r="D70" s="22"/>
      <c r="E70" s="22"/>
      <c r="G70" s="22"/>
      <c r="H70" s="22"/>
      <c r="I70" s="22"/>
      <c r="K70" s="22"/>
      <c r="L70" s="22"/>
      <c r="M70" s="22"/>
      <c r="O70" s="22"/>
      <c r="P70" s="22"/>
      <c r="Q70" s="22"/>
      <c r="S70" s="22"/>
      <c r="T70" s="22"/>
      <c r="U70" s="22"/>
      <c r="W70" s="22"/>
      <c r="X70" s="22"/>
      <c r="Y70" s="22"/>
      <c r="AA70" s="22"/>
      <c r="AB70" s="22"/>
      <c r="AC70" s="22"/>
      <c r="AE70" s="24"/>
      <c r="AF70" s="24"/>
      <c r="AG70" s="24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6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</row>
    <row r="71" spans="1:200" s="23" customFormat="1" ht="14.25" customHeight="1">
      <c r="A71" s="20"/>
      <c r="B71" s="85"/>
      <c r="C71" s="22"/>
      <c r="D71" s="22"/>
      <c r="E71" s="22"/>
      <c r="G71" s="22"/>
      <c r="H71" s="22"/>
      <c r="I71" s="22"/>
      <c r="K71" s="22"/>
      <c r="L71" s="22"/>
      <c r="M71" s="22"/>
      <c r="O71" s="22"/>
      <c r="P71" s="22"/>
      <c r="Q71" s="22"/>
      <c r="S71" s="22"/>
      <c r="T71" s="22"/>
      <c r="U71" s="22"/>
      <c r="W71" s="22"/>
      <c r="X71" s="22"/>
      <c r="Y71" s="22"/>
      <c r="AA71" s="22"/>
      <c r="AB71" s="22"/>
      <c r="AC71" s="22"/>
      <c r="AE71" s="24"/>
      <c r="AF71" s="24"/>
      <c r="AG71" s="24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6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</row>
    <row r="72" spans="1:200" s="23" customFormat="1" ht="14.25" customHeight="1">
      <c r="A72" s="20"/>
      <c r="B72" s="85"/>
      <c r="C72" s="22"/>
      <c r="D72" s="22"/>
      <c r="E72" s="22"/>
      <c r="G72" s="22"/>
      <c r="H72" s="22"/>
      <c r="I72" s="22"/>
      <c r="K72" s="22"/>
      <c r="L72" s="22"/>
      <c r="M72" s="22"/>
      <c r="O72" s="22"/>
      <c r="P72" s="22"/>
      <c r="Q72" s="22"/>
      <c r="S72" s="22"/>
      <c r="T72" s="22"/>
      <c r="U72" s="22"/>
      <c r="W72" s="22"/>
      <c r="X72" s="22"/>
      <c r="Y72" s="22"/>
      <c r="AA72" s="22"/>
      <c r="AB72" s="22"/>
      <c r="AC72" s="22"/>
      <c r="AE72" s="24"/>
      <c r="AF72" s="24"/>
      <c r="AG72" s="24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6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</row>
    <row r="73" spans="1:200" s="23" customFormat="1" ht="14.25" customHeight="1">
      <c r="A73" s="20"/>
      <c r="B73" s="85"/>
      <c r="C73" s="22"/>
      <c r="D73" s="22"/>
      <c r="E73" s="22"/>
      <c r="G73" s="22"/>
      <c r="H73" s="22"/>
      <c r="I73" s="22"/>
      <c r="K73" s="22"/>
      <c r="L73" s="22"/>
      <c r="M73" s="22"/>
      <c r="O73" s="22"/>
      <c r="P73" s="22"/>
      <c r="Q73" s="22"/>
      <c r="S73" s="22"/>
      <c r="T73" s="22"/>
      <c r="U73" s="22"/>
      <c r="W73" s="22"/>
      <c r="X73" s="22"/>
      <c r="Y73" s="22"/>
      <c r="AA73" s="22"/>
      <c r="AB73" s="22"/>
      <c r="AC73" s="22"/>
      <c r="AE73" s="24"/>
      <c r="AF73" s="24"/>
      <c r="AG73" s="24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6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</row>
    <row r="74" spans="1:200" s="23" customFormat="1" ht="14.25" customHeight="1">
      <c r="A74" s="20"/>
      <c r="B74" s="85"/>
      <c r="C74" s="22"/>
      <c r="D74" s="22"/>
      <c r="E74" s="22"/>
      <c r="G74" s="22"/>
      <c r="H74" s="22"/>
      <c r="I74" s="22"/>
      <c r="K74" s="22"/>
      <c r="L74" s="22"/>
      <c r="M74" s="22"/>
      <c r="O74" s="22"/>
      <c r="P74" s="22"/>
      <c r="Q74" s="22"/>
      <c r="S74" s="22"/>
      <c r="T74" s="22"/>
      <c r="U74" s="22"/>
      <c r="W74" s="22"/>
      <c r="X74" s="22"/>
      <c r="Y74" s="22"/>
      <c r="AA74" s="22"/>
      <c r="AB74" s="22"/>
      <c r="AC74" s="22"/>
      <c r="AE74" s="24"/>
      <c r="AF74" s="24"/>
      <c r="AG74" s="24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6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</row>
    <row r="75" spans="1:200" s="23" customFormat="1" ht="14.25" customHeight="1">
      <c r="A75" s="20"/>
      <c r="B75" s="85"/>
      <c r="C75" s="22"/>
      <c r="D75" s="22"/>
      <c r="E75" s="22"/>
      <c r="G75" s="22"/>
      <c r="H75" s="22"/>
      <c r="I75" s="22"/>
      <c r="K75" s="22"/>
      <c r="L75" s="22"/>
      <c r="M75" s="22"/>
      <c r="O75" s="22"/>
      <c r="P75" s="22"/>
      <c r="Q75" s="22"/>
      <c r="S75" s="22"/>
      <c r="T75" s="22"/>
      <c r="U75" s="22"/>
      <c r="W75" s="22"/>
      <c r="X75" s="22"/>
      <c r="Y75" s="22"/>
      <c r="AA75" s="22"/>
      <c r="AB75" s="22"/>
      <c r="AC75" s="22"/>
      <c r="AE75" s="24"/>
      <c r="AF75" s="24"/>
      <c r="AG75" s="24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6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</row>
    <row r="76" spans="1:200" s="23" customFormat="1" ht="14.25" customHeight="1">
      <c r="A76" s="20"/>
      <c r="B76" s="85"/>
      <c r="C76" s="22"/>
      <c r="D76" s="22"/>
      <c r="E76" s="22"/>
      <c r="G76" s="22"/>
      <c r="H76" s="22"/>
      <c r="I76" s="22"/>
      <c r="K76" s="22"/>
      <c r="L76" s="22"/>
      <c r="M76" s="22"/>
      <c r="O76" s="22"/>
      <c r="P76" s="22"/>
      <c r="Q76" s="22"/>
      <c r="S76" s="22"/>
      <c r="T76" s="22"/>
      <c r="U76" s="22"/>
      <c r="W76" s="22"/>
      <c r="X76" s="22"/>
      <c r="Y76" s="22"/>
      <c r="AA76" s="22"/>
      <c r="AB76" s="22"/>
      <c r="AC76" s="22"/>
      <c r="AE76" s="24"/>
      <c r="AF76" s="24"/>
      <c r="AG76" s="24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6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</row>
    <row r="77" spans="1:200" s="23" customFormat="1" ht="14.25" customHeight="1">
      <c r="A77" s="20"/>
      <c r="B77" s="85"/>
      <c r="C77" s="22"/>
      <c r="D77" s="22"/>
      <c r="E77" s="22"/>
      <c r="G77" s="22"/>
      <c r="H77" s="22"/>
      <c r="I77" s="22"/>
      <c r="K77" s="22"/>
      <c r="L77" s="22"/>
      <c r="M77" s="22"/>
      <c r="O77" s="22"/>
      <c r="P77" s="22"/>
      <c r="Q77" s="22"/>
      <c r="S77" s="22"/>
      <c r="T77" s="22"/>
      <c r="U77" s="22"/>
      <c r="W77" s="22"/>
      <c r="X77" s="22"/>
      <c r="Y77" s="22"/>
      <c r="AA77" s="22"/>
      <c r="AB77" s="22"/>
      <c r="AC77" s="22"/>
      <c r="AE77" s="24"/>
      <c r="AF77" s="24"/>
      <c r="AG77" s="24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6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</row>
    <row r="78" spans="1:200" s="23" customFormat="1" ht="14.25" customHeight="1">
      <c r="A78" s="20"/>
      <c r="B78" s="85"/>
      <c r="C78" s="22"/>
      <c r="D78" s="22"/>
      <c r="E78" s="22"/>
      <c r="G78" s="22"/>
      <c r="H78" s="22"/>
      <c r="I78" s="22"/>
      <c r="K78" s="22"/>
      <c r="L78" s="22"/>
      <c r="M78" s="22"/>
      <c r="O78" s="22"/>
      <c r="P78" s="22"/>
      <c r="Q78" s="22"/>
      <c r="S78" s="22"/>
      <c r="T78" s="22"/>
      <c r="U78" s="22"/>
      <c r="W78" s="22"/>
      <c r="X78" s="22"/>
      <c r="Y78" s="22"/>
      <c r="AA78" s="22"/>
      <c r="AB78" s="22"/>
      <c r="AC78" s="22"/>
      <c r="AE78" s="24"/>
      <c r="AF78" s="24"/>
      <c r="AG78" s="24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6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</row>
    <row r="79" spans="1:200" s="23" customFormat="1" ht="14.25" customHeight="1">
      <c r="A79" s="20"/>
      <c r="B79" s="85"/>
      <c r="C79" s="22"/>
      <c r="D79" s="22"/>
      <c r="E79" s="22"/>
      <c r="G79" s="22"/>
      <c r="H79" s="22"/>
      <c r="I79" s="22"/>
      <c r="K79" s="22"/>
      <c r="L79" s="22"/>
      <c r="M79" s="22"/>
      <c r="O79" s="22"/>
      <c r="P79" s="22"/>
      <c r="Q79" s="22"/>
      <c r="S79" s="22"/>
      <c r="T79" s="22"/>
      <c r="U79" s="22"/>
      <c r="W79" s="22"/>
      <c r="X79" s="22"/>
      <c r="Y79" s="22"/>
      <c r="AA79" s="22"/>
      <c r="AB79" s="22"/>
      <c r="AC79" s="22"/>
      <c r="AE79" s="24"/>
      <c r="AF79" s="24"/>
      <c r="AG79" s="24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6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</row>
    <row r="80" spans="1:200" s="23" customFormat="1" ht="14.25" customHeight="1">
      <c r="A80" s="20"/>
      <c r="B80" s="85"/>
      <c r="C80" s="22"/>
      <c r="D80" s="22"/>
      <c r="E80" s="22"/>
      <c r="G80" s="22"/>
      <c r="H80" s="22"/>
      <c r="I80" s="22"/>
      <c r="K80" s="22"/>
      <c r="L80" s="22"/>
      <c r="M80" s="22"/>
      <c r="O80" s="22"/>
      <c r="P80" s="22"/>
      <c r="Q80" s="22"/>
      <c r="S80" s="22"/>
      <c r="T80" s="22"/>
      <c r="U80" s="22"/>
      <c r="W80" s="22"/>
      <c r="X80" s="22"/>
      <c r="Y80" s="22"/>
      <c r="AA80" s="22"/>
      <c r="AB80" s="22"/>
      <c r="AC80" s="22"/>
      <c r="AE80" s="24"/>
      <c r="AF80" s="24"/>
      <c r="AG80" s="24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6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</row>
    <row r="81" spans="1:200" s="23" customFormat="1" ht="14.25" customHeight="1">
      <c r="A81" s="20"/>
      <c r="B81" s="85"/>
      <c r="C81" s="22"/>
      <c r="D81" s="22"/>
      <c r="E81" s="22"/>
      <c r="G81" s="22"/>
      <c r="H81" s="22"/>
      <c r="I81" s="22"/>
      <c r="K81" s="22"/>
      <c r="L81" s="22"/>
      <c r="M81" s="22"/>
      <c r="O81" s="22"/>
      <c r="P81" s="22"/>
      <c r="Q81" s="22"/>
      <c r="S81" s="22"/>
      <c r="T81" s="22"/>
      <c r="U81" s="22"/>
      <c r="W81" s="22"/>
      <c r="X81" s="22"/>
      <c r="Y81" s="22"/>
      <c r="AA81" s="22"/>
      <c r="AB81" s="22"/>
      <c r="AC81" s="22"/>
      <c r="AE81" s="24"/>
      <c r="AF81" s="24"/>
      <c r="AG81" s="24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6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</row>
    <row r="82" spans="1:200" s="23" customFormat="1" ht="14.25" customHeight="1">
      <c r="A82" s="20"/>
      <c r="B82" s="85"/>
      <c r="C82" s="22"/>
      <c r="D82" s="22"/>
      <c r="E82" s="22"/>
      <c r="G82" s="22"/>
      <c r="H82" s="22"/>
      <c r="I82" s="22"/>
      <c r="K82" s="22"/>
      <c r="L82" s="22"/>
      <c r="M82" s="22"/>
      <c r="O82" s="22"/>
      <c r="P82" s="22"/>
      <c r="Q82" s="22"/>
      <c r="S82" s="22"/>
      <c r="T82" s="22"/>
      <c r="U82" s="22"/>
      <c r="W82" s="22"/>
      <c r="X82" s="22"/>
      <c r="Y82" s="22"/>
      <c r="AA82" s="22"/>
      <c r="AB82" s="22"/>
      <c r="AC82" s="22"/>
      <c r="AE82" s="24"/>
      <c r="AF82" s="24"/>
      <c r="AG82" s="24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6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</row>
    <row r="83" spans="1:200" s="23" customFormat="1" ht="14.25" customHeight="1">
      <c r="A83" s="20"/>
      <c r="B83" s="85"/>
      <c r="C83" s="22"/>
      <c r="D83" s="22"/>
      <c r="E83" s="22"/>
      <c r="G83" s="22"/>
      <c r="H83" s="22"/>
      <c r="I83" s="22"/>
      <c r="K83" s="22"/>
      <c r="L83" s="22"/>
      <c r="M83" s="22"/>
      <c r="O83" s="22"/>
      <c r="P83" s="22"/>
      <c r="Q83" s="22"/>
      <c r="S83" s="22"/>
      <c r="T83" s="22"/>
      <c r="U83" s="22"/>
      <c r="W83" s="22"/>
      <c r="X83" s="22"/>
      <c r="Y83" s="22"/>
      <c r="AA83" s="22"/>
      <c r="AB83" s="22"/>
      <c r="AC83" s="22"/>
      <c r="AE83" s="24"/>
      <c r="AF83" s="24"/>
      <c r="AG83" s="24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6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</row>
    <row r="84" spans="1:200" s="23" customFormat="1" ht="14.25" customHeight="1">
      <c r="A84" s="20"/>
      <c r="B84" s="85"/>
      <c r="C84" s="22"/>
      <c r="D84" s="22"/>
      <c r="E84" s="22"/>
      <c r="G84" s="22"/>
      <c r="H84" s="22"/>
      <c r="I84" s="22"/>
      <c r="K84" s="22"/>
      <c r="L84" s="22"/>
      <c r="M84" s="22"/>
      <c r="O84" s="22"/>
      <c r="P84" s="22"/>
      <c r="Q84" s="22"/>
      <c r="S84" s="22"/>
      <c r="T84" s="22"/>
      <c r="U84" s="22"/>
      <c r="W84" s="22"/>
      <c r="X84" s="22"/>
      <c r="Y84" s="22"/>
      <c r="AA84" s="22"/>
      <c r="AB84" s="22"/>
      <c r="AC84" s="22"/>
      <c r="AE84" s="24"/>
      <c r="AF84" s="24"/>
      <c r="AG84" s="24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6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</row>
    <row r="85" spans="1:200" s="23" customFormat="1" ht="14.25" customHeight="1">
      <c r="A85" s="20"/>
      <c r="B85" s="85"/>
      <c r="C85" s="22"/>
      <c r="D85" s="22"/>
      <c r="E85" s="22"/>
      <c r="G85" s="22"/>
      <c r="H85" s="22"/>
      <c r="I85" s="22"/>
      <c r="K85" s="22"/>
      <c r="L85" s="22"/>
      <c r="M85" s="22"/>
      <c r="O85" s="22"/>
      <c r="P85" s="22"/>
      <c r="Q85" s="22"/>
      <c r="S85" s="22"/>
      <c r="T85" s="22"/>
      <c r="U85" s="22"/>
      <c r="W85" s="22"/>
      <c r="X85" s="22"/>
      <c r="Y85" s="22"/>
      <c r="AA85" s="22"/>
      <c r="AB85" s="22"/>
      <c r="AC85" s="22"/>
      <c r="AE85" s="24"/>
      <c r="AF85" s="24"/>
      <c r="AG85" s="24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6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</row>
    <row r="86" spans="1:200" s="23" customFormat="1" ht="14.25" customHeight="1">
      <c r="A86" s="20"/>
      <c r="B86" s="85"/>
      <c r="C86" s="22"/>
      <c r="D86" s="22"/>
      <c r="E86" s="22"/>
      <c r="G86" s="22"/>
      <c r="H86" s="22"/>
      <c r="I86" s="22"/>
      <c r="K86" s="22"/>
      <c r="L86" s="22"/>
      <c r="M86" s="22"/>
      <c r="O86" s="22"/>
      <c r="P86" s="22"/>
      <c r="Q86" s="22"/>
      <c r="S86" s="22"/>
      <c r="T86" s="22"/>
      <c r="U86" s="22"/>
      <c r="W86" s="22"/>
      <c r="X86" s="22"/>
      <c r="Y86" s="22"/>
      <c r="AA86" s="22"/>
      <c r="AB86" s="22"/>
      <c r="AC86" s="22"/>
      <c r="AE86" s="24"/>
      <c r="AF86" s="24"/>
      <c r="AG86" s="24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6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</row>
    <row r="87" spans="1:200" s="23" customFormat="1" ht="14.25" customHeight="1">
      <c r="A87" s="20"/>
      <c r="B87" s="85"/>
      <c r="C87" s="22"/>
      <c r="D87" s="22"/>
      <c r="E87" s="22"/>
      <c r="G87" s="22"/>
      <c r="H87" s="22"/>
      <c r="I87" s="22"/>
      <c r="K87" s="22"/>
      <c r="L87" s="22"/>
      <c r="M87" s="22"/>
      <c r="O87" s="22"/>
      <c r="P87" s="22"/>
      <c r="Q87" s="22"/>
      <c r="S87" s="22"/>
      <c r="T87" s="22"/>
      <c r="U87" s="22"/>
      <c r="W87" s="22"/>
      <c r="X87" s="22"/>
      <c r="Y87" s="22"/>
      <c r="AA87" s="22"/>
      <c r="AB87" s="22"/>
      <c r="AC87" s="22"/>
      <c r="AE87" s="24"/>
      <c r="AF87" s="24"/>
      <c r="AG87" s="24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6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</row>
    <row r="88" spans="1:200" s="23" customFormat="1" ht="14.25" customHeight="1">
      <c r="A88" s="20"/>
      <c r="B88" s="85"/>
      <c r="C88" s="22"/>
      <c r="D88" s="22"/>
      <c r="E88" s="22"/>
      <c r="G88" s="22"/>
      <c r="H88" s="22"/>
      <c r="I88" s="22"/>
      <c r="K88" s="22"/>
      <c r="L88" s="22"/>
      <c r="M88" s="22"/>
      <c r="O88" s="22"/>
      <c r="P88" s="22"/>
      <c r="Q88" s="22"/>
      <c r="S88" s="22"/>
      <c r="T88" s="22"/>
      <c r="U88" s="22"/>
      <c r="W88" s="22"/>
      <c r="X88" s="22"/>
      <c r="Y88" s="22"/>
      <c r="AA88" s="22"/>
      <c r="AB88" s="22"/>
      <c r="AC88" s="22"/>
      <c r="AE88" s="24"/>
      <c r="AF88" s="24"/>
      <c r="AG88" s="24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6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</row>
    <row r="89" spans="1:200" s="23" customFormat="1" ht="14.25" customHeight="1">
      <c r="A89" s="20"/>
      <c r="B89" s="85"/>
      <c r="C89" s="22"/>
      <c r="D89" s="22"/>
      <c r="E89" s="22"/>
      <c r="G89" s="22"/>
      <c r="H89" s="22"/>
      <c r="I89" s="22"/>
      <c r="K89" s="22"/>
      <c r="L89" s="22"/>
      <c r="M89" s="22"/>
      <c r="O89" s="22"/>
      <c r="P89" s="22"/>
      <c r="Q89" s="22"/>
      <c r="S89" s="22"/>
      <c r="T89" s="22"/>
      <c r="U89" s="22"/>
      <c r="W89" s="22"/>
      <c r="X89" s="22"/>
      <c r="Y89" s="22"/>
      <c r="AA89" s="22"/>
      <c r="AB89" s="22"/>
      <c r="AC89" s="22"/>
      <c r="AE89" s="24"/>
      <c r="AF89" s="24"/>
      <c r="AG89" s="24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6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</row>
    <row r="90" spans="1:200" s="23" customFormat="1" ht="14.25" customHeight="1">
      <c r="A90" s="20"/>
      <c r="B90" s="85"/>
      <c r="C90" s="22"/>
      <c r="D90" s="22"/>
      <c r="E90" s="22"/>
      <c r="G90" s="22"/>
      <c r="H90" s="22"/>
      <c r="I90" s="22"/>
      <c r="K90" s="22"/>
      <c r="L90" s="22"/>
      <c r="M90" s="22"/>
      <c r="O90" s="22"/>
      <c r="P90" s="22"/>
      <c r="Q90" s="22"/>
      <c r="S90" s="22"/>
      <c r="T90" s="22"/>
      <c r="U90" s="22"/>
      <c r="W90" s="22"/>
      <c r="X90" s="22"/>
      <c r="Y90" s="22"/>
      <c r="AA90" s="22"/>
      <c r="AB90" s="22"/>
      <c r="AC90" s="22"/>
      <c r="AE90" s="24"/>
      <c r="AF90" s="24"/>
      <c r="AG90" s="24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6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</row>
    <row r="91" spans="1:200" s="23" customFormat="1" ht="14.25" customHeight="1">
      <c r="A91" s="20"/>
      <c r="B91" s="85"/>
      <c r="C91" s="22"/>
      <c r="D91" s="22"/>
      <c r="E91" s="22"/>
      <c r="G91" s="22"/>
      <c r="H91" s="22"/>
      <c r="I91" s="22"/>
      <c r="K91" s="22"/>
      <c r="L91" s="22"/>
      <c r="M91" s="22"/>
      <c r="O91" s="22"/>
      <c r="P91" s="22"/>
      <c r="Q91" s="22"/>
      <c r="S91" s="22"/>
      <c r="T91" s="22"/>
      <c r="U91" s="22"/>
      <c r="W91" s="22"/>
      <c r="X91" s="22"/>
      <c r="Y91" s="22"/>
      <c r="AA91" s="22"/>
      <c r="AB91" s="22"/>
      <c r="AC91" s="22"/>
      <c r="AE91" s="24"/>
      <c r="AF91" s="24"/>
      <c r="AG91" s="24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6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</row>
    <row r="92" spans="1:200" s="23" customFormat="1" ht="14.25" customHeight="1">
      <c r="A92" s="20"/>
      <c r="B92" s="85"/>
      <c r="C92" s="22"/>
      <c r="D92" s="22"/>
      <c r="E92" s="22"/>
      <c r="G92" s="22"/>
      <c r="H92" s="22"/>
      <c r="I92" s="22"/>
      <c r="K92" s="22"/>
      <c r="L92" s="22"/>
      <c r="M92" s="22"/>
      <c r="O92" s="22"/>
      <c r="P92" s="22"/>
      <c r="Q92" s="22"/>
      <c r="S92" s="22"/>
      <c r="T92" s="22"/>
      <c r="U92" s="22"/>
      <c r="W92" s="22"/>
      <c r="X92" s="22"/>
      <c r="Y92" s="22"/>
      <c r="AA92" s="22"/>
      <c r="AB92" s="22"/>
      <c r="AC92" s="22"/>
      <c r="AE92" s="24"/>
      <c r="AF92" s="24"/>
      <c r="AG92" s="24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6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</row>
    <row r="93" spans="1:200" s="23" customFormat="1" ht="14.25" customHeight="1">
      <c r="A93" s="20"/>
      <c r="B93" s="85"/>
      <c r="C93" s="22"/>
      <c r="D93" s="22"/>
      <c r="E93" s="22"/>
      <c r="G93" s="22"/>
      <c r="H93" s="22"/>
      <c r="I93" s="22"/>
      <c r="K93" s="22"/>
      <c r="L93" s="22"/>
      <c r="M93" s="22"/>
      <c r="O93" s="22"/>
      <c r="P93" s="22"/>
      <c r="Q93" s="22"/>
      <c r="S93" s="22"/>
      <c r="T93" s="22"/>
      <c r="U93" s="22"/>
      <c r="W93" s="22"/>
      <c r="X93" s="22"/>
      <c r="Y93" s="22"/>
      <c r="AA93" s="22"/>
      <c r="AB93" s="22"/>
      <c r="AC93" s="22"/>
      <c r="AE93" s="24"/>
      <c r="AF93" s="24"/>
      <c r="AG93" s="24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6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</row>
    <row r="94" spans="1:200" s="23" customFormat="1" ht="14.25" customHeight="1">
      <c r="A94" s="20"/>
      <c r="B94" s="85"/>
      <c r="C94" s="22"/>
      <c r="D94" s="22"/>
      <c r="E94" s="22"/>
      <c r="G94" s="22"/>
      <c r="H94" s="22"/>
      <c r="I94" s="22"/>
      <c r="K94" s="22"/>
      <c r="L94" s="22"/>
      <c r="M94" s="22"/>
      <c r="O94" s="22"/>
      <c r="P94" s="22"/>
      <c r="Q94" s="22"/>
      <c r="S94" s="22"/>
      <c r="T94" s="22"/>
      <c r="U94" s="22"/>
      <c r="W94" s="22"/>
      <c r="X94" s="22"/>
      <c r="Y94" s="22"/>
      <c r="AA94" s="22"/>
      <c r="AB94" s="22"/>
      <c r="AC94" s="22"/>
      <c r="AE94" s="24"/>
      <c r="AF94" s="24"/>
      <c r="AG94" s="24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6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</row>
    <row r="95" spans="1:200" s="23" customFormat="1" ht="14.25" customHeight="1">
      <c r="A95" s="20"/>
      <c r="B95" s="85"/>
      <c r="C95" s="22"/>
      <c r="D95" s="22"/>
      <c r="E95" s="22"/>
      <c r="G95" s="22"/>
      <c r="H95" s="22"/>
      <c r="I95" s="22"/>
      <c r="K95" s="22"/>
      <c r="L95" s="22"/>
      <c r="M95" s="22"/>
      <c r="O95" s="22"/>
      <c r="P95" s="22"/>
      <c r="Q95" s="22"/>
      <c r="S95" s="22"/>
      <c r="T95" s="22"/>
      <c r="U95" s="22"/>
      <c r="W95" s="22"/>
      <c r="X95" s="22"/>
      <c r="Y95" s="22"/>
      <c r="AA95" s="22"/>
      <c r="AB95" s="22"/>
      <c r="AC95" s="22"/>
      <c r="AE95" s="24"/>
      <c r="AF95" s="24"/>
      <c r="AG95" s="24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6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</row>
    <row r="96" spans="1:200" s="23" customFormat="1" ht="14.25" customHeight="1">
      <c r="A96" s="20"/>
      <c r="B96" s="85"/>
      <c r="C96" s="22"/>
      <c r="D96" s="22"/>
      <c r="E96" s="22"/>
      <c r="G96" s="22"/>
      <c r="H96" s="22"/>
      <c r="I96" s="22"/>
      <c r="K96" s="22"/>
      <c r="L96" s="22"/>
      <c r="M96" s="22"/>
      <c r="O96" s="22"/>
      <c r="P96" s="22"/>
      <c r="Q96" s="22"/>
      <c r="S96" s="22"/>
      <c r="T96" s="22"/>
      <c r="U96" s="22"/>
      <c r="W96" s="22"/>
      <c r="X96" s="22"/>
      <c r="Y96" s="22"/>
      <c r="AA96" s="22"/>
      <c r="AB96" s="22"/>
      <c r="AC96" s="22"/>
      <c r="AE96" s="24"/>
      <c r="AF96" s="24"/>
      <c r="AG96" s="24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6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</row>
    <row r="97" spans="1:200" s="23" customFormat="1" ht="14.25" customHeight="1">
      <c r="A97" s="20"/>
      <c r="B97" s="85"/>
      <c r="C97" s="22"/>
      <c r="D97" s="22"/>
      <c r="E97" s="22"/>
      <c r="G97" s="22"/>
      <c r="H97" s="22"/>
      <c r="I97" s="22"/>
      <c r="K97" s="22"/>
      <c r="L97" s="22"/>
      <c r="M97" s="22"/>
      <c r="O97" s="22"/>
      <c r="P97" s="22"/>
      <c r="Q97" s="22"/>
      <c r="S97" s="22"/>
      <c r="T97" s="22"/>
      <c r="U97" s="22"/>
      <c r="W97" s="22"/>
      <c r="X97" s="22"/>
      <c r="Y97" s="22"/>
      <c r="AA97" s="22"/>
      <c r="AB97" s="22"/>
      <c r="AC97" s="22"/>
      <c r="AE97" s="24"/>
      <c r="AF97" s="24"/>
      <c r="AG97" s="24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6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</row>
    <row r="98" spans="1:200" s="23" customFormat="1" ht="14.25" customHeight="1">
      <c r="A98" s="20"/>
      <c r="B98" s="85"/>
      <c r="C98" s="22"/>
      <c r="D98" s="22"/>
      <c r="E98" s="22"/>
      <c r="G98" s="22"/>
      <c r="H98" s="22"/>
      <c r="I98" s="22"/>
      <c r="K98" s="22"/>
      <c r="L98" s="22"/>
      <c r="M98" s="22"/>
      <c r="O98" s="22"/>
      <c r="P98" s="22"/>
      <c r="Q98" s="22"/>
      <c r="S98" s="22"/>
      <c r="T98" s="22"/>
      <c r="U98" s="22"/>
      <c r="W98" s="22"/>
      <c r="X98" s="22"/>
      <c r="Y98" s="22"/>
      <c r="AA98" s="22"/>
      <c r="AB98" s="22"/>
      <c r="AC98" s="22"/>
      <c r="AE98" s="24"/>
      <c r="AF98" s="24"/>
      <c r="AG98" s="24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6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</row>
    <row r="99" spans="1:200" s="23" customFormat="1" ht="14.25" customHeight="1">
      <c r="A99" s="20"/>
      <c r="B99" s="85"/>
      <c r="C99" s="22"/>
      <c r="D99" s="22"/>
      <c r="E99" s="22"/>
      <c r="G99" s="22"/>
      <c r="H99" s="22"/>
      <c r="I99" s="22"/>
      <c r="K99" s="22"/>
      <c r="L99" s="22"/>
      <c r="M99" s="22"/>
      <c r="O99" s="22"/>
      <c r="P99" s="22"/>
      <c r="Q99" s="22"/>
      <c r="S99" s="22"/>
      <c r="T99" s="22"/>
      <c r="U99" s="22"/>
      <c r="W99" s="22"/>
      <c r="X99" s="22"/>
      <c r="Y99" s="22"/>
      <c r="AA99" s="22"/>
      <c r="AB99" s="22"/>
      <c r="AC99" s="22"/>
      <c r="AE99" s="24"/>
      <c r="AF99" s="24"/>
      <c r="AG99" s="24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6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</row>
    <row r="100" spans="1:200" s="23" customFormat="1" ht="14.25" customHeight="1">
      <c r="A100" s="20"/>
      <c r="B100" s="85"/>
      <c r="C100" s="22"/>
      <c r="D100" s="22"/>
      <c r="E100" s="22"/>
      <c r="G100" s="22"/>
      <c r="H100" s="22"/>
      <c r="I100" s="22"/>
      <c r="K100" s="22"/>
      <c r="L100" s="22"/>
      <c r="M100" s="22"/>
      <c r="O100" s="22"/>
      <c r="P100" s="22"/>
      <c r="Q100" s="22"/>
      <c r="S100" s="22"/>
      <c r="T100" s="22"/>
      <c r="U100" s="22"/>
      <c r="W100" s="22"/>
      <c r="X100" s="22"/>
      <c r="Y100" s="22"/>
      <c r="AA100" s="22"/>
      <c r="AB100" s="22"/>
      <c r="AC100" s="22"/>
      <c r="AE100" s="24"/>
      <c r="AF100" s="24"/>
      <c r="AG100" s="24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6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</row>
    <row r="101" spans="1:200" s="23" customFormat="1" ht="14.25" customHeight="1">
      <c r="A101" s="20"/>
      <c r="B101" s="85"/>
      <c r="C101" s="22"/>
      <c r="D101" s="22"/>
      <c r="E101" s="22"/>
      <c r="G101" s="22"/>
      <c r="H101" s="22"/>
      <c r="I101" s="22"/>
      <c r="K101" s="22"/>
      <c r="L101" s="22"/>
      <c r="M101" s="22"/>
      <c r="O101" s="22"/>
      <c r="P101" s="22"/>
      <c r="Q101" s="22"/>
      <c r="S101" s="22"/>
      <c r="T101" s="22"/>
      <c r="U101" s="22"/>
      <c r="W101" s="22"/>
      <c r="X101" s="22"/>
      <c r="Y101" s="22"/>
      <c r="AA101" s="22"/>
      <c r="AB101" s="22"/>
      <c r="AC101" s="22"/>
      <c r="AE101" s="24"/>
      <c r="AF101" s="24"/>
      <c r="AG101" s="24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6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</row>
    <row r="102" spans="1:200" s="23" customFormat="1" ht="14.25" customHeight="1">
      <c r="A102" s="20"/>
      <c r="B102" s="85"/>
      <c r="C102" s="22"/>
      <c r="D102" s="22"/>
      <c r="E102" s="22"/>
      <c r="G102" s="22"/>
      <c r="H102" s="22"/>
      <c r="I102" s="22"/>
      <c r="K102" s="22"/>
      <c r="L102" s="22"/>
      <c r="M102" s="22"/>
      <c r="O102" s="22"/>
      <c r="P102" s="22"/>
      <c r="Q102" s="22"/>
      <c r="S102" s="22"/>
      <c r="T102" s="22"/>
      <c r="U102" s="22"/>
      <c r="W102" s="22"/>
      <c r="X102" s="22"/>
      <c r="Y102" s="22"/>
      <c r="AA102" s="22"/>
      <c r="AB102" s="22"/>
      <c r="AC102" s="22"/>
      <c r="AE102" s="24"/>
      <c r="AF102" s="24"/>
      <c r="AG102" s="24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6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</row>
    <row r="103" spans="1:200" s="23" customFormat="1" ht="14.25" customHeight="1">
      <c r="A103" s="20"/>
      <c r="B103" s="85"/>
      <c r="C103" s="22"/>
      <c r="D103" s="22"/>
      <c r="E103" s="22"/>
      <c r="G103" s="22"/>
      <c r="H103" s="22"/>
      <c r="I103" s="22"/>
      <c r="K103" s="22"/>
      <c r="L103" s="22"/>
      <c r="M103" s="22"/>
      <c r="O103" s="22"/>
      <c r="P103" s="22"/>
      <c r="Q103" s="22"/>
      <c r="S103" s="22"/>
      <c r="T103" s="22"/>
      <c r="U103" s="22"/>
      <c r="W103" s="22"/>
      <c r="X103" s="22"/>
      <c r="Y103" s="22"/>
      <c r="AA103" s="22"/>
      <c r="AB103" s="22"/>
      <c r="AC103" s="22"/>
      <c r="AE103" s="24"/>
      <c r="AF103" s="24"/>
      <c r="AG103" s="24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6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</row>
    <row r="104" spans="1:200" s="23" customFormat="1" ht="14.25" customHeight="1">
      <c r="A104" s="20"/>
      <c r="B104" s="85"/>
      <c r="C104" s="22"/>
      <c r="D104" s="22"/>
      <c r="E104" s="22"/>
      <c r="G104" s="22"/>
      <c r="H104" s="22"/>
      <c r="I104" s="22"/>
      <c r="K104" s="22"/>
      <c r="L104" s="22"/>
      <c r="M104" s="22"/>
      <c r="O104" s="22"/>
      <c r="P104" s="22"/>
      <c r="Q104" s="22"/>
      <c r="S104" s="22"/>
      <c r="T104" s="22"/>
      <c r="U104" s="22"/>
      <c r="W104" s="22"/>
      <c r="X104" s="22"/>
      <c r="Y104" s="22"/>
      <c r="AA104" s="22"/>
      <c r="AB104" s="22"/>
      <c r="AC104" s="22"/>
      <c r="AE104" s="24"/>
      <c r="AF104" s="24"/>
      <c r="AG104" s="24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6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</row>
    <row r="105" spans="1:200" s="23" customFormat="1" ht="14.25" customHeight="1">
      <c r="A105" s="20"/>
      <c r="B105" s="85"/>
      <c r="C105" s="22"/>
      <c r="D105" s="22"/>
      <c r="E105" s="22"/>
      <c r="G105" s="22"/>
      <c r="H105" s="22"/>
      <c r="I105" s="22"/>
      <c r="K105" s="22"/>
      <c r="L105" s="22"/>
      <c r="M105" s="22"/>
      <c r="O105" s="22"/>
      <c r="P105" s="22"/>
      <c r="Q105" s="22"/>
      <c r="S105" s="22"/>
      <c r="T105" s="22"/>
      <c r="U105" s="22"/>
      <c r="W105" s="22"/>
      <c r="X105" s="22"/>
      <c r="Y105" s="22"/>
      <c r="AA105" s="22"/>
      <c r="AB105" s="22"/>
      <c r="AC105" s="22"/>
      <c r="AE105" s="24"/>
      <c r="AF105" s="24"/>
      <c r="AG105" s="24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6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</row>
    <row r="106" spans="1:200" s="23" customFormat="1" ht="14.25" customHeight="1">
      <c r="A106" s="20"/>
      <c r="B106" s="85"/>
      <c r="C106" s="22"/>
      <c r="D106" s="22"/>
      <c r="E106" s="22"/>
      <c r="G106" s="22"/>
      <c r="H106" s="22"/>
      <c r="I106" s="22"/>
      <c r="K106" s="22"/>
      <c r="L106" s="22"/>
      <c r="M106" s="22"/>
      <c r="O106" s="22"/>
      <c r="P106" s="22"/>
      <c r="Q106" s="22"/>
      <c r="S106" s="22"/>
      <c r="T106" s="22"/>
      <c r="U106" s="22"/>
      <c r="W106" s="22"/>
      <c r="X106" s="22"/>
      <c r="Y106" s="22"/>
      <c r="AA106" s="22"/>
      <c r="AB106" s="22"/>
      <c r="AC106" s="22"/>
      <c r="AE106" s="24"/>
      <c r="AF106" s="24"/>
      <c r="AG106" s="24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6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</row>
    <row r="107" spans="1:200" s="23" customFormat="1" ht="14.25" customHeight="1">
      <c r="A107" s="20"/>
      <c r="B107" s="85"/>
      <c r="C107" s="22"/>
      <c r="D107" s="22"/>
      <c r="E107" s="22"/>
      <c r="G107" s="22"/>
      <c r="H107" s="22"/>
      <c r="I107" s="22"/>
      <c r="K107" s="22"/>
      <c r="L107" s="22"/>
      <c r="M107" s="22"/>
      <c r="O107" s="22"/>
      <c r="P107" s="22"/>
      <c r="Q107" s="22"/>
      <c r="S107" s="22"/>
      <c r="T107" s="22"/>
      <c r="U107" s="22"/>
      <c r="W107" s="22"/>
      <c r="X107" s="22"/>
      <c r="Y107" s="22"/>
      <c r="AA107" s="22"/>
      <c r="AB107" s="22"/>
      <c r="AC107" s="22"/>
      <c r="AE107" s="24"/>
      <c r="AF107" s="24"/>
      <c r="AG107" s="24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6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</row>
    <row r="108" spans="1:200" s="23" customFormat="1" ht="14.25" customHeight="1">
      <c r="A108" s="20"/>
      <c r="B108" s="85"/>
      <c r="C108" s="22"/>
      <c r="D108" s="22"/>
      <c r="E108" s="22"/>
      <c r="G108" s="22"/>
      <c r="H108" s="22"/>
      <c r="I108" s="22"/>
      <c r="K108" s="22"/>
      <c r="L108" s="22"/>
      <c r="M108" s="22"/>
      <c r="O108" s="22"/>
      <c r="P108" s="22"/>
      <c r="Q108" s="22"/>
      <c r="S108" s="22"/>
      <c r="T108" s="22"/>
      <c r="U108" s="22"/>
      <c r="W108" s="22"/>
      <c r="X108" s="22"/>
      <c r="Y108" s="22"/>
      <c r="AA108" s="22"/>
      <c r="AB108" s="22"/>
      <c r="AC108" s="22"/>
      <c r="AE108" s="24"/>
      <c r="AF108" s="24"/>
      <c r="AG108" s="24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6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</row>
    <row r="109" spans="1:200" s="23" customFormat="1" ht="14.25" customHeight="1">
      <c r="A109" s="20"/>
      <c r="B109" s="85"/>
      <c r="C109" s="22"/>
      <c r="D109" s="22"/>
      <c r="E109" s="22"/>
      <c r="G109" s="22"/>
      <c r="H109" s="22"/>
      <c r="I109" s="22"/>
      <c r="K109" s="22"/>
      <c r="L109" s="22"/>
      <c r="M109" s="22"/>
      <c r="O109" s="22"/>
      <c r="P109" s="22"/>
      <c r="Q109" s="22"/>
      <c r="S109" s="22"/>
      <c r="T109" s="22"/>
      <c r="U109" s="22"/>
      <c r="W109" s="22"/>
      <c r="X109" s="22"/>
      <c r="Y109" s="22"/>
      <c r="AA109" s="22"/>
      <c r="AB109" s="22"/>
      <c r="AC109" s="22"/>
      <c r="AE109" s="24"/>
      <c r="AF109" s="24"/>
      <c r="AG109" s="24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6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</row>
    <row r="110" spans="1:200" s="23" customFormat="1" ht="14.25" customHeight="1">
      <c r="A110" s="20"/>
      <c r="B110" s="85"/>
      <c r="C110" s="22"/>
      <c r="D110" s="22"/>
      <c r="E110" s="22"/>
      <c r="G110" s="22"/>
      <c r="H110" s="22"/>
      <c r="I110" s="22"/>
      <c r="K110" s="22"/>
      <c r="L110" s="22"/>
      <c r="M110" s="22"/>
      <c r="O110" s="22"/>
      <c r="P110" s="22"/>
      <c r="Q110" s="22"/>
      <c r="S110" s="22"/>
      <c r="T110" s="22"/>
      <c r="U110" s="22"/>
      <c r="W110" s="22"/>
      <c r="X110" s="22"/>
      <c r="Y110" s="22"/>
      <c r="AA110" s="22"/>
      <c r="AB110" s="22"/>
      <c r="AC110" s="22"/>
      <c r="AE110" s="24"/>
      <c r="AF110" s="24"/>
      <c r="AG110" s="24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6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</row>
    <row r="111" spans="1:200" s="23" customFormat="1" ht="14.25" customHeight="1">
      <c r="A111" s="20"/>
      <c r="B111" s="85"/>
      <c r="C111" s="22"/>
      <c r="D111" s="22"/>
      <c r="E111" s="22"/>
      <c r="G111" s="22"/>
      <c r="H111" s="22"/>
      <c r="I111" s="22"/>
      <c r="K111" s="22"/>
      <c r="L111" s="22"/>
      <c r="M111" s="22"/>
      <c r="O111" s="22"/>
      <c r="P111" s="22"/>
      <c r="Q111" s="22"/>
      <c r="S111" s="22"/>
      <c r="T111" s="22"/>
      <c r="U111" s="22"/>
      <c r="W111" s="22"/>
      <c r="X111" s="22"/>
      <c r="Y111" s="22"/>
      <c r="AA111" s="22"/>
      <c r="AB111" s="22"/>
      <c r="AC111" s="22"/>
      <c r="AE111" s="24"/>
      <c r="AF111" s="24"/>
      <c r="AG111" s="24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6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</row>
    <row r="112" spans="1:200" s="23" customFormat="1" ht="14.25" customHeight="1">
      <c r="A112" s="20"/>
      <c r="B112" s="85"/>
      <c r="C112" s="22"/>
      <c r="D112" s="22"/>
      <c r="E112" s="22"/>
      <c r="G112" s="22"/>
      <c r="H112" s="22"/>
      <c r="I112" s="22"/>
      <c r="K112" s="22"/>
      <c r="L112" s="22"/>
      <c r="M112" s="22"/>
      <c r="O112" s="22"/>
      <c r="P112" s="22"/>
      <c r="Q112" s="22"/>
      <c r="S112" s="22"/>
      <c r="T112" s="22"/>
      <c r="U112" s="22"/>
      <c r="W112" s="22"/>
      <c r="X112" s="22"/>
      <c r="Y112" s="22"/>
      <c r="AA112" s="22"/>
      <c r="AB112" s="22"/>
      <c r="AC112" s="22"/>
      <c r="AE112" s="24"/>
      <c r="AF112" s="24"/>
      <c r="AG112" s="24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6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</row>
    <row r="113" spans="1:200" s="23" customFormat="1" ht="14.25" customHeight="1">
      <c r="A113" s="20"/>
      <c r="B113" s="85"/>
      <c r="C113" s="22"/>
      <c r="D113" s="22"/>
      <c r="E113" s="22"/>
      <c r="G113" s="22"/>
      <c r="H113" s="22"/>
      <c r="I113" s="22"/>
      <c r="K113" s="22"/>
      <c r="L113" s="22"/>
      <c r="M113" s="22"/>
      <c r="O113" s="22"/>
      <c r="P113" s="22"/>
      <c r="Q113" s="22"/>
      <c r="S113" s="22"/>
      <c r="T113" s="22"/>
      <c r="U113" s="22"/>
      <c r="W113" s="22"/>
      <c r="X113" s="22"/>
      <c r="Y113" s="22"/>
      <c r="AA113" s="22"/>
      <c r="AB113" s="22"/>
      <c r="AC113" s="22"/>
      <c r="AE113" s="24"/>
      <c r="AF113" s="24"/>
      <c r="AG113" s="24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6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</row>
    <row r="114" spans="1:200" s="23" customFormat="1" ht="14.25" customHeight="1">
      <c r="A114" s="20"/>
      <c r="B114" s="85"/>
      <c r="C114" s="22"/>
      <c r="D114" s="22"/>
      <c r="E114" s="22"/>
      <c r="G114" s="22"/>
      <c r="H114" s="22"/>
      <c r="I114" s="22"/>
      <c r="K114" s="22"/>
      <c r="L114" s="22"/>
      <c r="M114" s="22"/>
      <c r="O114" s="22"/>
      <c r="P114" s="22"/>
      <c r="Q114" s="22"/>
      <c r="S114" s="22"/>
      <c r="T114" s="22"/>
      <c r="U114" s="22"/>
      <c r="W114" s="22"/>
      <c r="X114" s="22"/>
      <c r="Y114" s="22"/>
      <c r="AA114" s="22"/>
      <c r="AB114" s="22"/>
      <c r="AC114" s="22"/>
      <c r="AE114" s="24"/>
      <c r="AF114" s="24"/>
      <c r="AG114" s="24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6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</row>
    <row r="115" spans="1:200" s="23" customFormat="1" ht="14.25" customHeight="1">
      <c r="A115" s="20"/>
      <c r="B115" s="85"/>
      <c r="C115" s="22"/>
      <c r="D115" s="22"/>
      <c r="E115" s="22"/>
      <c r="G115" s="22"/>
      <c r="H115" s="22"/>
      <c r="I115" s="22"/>
      <c r="K115" s="22"/>
      <c r="L115" s="22"/>
      <c r="M115" s="22"/>
      <c r="O115" s="22"/>
      <c r="P115" s="22"/>
      <c r="Q115" s="22"/>
      <c r="S115" s="22"/>
      <c r="T115" s="22"/>
      <c r="U115" s="22"/>
      <c r="W115" s="22"/>
      <c r="X115" s="22"/>
      <c r="Y115" s="22"/>
      <c r="AA115" s="22"/>
      <c r="AB115" s="22"/>
      <c r="AC115" s="22"/>
      <c r="AE115" s="24"/>
      <c r="AF115" s="24"/>
      <c r="AG115" s="24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6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</row>
    <row r="116" spans="1:200" s="23" customFormat="1" ht="14.25" customHeight="1">
      <c r="A116" s="20"/>
      <c r="B116" s="85"/>
      <c r="C116" s="22"/>
      <c r="D116" s="22"/>
      <c r="E116" s="22"/>
      <c r="G116" s="22"/>
      <c r="H116" s="22"/>
      <c r="I116" s="22"/>
      <c r="K116" s="22"/>
      <c r="L116" s="22"/>
      <c r="M116" s="22"/>
      <c r="O116" s="22"/>
      <c r="P116" s="22"/>
      <c r="Q116" s="22"/>
      <c r="S116" s="22"/>
      <c r="T116" s="22"/>
      <c r="U116" s="22"/>
      <c r="W116" s="22"/>
      <c r="X116" s="22"/>
      <c r="Y116" s="22"/>
      <c r="AA116" s="22"/>
      <c r="AB116" s="22"/>
      <c r="AC116" s="22"/>
      <c r="AE116" s="24"/>
      <c r="AF116" s="24"/>
      <c r="AG116" s="24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6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</row>
    <row r="117" spans="1:200" s="23" customFormat="1" ht="14.25" customHeight="1">
      <c r="A117" s="20"/>
      <c r="B117" s="85"/>
      <c r="C117" s="22"/>
      <c r="D117" s="22"/>
      <c r="E117" s="22"/>
      <c r="G117" s="22"/>
      <c r="H117" s="22"/>
      <c r="I117" s="22"/>
      <c r="K117" s="22"/>
      <c r="L117" s="22"/>
      <c r="M117" s="22"/>
      <c r="O117" s="22"/>
      <c r="P117" s="22"/>
      <c r="Q117" s="22"/>
      <c r="S117" s="22"/>
      <c r="T117" s="22"/>
      <c r="U117" s="22"/>
      <c r="W117" s="22"/>
      <c r="X117" s="22"/>
      <c r="Y117" s="22"/>
      <c r="AA117" s="22"/>
      <c r="AB117" s="22"/>
      <c r="AC117" s="22"/>
      <c r="AE117" s="24"/>
      <c r="AF117" s="24"/>
      <c r="AG117" s="24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6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</row>
    <row r="118" spans="1:200" s="23" customFormat="1" ht="14.25" customHeight="1">
      <c r="A118" s="20"/>
      <c r="B118" s="85"/>
      <c r="C118" s="22"/>
      <c r="D118" s="22"/>
      <c r="E118" s="22"/>
      <c r="G118" s="22"/>
      <c r="H118" s="22"/>
      <c r="I118" s="22"/>
      <c r="K118" s="22"/>
      <c r="L118" s="22"/>
      <c r="M118" s="22"/>
      <c r="O118" s="22"/>
      <c r="P118" s="22"/>
      <c r="Q118" s="22"/>
      <c r="S118" s="22"/>
      <c r="T118" s="22"/>
      <c r="U118" s="22"/>
      <c r="W118" s="22"/>
      <c r="X118" s="22"/>
      <c r="Y118" s="22"/>
      <c r="AA118" s="22"/>
      <c r="AB118" s="22"/>
      <c r="AC118" s="22"/>
      <c r="AE118" s="24"/>
      <c r="AF118" s="24"/>
      <c r="AG118" s="24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6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</row>
    <row r="119" spans="1:200" s="23" customFormat="1" ht="14.25" customHeight="1">
      <c r="A119" s="20"/>
      <c r="B119" s="85"/>
      <c r="C119" s="22"/>
      <c r="D119" s="22"/>
      <c r="E119" s="22"/>
      <c r="G119" s="22"/>
      <c r="H119" s="22"/>
      <c r="I119" s="22"/>
      <c r="K119" s="22"/>
      <c r="L119" s="22"/>
      <c r="M119" s="22"/>
      <c r="O119" s="22"/>
      <c r="P119" s="22"/>
      <c r="Q119" s="22"/>
      <c r="S119" s="22"/>
      <c r="T119" s="22"/>
      <c r="U119" s="22"/>
      <c r="W119" s="22"/>
      <c r="X119" s="22"/>
      <c r="Y119" s="22"/>
      <c r="AA119" s="22"/>
      <c r="AB119" s="22"/>
      <c r="AC119" s="22"/>
      <c r="AE119" s="24"/>
      <c r="AF119" s="24"/>
      <c r="AG119" s="24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6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</row>
    <row r="120" spans="1:200" s="23" customFormat="1" ht="14.25" customHeight="1">
      <c r="A120" s="20"/>
      <c r="B120" s="85"/>
      <c r="C120" s="22"/>
      <c r="D120" s="22"/>
      <c r="E120" s="22"/>
      <c r="G120" s="22"/>
      <c r="H120" s="22"/>
      <c r="I120" s="22"/>
      <c r="K120" s="22"/>
      <c r="L120" s="22"/>
      <c r="M120" s="22"/>
      <c r="O120" s="22"/>
      <c r="P120" s="22"/>
      <c r="Q120" s="22"/>
      <c r="S120" s="22"/>
      <c r="T120" s="22"/>
      <c r="U120" s="22"/>
      <c r="W120" s="22"/>
      <c r="X120" s="22"/>
      <c r="Y120" s="22"/>
      <c r="AA120" s="22"/>
      <c r="AB120" s="22"/>
      <c r="AC120" s="22"/>
      <c r="AE120" s="24"/>
      <c r="AF120" s="24"/>
      <c r="AG120" s="24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6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</row>
    <row r="121" spans="1:200" s="23" customFormat="1" ht="14.25" customHeight="1">
      <c r="A121" s="20"/>
      <c r="B121" s="85"/>
      <c r="C121" s="22"/>
      <c r="D121" s="22"/>
      <c r="E121" s="22"/>
      <c r="G121" s="22"/>
      <c r="H121" s="22"/>
      <c r="I121" s="22"/>
      <c r="K121" s="22"/>
      <c r="L121" s="22"/>
      <c r="M121" s="22"/>
      <c r="O121" s="22"/>
      <c r="P121" s="22"/>
      <c r="Q121" s="22"/>
      <c r="S121" s="22"/>
      <c r="T121" s="22"/>
      <c r="U121" s="22"/>
      <c r="W121" s="22"/>
      <c r="X121" s="22"/>
      <c r="Y121" s="22"/>
      <c r="AA121" s="22"/>
      <c r="AB121" s="22"/>
      <c r="AC121" s="22"/>
      <c r="AE121" s="24"/>
      <c r="AF121" s="24"/>
      <c r="AG121" s="24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6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</row>
    <row r="122" spans="1:200" s="23" customFormat="1" ht="14.25" customHeight="1">
      <c r="A122" s="20"/>
      <c r="B122" s="85"/>
      <c r="C122" s="22"/>
      <c r="D122" s="22"/>
      <c r="E122" s="22"/>
      <c r="G122" s="22"/>
      <c r="H122" s="22"/>
      <c r="I122" s="22"/>
      <c r="K122" s="22"/>
      <c r="L122" s="22"/>
      <c r="M122" s="22"/>
      <c r="O122" s="22"/>
      <c r="P122" s="22"/>
      <c r="Q122" s="22"/>
      <c r="S122" s="22"/>
      <c r="T122" s="22"/>
      <c r="U122" s="22"/>
      <c r="W122" s="22"/>
      <c r="X122" s="22"/>
      <c r="Y122" s="22"/>
      <c r="AA122" s="22"/>
      <c r="AB122" s="22"/>
      <c r="AC122" s="22"/>
      <c r="AE122" s="24"/>
      <c r="AF122" s="24"/>
      <c r="AG122" s="24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6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</row>
    <row r="123" spans="1:200" s="23" customFormat="1" ht="14.25" customHeight="1">
      <c r="A123" s="20"/>
      <c r="B123" s="85"/>
      <c r="C123" s="22"/>
      <c r="D123" s="22"/>
      <c r="E123" s="22"/>
      <c r="G123" s="22"/>
      <c r="H123" s="22"/>
      <c r="I123" s="22"/>
      <c r="K123" s="22"/>
      <c r="L123" s="22"/>
      <c r="M123" s="22"/>
      <c r="O123" s="22"/>
      <c r="P123" s="22"/>
      <c r="Q123" s="22"/>
      <c r="S123" s="22"/>
      <c r="T123" s="22"/>
      <c r="U123" s="22"/>
      <c r="W123" s="22"/>
      <c r="X123" s="22"/>
      <c r="Y123" s="22"/>
      <c r="AA123" s="22"/>
      <c r="AB123" s="22"/>
      <c r="AC123" s="22"/>
      <c r="AE123" s="24"/>
      <c r="AF123" s="24"/>
      <c r="AG123" s="24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6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</row>
    <row r="124" spans="1:200" s="23" customFormat="1" ht="14.25" customHeight="1">
      <c r="A124" s="20"/>
      <c r="B124" s="85"/>
      <c r="C124" s="22"/>
      <c r="D124" s="22"/>
      <c r="E124" s="22"/>
      <c r="G124" s="22"/>
      <c r="H124" s="22"/>
      <c r="I124" s="22"/>
      <c r="K124" s="22"/>
      <c r="L124" s="22"/>
      <c r="M124" s="22"/>
      <c r="O124" s="22"/>
      <c r="P124" s="22"/>
      <c r="Q124" s="22"/>
      <c r="S124" s="22"/>
      <c r="T124" s="22"/>
      <c r="U124" s="22"/>
      <c r="W124" s="22"/>
      <c r="X124" s="22"/>
      <c r="Y124" s="22"/>
      <c r="AA124" s="22"/>
      <c r="AB124" s="22"/>
      <c r="AC124" s="22"/>
      <c r="AE124" s="24"/>
      <c r="AF124" s="24"/>
      <c r="AG124" s="24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6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</row>
    <row r="125" spans="1:200" s="23" customFormat="1" ht="14.25" customHeight="1">
      <c r="A125" s="20"/>
      <c r="B125" s="85"/>
      <c r="C125" s="22"/>
      <c r="D125" s="22"/>
      <c r="E125" s="22"/>
      <c r="G125" s="22"/>
      <c r="H125" s="22"/>
      <c r="I125" s="22"/>
      <c r="K125" s="22"/>
      <c r="L125" s="22"/>
      <c r="M125" s="22"/>
      <c r="O125" s="22"/>
      <c r="P125" s="22"/>
      <c r="Q125" s="22"/>
      <c r="S125" s="22"/>
      <c r="T125" s="22"/>
      <c r="U125" s="22"/>
      <c r="W125" s="22"/>
      <c r="X125" s="22"/>
      <c r="Y125" s="22"/>
      <c r="AA125" s="22"/>
      <c r="AB125" s="22"/>
      <c r="AC125" s="22"/>
      <c r="AE125" s="24"/>
      <c r="AF125" s="24"/>
      <c r="AG125" s="24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6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</row>
    <row r="126" spans="1:200" s="23" customFormat="1" ht="14.25" customHeight="1">
      <c r="A126" s="20"/>
      <c r="B126" s="85"/>
      <c r="C126" s="22"/>
      <c r="D126" s="22"/>
      <c r="E126" s="22"/>
      <c r="G126" s="22"/>
      <c r="H126" s="22"/>
      <c r="I126" s="22"/>
      <c r="K126" s="22"/>
      <c r="L126" s="22"/>
      <c r="M126" s="22"/>
      <c r="O126" s="22"/>
      <c r="P126" s="22"/>
      <c r="Q126" s="22"/>
      <c r="S126" s="22"/>
      <c r="T126" s="22"/>
      <c r="U126" s="22"/>
      <c r="W126" s="22"/>
      <c r="X126" s="22"/>
      <c r="Y126" s="22"/>
      <c r="AA126" s="22"/>
      <c r="AB126" s="22"/>
      <c r="AC126" s="22"/>
      <c r="AE126" s="24"/>
      <c r="AF126" s="24"/>
      <c r="AG126" s="24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6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</row>
    <row r="127" spans="1:200" s="23" customFormat="1" ht="14.25" customHeight="1">
      <c r="A127" s="20"/>
      <c r="B127" s="85"/>
      <c r="C127" s="22"/>
      <c r="D127" s="22"/>
      <c r="E127" s="22"/>
      <c r="G127" s="22"/>
      <c r="H127" s="22"/>
      <c r="I127" s="22"/>
      <c r="K127" s="22"/>
      <c r="L127" s="22"/>
      <c r="M127" s="22"/>
      <c r="O127" s="22"/>
      <c r="P127" s="22"/>
      <c r="Q127" s="22"/>
      <c r="S127" s="22"/>
      <c r="T127" s="22"/>
      <c r="U127" s="22"/>
      <c r="W127" s="22"/>
      <c r="X127" s="22"/>
      <c r="Y127" s="22"/>
      <c r="AA127" s="22"/>
      <c r="AB127" s="22"/>
      <c r="AC127" s="22"/>
      <c r="AE127" s="24"/>
      <c r="AF127" s="24"/>
      <c r="AG127" s="24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6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</row>
    <row r="128" spans="1:200" s="23" customFormat="1" ht="14.25" customHeight="1">
      <c r="A128" s="20"/>
      <c r="B128" s="85"/>
      <c r="C128" s="22"/>
      <c r="D128" s="22"/>
      <c r="E128" s="22"/>
      <c r="G128" s="22"/>
      <c r="H128" s="22"/>
      <c r="I128" s="22"/>
      <c r="K128" s="22"/>
      <c r="L128" s="22"/>
      <c r="M128" s="22"/>
      <c r="O128" s="22"/>
      <c r="P128" s="22"/>
      <c r="Q128" s="22"/>
      <c r="S128" s="22"/>
      <c r="T128" s="22"/>
      <c r="U128" s="22"/>
      <c r="W128" s="22"/>
      <c r="X128" s="22"/>
      <c r="Y128" s="22"/>
      <c r="AA128" s="22"/>
      <c r="AB128" s="22"/>
      <c r="AC128" s="22"/>
      <c r="AE128" s="24"/>
      <c r="AF128" s="24"/>
      <c r="AG128" s="24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6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</row>
    <row r="129" spans="1:200" s="23" customFormat="1" ht="14.25" customHeight="1">
      <c r="A129" s="20"/>
      <c r="B129" s="85"/>
      <c r="C129" s="22"/>
      <c r="D129" s="22"/>
      <c r="E129" s="22"/>
      <c r="G129" s="22"/>
      <c r="H129" s="22"/>
      <c r="I129" s="22"/>
      <c r="K129" s="22"/>
      <c r="L129" s="22"/>
      <c r="M129" s="22"/>
      <c r="O129" s="22"/>
      <c r="P129" s="22"/>
      <c r="Q129" s="22"/>
      <c r="S129" s="22"/>
      <c r="T129" s="22"/>
      <c r="U129" s="22"/>
      <c r="W129" s="22"/>
      <c r="X129" s="22"/>
      <c r="Y129" s="22"/>
      <c r="AA129" s="22"/>
      <c r="AB129" s="22"/>
      <c r="AC129" s="22"/>
      <c r="AE129" s="24"/>
      <c r="AF129" s="24"/>
      <c r="AG129" s="24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6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</row>
    <row r="130" spans="1:200" s="23" customFormat="1" ht="14.25" customHeight="1">
      <c r="A130" s="20"/>
      <c r="B130" s="85"/>
      <c r="C130" s="22"/>
      <c r="D130" s="22"/>
      <c r="E130" s="22"/>
      <c r="G130" s="22"/>
      <c r="H130" s="22"/>
      <c r="I130" s="22"/>
      <c r="K130" s="22"/>
      <c r="L130" s="22"/>
      <c r="M130" s="22"/>
      <c r="O130" s="22"/>
      <c r="P130" s="22"/>
      <c r="Q130" s="22"/>
      <c r="S130" s="22"/>
      <c r="T130" s="22"/>
      <c r="U130" s="22"/>
      <c r="W130" s="22"/>
      <c r="X130" s="22"/>
      <c r="Y130" s="22"/>
      <c r="AA130" s="22"/>
      <c r="AB130" s="22"/>
      <c r="AC130" s="22"/>
      <c r="AE130" s="24"/>
      <c r="AF130" s="24"/>
      <c r="AG130" s="24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6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</row>
    <row r="131" spans="1:200" s="23" customFormat="1" ht="14.25" customHeight="1">
      <c r="A131" s="20"/>
      <c r="B131" s="85"/>
      <c r="C131" s="22"/>
      <c r="D131" s="22"/>
      <c r="E131" s="22"/>
      <c r="G131" s="22"/>
      <c r="H131" s="22"/>
      <c r="I131" s="22"/>
      <c r="K131" s="22"/>
      <c r="L131" s="22"/>
      <c r="M131" s="22"/>
      <c r="O131" s="22"/>
      <c r="P131" s="22"/>
      <c r="Q131" s="22"/>
      <c r="S131" s="22"/>
      <c r="T131" s="22"/>
      <c r="U131" s="22"/>
      <c r="W131" s="22"/>
      <c r="X131" s="22"/>
      <c r="Y131" s="22"/>
      <c r="AA131" s="22"/>
      <c r="AB131" s="22"/>
      <c r="AC131" s="22"/>
      <c r="AE131" s="24"/>
      <c r="AF131" s="24"/>
      <c r="AG131" s="24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6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</row>
    <row r="132" spans="1:200" s="23" customFormat="1" ht="14.25" customHeight="1">
      <c r="A132" s="20"/>
      <c r="B132" s="85"/>
      <c r="C132" s="22"/>
      <c r="D132" s="22"/>
      <c r="E132" s="22"/>
      <c r="G132" s="22"/>
      <c r="H132" s="22"/>
      <c r="I132" s="22"/>
      <c r="K132" s="22"/>
      <c r="L132" s="22"/>
      <c r="M132" s="22"/>
      <c r="O132" s="22"/>
      <c r="P132" s="22"/>
      <c r="Q132" s="22"/>
      <c r="S132" s="22"/>
      <c r="T132" s="22"/>
      <c r="U132" s="22"/>
      <c r="W132" s="22"/>
      <c r="X132" s="22"/>
      <c r="Y132" s="22"/>
      <c r="AA132" s="22"/>
      <c r="AB132" s="22"/>
      <c r="AC132" s="22"/>
      <c r="AE132" s="24"/>
      <c r="AF132" s="24"/>
      <c r="AG132" s="24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6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</row>
    <row r="133" spans="1:200" s="23" customFormat="1" ht="14.25" customHeight="1">
      <c r="A133" s="20"/>
      <c r="B133" s="85"/>
      <c r="C133" s="22"/>
      <c r="D133" s="22"/>
      <c r="E133" s="22"/>
      <c r="G133" s="22"/>
      <c r="H133" s="22"/>
      <c r="I133" s="22"/>
      <c r="K133" s="22"/>
      <c r="L133" s="22"/>
      <c r="M133" s="22"/>
      <c r="O133" s="22"/>
      <c r="P133" s="22"/>
      <c r="Q133" s="22"/>
      <c r="S133" s="22"/>
      <c r="T133" s="22"/>
      <c r="U133" s="22"/>
      <c r="W133" s="22"/>
      <c r="X133" s="22"/>
      <c r="Y133" s="22"/>
      <c r="AA133" s="22"/>
      <c r="AB133" s="22"/>
      <c r="AC133" s="22"/>
      <c r="AE133" s="24"/>
      <c r="AF133" s="24"/>
      <c r="AG133" s="24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6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</row>
    <row r="134" spans="1:200" s="23" customFormat="1" ht="14.25" customHeight="1">
      <c r="A134" s="20"/>
      <c r="B134" s="85"/>
      <c r="C134" s="22"/>
      <c r="D134" s="22"/>
      <c r="E134" s="22"/>
      <c r="G134" s="22"/>
      <c r="H134" s="22"/>
      <c r="I134" s="22"/>
      <c r="K134" s="22"/>
      <c r="L134" s="22"/>
      <c r="M134" s="22"/>
      <c r="O134" s="22"/>
      <c r="P134" s="22"/>
      <c r="Q134" s="22"/>
      <c r="S134" s="22"/>
      <c r="T134" s="22"/>
      <c r="U134" s="22"/>
      <c r="W134" s="22"/>
      <c r="X134" s="22"/>
      <c r="Y134" s="22"/>
      <c r="AA134" s="22"/>
      <c r="AB134" s="22"/>
      <c r="AC134" s="22"/>
      <c r="AE134" s="24"/>
      <c r="AF134" s="24"/>
      <c r="AG134" s="24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6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</row>
    <row r="135" spans="1:200" s="23" customFormat="1" ht="14.25" customHeight="1">
      <c r="A135" s="20"/>
      <c r="B135" s="85"/>
      <c r="C135" s="22"/>
      <c r="D135" s="22"/>
      <c r="E135" s="22"/>
      <c r="G135" s="22"/>
      <c r="H135" s="22"/>
      <c r="I135" s="22"/>
      <c r="K135" s="22"/>
      <c r="L135" s="22"/>
      <c r="M135" s="22"/>
      <c r="O135" s="22"/>
      <c r="P135" s="22"/>
      <c r="Q135" s="22"/>
      <c r="S135" s="22"/>
      <c r="T135" s="22"/>
      <c r="U135" s="22"/>
      <c r="W135" s="22"/>
      <c r="X135" s="22"/>
      <c r="Y135" s="22"/>
      <c r="AA135" s="22"/>
      <c r="AB135" s="22"/>
      <c r="AC135" s="22"/>
      <c r="AE135" s="24"/>
      <c r="AF135" s="24"/>
      <c r="AG135" s="24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6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</row>
    <row r="136" spans="1:200" s="23" customFormat="1" ht="14.25" customHeight="1">
      <c r="A136" s="20"/>
      <c r="B136" s="85"/>
      <c r="C136" s="22"/>
      <c r="D136" s="22"/>
      <c r="E136" s="22"/>
      <c r="G136" s="22"/>
      <c r="H136" s="22"/>
      <c r="I136" s="22"/>
      <c r="K136" s="22"/>
      <c r="L136" s="22"/>
      <c r="M136" s="22"/>
      <c r="O136" s="22"/>
      <c r="P136" s="22"/>
      <c r="Q136" s="22"/>
      <c r="S136" s="22"/>
      <c r="T136" s="22"/>
      <c r="U136" s="22"/>
      <c r="W136" s="22"/>
      <c r="X136" s="22"/>
      <c r="Y136" s="22"/>
      <c r="AA136" s="22"/>
      <c r="AB136" s="22"/>
      <c r="AC136" s="22"/>
      <c r="AE136" s="24"/>
      <c r="AF136" s="24"/>
      <c r="AG136" s="24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6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</row>
    <row r="137" spans="1:200" s="23" customFormat="1" ht="14.25" customHeight="1">
      <c r="A137" s="20"/>
      <c r="B137" s="85"/>
      <c r="C137" s="22"/>
      <c r="D137" s="22"/>
      <c r="E137" s="22"/>
      <c r="G137" s="22"/>
      <c r="H137" s="22"/>
      <c r="I137" s="22"/>
      <c r="K137" s="22"/>
      <c r="L137" s="22"/>
      <c r="M137" s="22"/>
      <c r="O137" s="22"/>
      <c r="P137" s="22"/>
      <c r="Q137" s="22"/>
      <c r="S137" s="22"/>
      <c r="T137" s="22"/>
      <c r="U137" s="22"/>
      <c r="W137" s="22"/>
      <c r="X137" s="22"/>
      <c r="Y137" s="22"/>
      <c r="AA137" s="22"/>
      <c r="AB137" s="22"/>
      <c r="AC137" s="22"/>
      <c r="AE137" s="24"/>
      <c r="AF137" s="24"/>
      <c r="AG137" s="24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6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</row>
    <row r="138" spans="1:200" s="23" customFormat="1" ht="14.25" customHeight="1">
      <c r="A138" s="20"/>
      <c r="B138" s="85"/>
      <c r="C138" s="22"/>
      <c r="D138" s="22"/>
      <c r="E138" s="22"/>
      <c r="G138" s="22"/>
      <c r="H138" s="22"/>
      <c r="I138" s="22"/>
      <c r="K138" s="22"/>
      <c r="L138" s="22"/>
      <c r="M138" s="22"/>
      <c r="O138" s="22"/>
      <c r="P138" s="22"/>
      <c r="Q138" s="22"/>
      <c r="S138" s="22"/>
      <c r="T138" s="22"/>
      <c r="U138" s="22"/>
      <c r="W138" s="22"/>
      <c r="X138" s="22"/>
      <c r="Y138" s="22"/>
      <c r="AA138" s="22"/>
      <c r="AB138" s="22"/>
      <c r="AC138" s="22"/>
      <c r="AE138" s="24"/>
      <c r="AF138" s="24"/>
      <c r="AG138" s="24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6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</row>
    <row r="139" spans="1:200" s="23" customFormat="1" ht="14.25" customHeight="1">
      <c r="A139" s="20"/>
      <c r="B139" s="85"/>
      <c r="C139" s="22"/>
      <c r="D139" s="22"/>
      <c r="E139" s="22"/>
      <c r="G139" s="22"/>
      <c r="H139" s="22"/>
      <c r="I139" s="22"/>
      <c r="K139" s="22"/>
      <c r="L139" s="22"/>
      <c r="M139" s="22"/>
      <c r="O139" s="22"/>
      <c r="P139" s="22"/>
      <c r="Q139" s="22"/>
      <c r="S139" s="22"/>
      <c r="T139" s="22"/>
      <c r="U139" s="22"/>
      <c r="W139" s="22"/>
      <c r="X139" s="22"/>
      <c r="Y139" s="22"/>
      <c r="AA139" s="22"/>
      <c r="AB139" s="22"/>
      <c r="AC139" s="22"/>
      <c r="AE139" s="24"/>
      <c r="AF139" s="24"/>
      <c r="AG139" s="24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6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</row>
    <row r="140" spans="1:200" s="23" customFormat="1" ht="14.25" customHeight="1">
      <c r="A140" s="20"/>
      <c r="B140" s="85"/>
      <c r="C140" s="22"/>
      <c r="D140" s="22"/>
      <c r="E140" s="22"/>
      <c r="G140" s="22"/>
      <c r="H140" s="22"/>
      <c r="I140" s="22"/>
      <c r="K140" s="22"/>
      <c r="L140" s="22"/>
      <c r="M140" s="22"/>
      <c r="O140" s="22"/>
      <c r="P140" s="22"/>
      <c r="Q140" s="22"/>
      <c r="S140" s="22"/>
      <c r="T140" s="22"/>
      <c r="U140" s="22"/>
      <c r="W140" s="22"/>
      <c r="X140" s="22"/>
      <c r="Y140" s="22"/>
      <c r="AA140" s="22"/>
      <c r="AB140" s="22"/>
      <c r="AC140" s="22"/>
      <c r="AE140" s="24"/>
      <c r="AF140" s="24"/>
      <c r="AG140" s="24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6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</row>
    <row r="141" spans="1:200" s="23" customFormat="1" ht="14.25" customHeight="1">
      <c r="A141" s="20"/>
      <c r="B141" s="85"/>
      <c r="C141" s="22"/>
      <c r="D141" s="22"/>
      <c r="E141" s="22"/>
      <c r="G141" s="22"/>
      <c r="H141" s="22"/>
      <c r="I141" s="22"/>
      <c r="K141" s="22"/>
      <c r="L141" s="22"/>
      <c r="M141" s="22"/>
      <c r="O141" s="22"/>
      <c r="P141" s="22"/>
      <c r="Q141" s="22"/>
      <c r="S141" s="22"/>
      <c r="T141" s="22"/>
      <c r="U141" s="22"/>
      <c r="W141" s="22"/>
      <c r="X141" s="22"/>
      <c r="Y141" s="22"/>
      <c r="AA141" s="22"/>
      <c r="AB141" s="22"/>
      <c r="AC141" s="22"/>
      <c r="AE141" s="24"/>
      <c r="AF141" s="24"/>
      <c r="AG141" s="24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6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</row>
    <row r="142" spans="1:200" s="23" customFormat="1" ht="14.25" customHeight="1">
      <c r="A142" s="20"/>
      <c r="B142" s="85"/>
      <c r="C142" s="22"/>
      <c r="D142" s="22"/>
      <c r="E142" s="22"/>
      <c r="G142" s="22"/>
      <c r="H142" s="22"/>
      <c r="I142" s="22"/>
      <c r="K142" s="22"/>
      <c r="L142" s="22"/>
      <c r="M142" s="22"/>
      <c r="O142" s="22"/>
      <c r="P142" s="22"/>
      <c r="Q142" s="22"/>
      <c r="S142" s="22"/>
      <c r="T142" s="22"/>
      <c r="U142" s="22"/>
      <c r="W142" s="22"/>
      <c r="X142" s="22"/>
      <c r="Y142" s="22"/>
      <c r="AA142" s="22"/>
      <c r="AB142" s="22"/>
      <c r="AC142" s="22"/>
      <c r="AE142" s="24"/>
      <c r="AF142" s="24"/>
      <c r="AG142" s="24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6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</row>
    <row r="143" spans="1:200" s="23" customFormat="1" ht="14.25" customHeight="1">
      <c r="A143" s="20"/>
      <c r="B143" s="85"/>
      <c r="C143" s="22"/>
      <c r="D143" s="22"/>
      <c r="E143" s="22"/>
      <c r="G143" s="22"/>
      <c r="H143" s="22"/>
      <c r="I143" s="22"/>
      <c r="K143" s="22"/>
      <c r="L143" s="22"/>
      <c r="M143" s="22"/>
      <c r="O143" s="22"/>
      <c r="P143" s="22"/>
      <c r="Q143" s="22"/>
      <c r="S143" s="22"/>
      <c r="T143" s="22"/>
      <c r="U143" s="22"/>
      <c r="W143" s="22"/>
      <c r="X143" s="22"/>
      <c r="Y143" s="22"/>
      <c r="AA143" s="22"/>
      <c r="AB143" s="22"/>
      <c r="AC143" s="22"/>
      <c r="AE143" s="24"/>
      <c r="AF143" s="24"/>
      <c r="AG143" s="24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6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</row>
    <row r="144" spans="1:200" s="23" customFormat="1" ht="14.25" customHeight="1">
      <c r="A144" s="20"/>
      <c r="B144" s="85"/>
      <c r="C144" s="22"/>
      <c r="D144" s="22"/>
      <c r="E144" s="22"/>
      <c r="G144" s="22"/>
      <c r="H144" s="22"/>
      <c r="I144" s="22"/>
      <c r="K144" s="22"/>
      <c r="L144" s="22"/>
      <c r="M144" s="22"/>
      <c r="O144" s="22"/>
      <c r="P144" s="22"/>
      <c r="Q144" s="22"/>
      <c r="S144" s="22"/>
      <c r="T144" s="22"/>
      <c r="U144" s="22"/>
      <c r="W144" s="22"/>
      <c r="X144" s="22"/>
      <c r="Y144" s="22"/>
      <c r="AA144" s="22"/>
      <c r="AB144" s="22"/>
      <c r="AC144" s="22"/>
      <c r="AE144" s="24"/>
      <c r="AF144" s="24"/>
      <c r="AG144" s="24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6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</row>
    <row r="145" spans="1:200" s="23" customFormat="1" ht="14.25" customHeight="1">
      <c r="A145" s="20"/>
      <c r="B145" s="85"/>
      <c r="C145" s="22"/>
      <c r="D145" s="22"/>
      <c r="E145" s="22"/>
      <c r="G145" s="22"/>
      <c r="H145" s="22"/>
      <c r="I145" s="22"/>
      <c r="K145" s="22"/>
      <c r="L145" s="22"/>
      <c r="M145" s="22"/>
      <c r="O145" s="22"/>
      <c r="P145" s="22"/>
      <c r="Q145" s="22"/>
      <c r="S145" s="22"/>
      <c r="T145" s="22"/>
      <c r="U145" s="22"/>
      <c r="W145" s="22"/>
      <c r="X145" s="22"/>
      <c r="Y145" s="22"/>
      <c r="AA145" s="22"/>
      <c r="AB145" s="22"/>
      <c r="AC145" s="22"/>
      <c r="AE145" s="24"/>
      <c r="AF145" s="24"/>
      <c r="AG145" s="24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6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</row>
    <row r="146" spans="1:200" s="23" customFormat="1" ht="14.25" customHeight="1">
      <c r="A146" s="20"/>
      <c r="B146" s="85"/>
      <c r="C146" s="22"/>
      <c r="D146" s="22"/>
      <c r="E146" s="22"/>
      <c r="G146" s="22"/>
      <c r="H146" s="22"/>
      <c r="I146" s="22"/>
      <c r="K146" s="22"/>
      <c r="L146" s="22"/>
      <c r="M146" s="22"/>
      <c r="O146" s="22"/>
      <c r="P146" s="22"/>
      <c r="Q146" s="22"/>
      <c r="S146" s="22"/>
      <c r="T146" s="22"/>
      <c r="U146" s="22"/>
      <c r="W146" s="22"/>
      <c r="X146" s="22"/>
      <c r="Y146" s="22"/>
      <c r="AA146" s="22"/>
      <c r="AB146" s="22"/>
      <c r="AC146" s="22"/>
      <c r="AE146" s="24"/>
      <c r="AF146" s="24"/>
      <c r="AG146" s="24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6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</row>
    <row r="147" spans="1:200" s="23" customFormat="1" ht="14.25" customHeight="1">
      <c r="A147" s="20"/>
      <c r="B147" s="85"/>
      <c r="C147" s="22"/>
      <c r="D147" s="22"/>
      <c r="E147" s="22"/>
      <c r="G147" s="22"/>
      <c r="H147" s="22"/>
      <c r="I147" s="22"/>
      <c r="K147" s="22"/>
      <c r="L147" s="22"/>
      <c r="M147" s="22"/>
      <c r="O147" s="22"/>
      <c r="P147" s="22"/>
      <c r="Q147" s="22"/>
      <c r="S147" s="22"/>
      <c r="T147" s="22"/>
      <c r="U147" s="22"/>
      <c r="W147" s="22"/>
      <c r="X147" s="22"/>
      <c r="Y147" s="22"/>
      <c r="AA147" s="22"/>
      <c r="AB147" s="22"/>
      <c r="AC147" s="22"/>
      <c r="AE147" s="24"/>
      <c r="AF147" s="24"/>
      <c r="AG147" s="24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6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</row>
    <row r="148" spans="1:200" s="23" customFormat="1" ht="14.25" customHeight="1">
      <c r="A148" s="20"/>
      <c r="B148" s="85"/>
      <c r="C148" s="22"/>
      <c r="D148" s="22"/>
      <c r="E148" s="22"/>
      <c r="G148" s="22"/>
      <c r="H148" s="22"/>
      <c r="I148" s="22"/>
      <c r="K148" s="22"/>
      <c r="L148" s="22"/>
      <c r="M148" s="22"/>
      <c r="O148" s="22"/>
      <c r="P148" s="22"/>
      <c r="Q148" s="22"/>
      <c r="S148" s="22"/>
      <c r="T148" s="22"/>
      <c r="U148" s="22"/>
      <c r="W148" s="22"/>
      <c r="X148" s="22"/>
      <c r="Y148" s="22"/>
      <c r="AA148" s="22"/>
      <c r="AB148" s="22"/>
      <c r="AC148" s="22"/>
      <c r="AE148" s="24"/>
      <c r="AF148" s="24"/>
      <c r="AG148" s="24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6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</row>
    <row r="149" spans="1:200" s="23" customFormat="1" ht="14.25" customHeight="1">
      <c r="A149" s="20"/>
      <c r="B149" s="85"/>
      <c r="C149" s="22"/>
      <c r="D149" s="22"/>
      <c r="E149" s="22"/>
      <c r="G149" s="22"/>
      <c r="H149" s="22"/>
      <c r="I149" s="22"/>
      <c r="K149" s="22"/>
      <c r="L149" s="22"/>
      <c r="M149" s="22"/>
      <c r="O149" s="22"/>
      <c r="P149" s="22"/>
      <c r="Q149" s="22"/>
      <c r="S149" s="22"/>
      <c r="T149" s="22"/>
      <c r="U149" s="22"/>
      <c r="W149" s="22"/>
      <c r="X149" s="22"/>
      <c r="Y149" s="22"/>
      <c r="AA149" s="22"/>
      <c r="AB149" s="22"/>
      <c r="AC149" s="22"/>
      <c r="AE149" s="24"/>
      <c r="AF149" s="24"/>
      <c r="AG149" s="24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6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</row>
    <row r="150" spans="1:200" s="23" customFormat="1" ht="14.25" customHeight="1">
      <c r="A150" s="20"/>
      <c r="B150" s="85"/>
      <c r="C150" s="22"/>
      <c r="D150" s="22"/>
      <c r="E150" s="22"/>
      <c r="G150" s="22"/>
      <c r="H150" s="22"/>
      <c r="I150" s="22"/>
      <c r="K150" s="22"/>
      <c r="L150" s="22"/>
      <c r="M150" s="22"/>
      <c r="O150" s="22"/>
      <c r="P150" s="22"/>
      <c r="Q150" s="22"/>
      <c r="S150" s="22"/>
      <c r="T150" s="22"/>
      <c r="U150" s="22"/>
      <c r="W150" s="22"/>
      <c r="X150" s="22"/>
      <c r="Y150" s="22"/>
      <c r="AA150" s="22"/>
      <c r="AB150" s="22"/>
      <c r="AC150" s="22"/>
      <c r="AE150" s="24"/>
      <c r="AF150" s="24"/>
      <c r="AG150" s="24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6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</row>
    <row r="151" spans="1:200" s="23" customFormat="1" ht="14.25" customHeight="1">
      <c r="A151" s="20"/>
      <c r="B151" s="85"/>
      <c r="C151" s="22"/>
      <c r="D151" s="22"/>
      <c r="E151" s="22"/>
      <c r="G151" s="22"/>
      <c r="H151" s="22"/>
      <c r="I151" s="22"/>
      <c r="K151" s="22"/>
      <c r="L151" s="22"/>
      <c r="M151" s="22"/>
      <c r="O151" s="22"/>
      <c r="P151" s="22"/>
      <c r="Q151" s="22"/>
      <c r="S151" s="22"/>
      <c r="T151" s="22"/>
      <c r="U151" s="22"/>
      <c r="W151" s="22"/>
      <c r="X151" s="22"/>
      <c r="Y151" s="22"/>
      <c r="AA151" s="22"/>
      <c r="AB151" s="22"/>
      <c r="AC151" s="22"/>
      <c r="AE151" s="24"/>
      <c r="AF151" s="24"/>
      <c r="AG151" s="24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6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</row>
    <row r="152" spans="1:200" s="23" customFormat="1" ht="14.25" customHeight="1">
      <c r="A152" s="20"/>
      <c r="B152" s="21"/>
      <c r="C152" s="22"/>
      <c r="D152" s="22"/>
      <c r="E152" s="22"/>
      <c r="G152" s="22"/>
      <c r="H152" s="22"/>
      <c r="I152" s="22"/>
      <c r="K152" s="22"/>
      <c r="L152" s="22"/>
      <c r="M152" s="22"/>
      <c r="O152" s="22"/>
      <c r="P152" s="22"/>
      <c r="Q152" s="22"/>
      <c r="S152" s="22"/>
      <c r="T152" s="22"/>
      <c r="U152" s="22"/>
      <c r="W152" s="22"/>
      <c r="X152" s="22"/>
      <c r="Y152" s="22"/>
      <c r="AA152" s="22"/>
      <c r="AB152" s="22"/>
      <c r="AC152" s="22"/>
      <c r="AE152" s="24"/>
      <c r="AF152" s="24"/>
      <c r="AG152" s="24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6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</row>
    <row r="153" spans="1:200" s="23" customFormat="1" ht="14.25" customHeight="1">
      <c r="A153" s="20"/>
      <c r="B153" s="21"/>
      <c r="C153" s="22"/>
      <c r="D153" s="22"/>
      <c r="E153" s="22"/>
      <c r="G153" s="22"/>
      <c r="H153" s="22"/>
      <c r="I153" s="22"/>
      <c r="K153" s="22"/>
      <c r="L153" s="22"/>
      <c r="M153" s="22"/>
      <c r="O153" s="22"/>
      <c r="P153" s="22"/>
      <c r="Q153" s="22"/>
      <c r="S153" s="22"/>
      <c r="T153" s="22"/>
      <c r="U153" s="22"/>
      <c r="W153" s="22"/>
      <c r="X153" s="22"/>
      <c r="Y153" s="22"/>
      <c r="AA153" s="22"/>
      <c r="AB153" s="22"/>
      <c r="AC153" s="22"/>
      <c r="AE153" s="24"/>
      <c r="AF153" s="24"/>
      <c r="AG153" s="24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6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</row>
    <row r="154" spans="1:200" s="23" customFormat="1" ht="14.25" customHeight="1">
      <c r="A154" s="20"/>
      <c r="B154" s="21"/>
      <c r="C154" s="22"/>
      <c r="D154" s="22"/>
      <c r="E154" s="22"/>
      <c r="G154" s="22"/>
      <c r="H154" s="22"/>
      <c r="I154" s="22"/>
      <c r="K154" s="22"/>
      <c r="L154" s="22"/>
      <c r="M154" s="22"/>
      <c r="O154" s="22"/>
      <c r="P154" s="22"/>
      <c r="Q154" s="22"/>
      <c r="S154" s="22"/>
      <c r="T154" s="22"/>
      <c r="U154" s="22"/>
      <c r="W154" s="22"/>
      <c r="X154" s="22"/>
      <c r="Y154" s="22"/>
      <c r="AA154" s="22"/>
      <c r="AB154" s="22"/>
      <c r="AC154" s="22"/>
      <c r="AE154" s="24"/>
      <c r="AF154" s="24"/>
      <c r="AG154" s="24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6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</row>
    <row r="155" spans="1:200" s="23" customFormat="1" ht="14.25" customHeight="1">
      <c r="A155" s="20"/>
      <c r="B155" s="21"/>
      <c r="C155" s="22"/>
      <c r="D155" s="22"/>
      <c r="E155" s="22"/>
      <c r="G155" s="22"/>
      <c r="H155" s="22"/>
      <c r="I155" s="22"/>
      <c r="K155" s="22"/>
      <c r="L155" s="22"/>
      <c r="M155" s="22"/>
      <c r="O155" s="22"/>
      <c r="P155" s="22"/>
      <c r="Q155" s="22"/>
      <c r="S155" s="22"/>
      <c r="T155" s="22"/>
      <c r="U155" s="22"/>
      <c r="W155" s="22"/>
      <c r="X155" s="22"/>
      <c r="Y155" s="22"/>
      <c r="AA155" s="22"/>
      <c r="AB155" s="22"/>
      <c r="AC155" s="22"/>
      <c r="AE155" s="24"/>
      <c r="AF155" s="24"/>
      <c r="AG155" s="24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6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</row>
    <row r="156" spans="1:200" s="23" customFormat="1" ht="14.25" customHeight="1">
      <c r="A156" s="20"/>
      <c r="B156" s="21"/>
      <c r="C156" s="22"/>
      <c r="D156" s="22"/>
      <c r="E156" s="22"/>
      <c r="G156" s="22"/>
      <c r="H156" s="22"/>
      <c r="I156" s="22"/>
      <c r="K156" s="22"/>
      <c r="L156" s="22"/>
      <c r="M156" s="22"/>
      <c r="O156" s="22"/>
      <c r="P156" s="22"/>
      <c r="Q156" s="22"/>
      <c r="S156" s="22"/>
      <c r="T156" s="22"/>
      <c r="U156" s="22"/>
      <c r="W156" s="22"/>
      <c r="X156" s="22"/>
      <c r="Y156" s="22"/>
      <c r="AA156" s="22"/>
      <c r="AB156" s="22"/>
      <c r="AC156" s="22"/>
      <c r="AE156" s="24"/>
      <c r="AF156" s="24"/>
      <c r="AG156" s="24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6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</row>
    <row r="157" spans="1:200" s="23" customFormat="1" ht="14.25" customHeight="1">
      <c r="A157" s="20"/>
      <c r="B157" s="21"/>
      <c r="C157" s="22"/>
      <c r="D157" s="22"/>
      <c r="E157" s="22"/>
      <c r="G157" s="22"/>
      <c r="H157" s="22"/>
      <c r="I157" s="22"/>
      <c r="K157" s="22"/>
      <c r="L157" s="22"/>
      <c r="M157" s="22"/>
      <c r="O157" s="22"/>
      <c r="P157" s="22"/>
      <c r="Q157" s="22"/>
      <c r="S157" s="22"/>
      <c r="T157" s="22"/>
      <c r="U157" s="22"/>
      <c r="W157" s="22"/>
      <c r="X157" s="22"/>
      <c r="Y157" s="22"/>
      <c r="AA157" s="22"/>
      <c r="AB157" s="22"/>
      <c r="AC157" s="22"/>
      <c r="AE157" s="24"/>
      <c r="AF157" s="24"/>
      <c r="AG157" s="24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6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</row>
    <row r="158" spans="1:200" s="23" customFormat="1" ht="14.25" customHeight="1">
      <c r="A158" s="20"/>
      <c r="B158" s="21"/>
      <c r="C158" s="22"/>
      <c r="D158" s="22"/>
      <c r="E158" s="22"/>
      <c r="G158" s="22"/>
      <c r="H158" s="22"/>
      <c r="I158" s="22"/>
      <c r="K158" s="22"/>
      <c r="L158" s="22"/>
      <c r="M158" s="22"/>
      <c r="O158" s="22"/>
      <c r="P158" s="22"/>
      <c r="Q158" s="22"/>
      <c r="S158" s="22"/>
      <c r="T158" s="22"/>
      <c r="U158" s="22"/>
      <c r="W158" s="22"/>
      <c r="X158" s="22"/>
      <c r="Y158" s="22"/>
      <c r="AA158" s="22"/>
      <c r="AB158" s="22"/>
      <c r="AC158" s="22"/>
      <c r="AE158" s="24"/>
      <c r="AF158" s="24"/>
      <c r="AG158" s="24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6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</row>
    <row r="159" spans="1:200" s="23" customFormat="1" ht="14.25" customHeight="1">
      <c r="A159" s="20"/>
      <c r="B159" s="21"/>
      <c r="C159" s="22"/>
      <c r="D159" s="22"/>
      <c r="E159" s="22"/>
      <c r="G159" s="22"/>
      <c r="H159" s="22"/>
      <c r="I159" s="22"/>
      <c r="K159" s="22"/>
      <c r="L159" s="22"/>
      <c r="M159" s="22"/>
      <c r="O159" s="22"/>
      <c r="P159" s="22"/>
      <c r="Q159" s="22"/>
      <c r="S159" s="22"/>
      <c r="T159" s="22"/>
      <c r="U159" s="22"/>
      <c r="W159" s="22"/>
      <c r="X159" s="22"/>
      <c r="Y159" s="22"/>
      <c r="AA159" s="22"/>
      <c r="AB159" s="22"/>
      <c r="AC159" s="22"/>
      <c r="AE159" s="24"/>
      <c r="AF159" s="24"/>
      <c r="AG159" s="24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6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  <c r="EZ159" s="24"/>
      <c r="FA159" s="24"/>
      <c r="FB159" s="24"/>
      <c r="FC159" s="24"/>
      <c r="FD159" s="24"/>
      <c r="FE159" s="24"/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</row>
    <row r="160" spans="1:200" s="23" customFormat="1" ht="14.25" customHeight="1">
      <c r="A160" s="20"/>
      <c r="B160" s="21"/>
      <c r="C160" s="22"/>
      <c r="D160" s="22"/>
      <c r="E160" s="22"/>
      <c r="G160" s="22"/>
      <c r="H160" s="22"/>
      <c r="I160" s="22"/>
      <c r="K160" s="22"/>
      <c r="L160" s="22"/>
      <c r="M160" s="22"/>
      <c r="O160" s="22"/>
      <c r="P160" s="22"/>
      <c r="Q160" s="22"/>
      <c r="S160" s="22"/>
      <c r="T160" s="22"/>
      <c r="U160" s="22"/>
      <c r="W160" s="22"/>
      <c r="X160" s="22"/>
      <c r="Y160" s="22"/>
      <c r="AA160" s="22"/>
      <c r="AB160" s="22"/>
      <c r="AC160" s="22"/>
      <c r="AE160" s="24"/>
      <c r="AF160" s="24"/>
      <c r="AG160" s="24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6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</row>
    <row r="161" spans="1:200" s="23" customFormat="1" ht="14.25" customHeight="1">
      <c r="A161" s="20"/>
      <c r="B161" s="21"/>
      <c r="C161" s="22"/>
      <c r="D161" s="22"/>
      <c r="E161" s="22"/>
      <c r="G161" s="22"/>
      <c r="H161" s="22"/>
      <c r="I161" s="22"/>
      <c r="K161" s="22"/>
      <c r="L161" s="22"/>
      <c r="M161" s="22"/>
      <c r="O161" s="22"/>
      <c r="P161" s="22"/>
      <c r="Q161" s="22"/>
      <c r="S161" s="22"/>
      <c r="T161" s="22"/>
      <c r="U161" s="22"/>
      <c r="W161" s="22"/>
      <c r="X161" s="22"/>
      <c r="Y161" s="22"/>
      <c r="AA161" s="22"/>
      <c r="AB161" s="22"/>
      <c r="AC161" s="22"/>
      <c r="AE161" s="24"/>
      <c r="AF161" s="24"/>
      <c r="AG161" s="24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6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</row>
    <row r="162" spans="1:200" s="23" customFormat="1" ht="14.25" customHeight="1">
      <c r="A162" s="20"/>
      <c r="B162" s="21"/>
      <c r="C162" s="22"/>
      <c r="D162" s="22"/>
      <c r="E162" s="22"/>
      <c r="G162" s="22"/>
      <c r="H162" s="22"/>
      <c r="I162" s="22"/>
      <c r="K162" s="22"/>
      <c r="L162" s="22"/>
      <c r="M162" s="22"/>
      <c r="O162" s="22"/>
      <c r="P162" s="22"/>
      <c r="Q162" s="22"/>
      <c r="S162" s="22"/>
      <c r="T162" s="22"/>
      <c r="U162" s="22"/>
      <c r="W162" s="22"/>
      <c r="X162" s="22"/>
      <c r="Y162" s="22"/>
      <c r="AA162" s="22"/>
      <c r="AB162" s="22"/>
      <c r="AC162" s="22"/>
      <c r="AE162" s="24"/>
      <c r="AF162" s="24"/>
      <c r="AG162" s="24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6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</row>
    <row r="163" spans="1:200" s="23" customFormat="1" ht="14.25" customHeight="1">
      <c r="A163" s="20"/>
      <c r="B163" s="21"/>
      <c r="C163" s="22"/>
      <c r="D163" s="22"/>
      <c r="E163" s="22"/>
      <c r="G163" s="22"/>
      <c r="H163" s="22"/>
      <c r="I163" s="22"/>
      <c r="K163" s="22"/>
      <c r="L163" s="22"/>
      <c r="M163" s="22"/>
      <c r="O163" s="22"/>
      <c r="P163" s="22"/>
      <c r="Q163" s="22"/>
      <c r="S163" s="22"/>
      <c r="T163" s="22"/>
      <c r="U163" s="22"/>
      <c r="W163" s="22"/>
      <c r="X163" s="22"/>
      <c r="Y163" s="22"/>
      <c r="AA163" s="22"/>
      <c r="AB163" s="22"/>
      <c r="AC163" s="22"/>
      <c r="AE163" s="24"/>
      <c r="AF163" s="24"/>
      <c r="AG163" s="24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6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</row>
    <row r="164" spans="1:200" s="23" customFormat="1" ht="14.25" customHeight="1">
      <c r="A164" s="20"/>
      <c r="B164" s="21"/>
      <c r="C164" s="22"/>
      <c r="D164" s="22"/>
      <c r="E164" s="22"/>
      <c r="G164" s="22"/>
      <c r="H164" s="22"/>
      <c r="I164" s="22"/>
      <c r="K164" s="22"/>
      <c r="L164" s="22"/>
      <c r="M164" s="22"/>
      <c r="O164" s="22"/>
      <c r="P164" s="22"/>
      <c r="Q164" s="22"/>
      <c r="S164" s="22"/>
      <c r="T164" s="22"/>
      <c r="U164" s="22"/>
      <c r="W164" s="22"/>
      <c r="X164" s="22"/>
      <c r="Y164" s="22"/>
      <c r="AA164" s="22"/>
      <c r="AB164" s="22"/>
      <c r="AC164" s="22"/>
      <c r="AE164" s="24"/>
      <c r="AF164" s="24"/>
      <c r="AG164" s="24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6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</row>
    <row r="165" spans="1:200" s="23" customFormat="1" ht="14.25" customHeight="1">
      <c r="A165" s="20"/>
      <c r="B165" s="21"/>
      <c r="C165" s="22"/>
      <c r="D165" s="22"/>
      <c r="E165" s="22"/>
      <c r="G165" s="22"/>
      <c r="H165" s="22"/>
      <c r="I165" s="22"/>
      <c r="K165" s="22"/>
      <c r="L165" s="22"/>
      <c r="M165" s="22"/>
      <c r="O165" s="22"/>
      <c r="P165" s="22"/>
      <c r="Q165" s="22"/>
      <c r="S165" s="22"/>
      <c r="T165" s="22"/>
      <c r="U165" s="22"/>
      <c r="W165" s="22"/>
      <c r="X165" s="22"/>
      <c r="Y165" s="22"/>
      <c r="AA165" s="22"/>
      <c r="AB165" s="22"/>
      <c r="AC165" s="22"/>
      <c r="AE165" s="24"/>
      <c r="AF165" s="24"/>
      <c r="AG165" s="24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6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</row>
    <row r="166" spans="1:200" s="23" customFormat="1" ht="14.25" customHeight="1">
      <c r="A166" s="20"/>
      <c r="B166" s="21"/>
      <c r="C166" s="22"/>
      <c r="D166" s="22"/>
      <c r="E166" s="22"/>
      <c r="G166" s="22"/>
      <c r="H166" s="22"/>
      <c r="I166" s="22"/>
      <c r="K166" s="22"/>
      <c r="L166" s="22"/>
      <c r="M166" s="22"/>
      <c r="O166" s="22"/>
      <c r="P166" s="22"/>
      <c r="Q166" s="22"/>
      <c r="S166" s="22"/>
      <c r="T166" s="22"/>
      <c r="U166" s="22"/>
      <c r="W166" s="22"/>
      <c r="X166" s="22"/>
      <c r="Y166" s="22"/>
      <c r="AA166" s="22"/>
      <c r="AB166" s="22"/>
      <c r="AC166" s="22"/>
      <c r="AE166" s="24"/>
      <c r="AF166" s="24"/>
      <c r="AG166" s="24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6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</row>
    <row r="167" spans="1:200" s="23" customFormat="1" ht="14.25" customHeight="1">
      <c r="A167" s="20"/>
      <c r="B167" s="21"/>
      <c r="C167" s="22"/>
      <c r="D167" s="22"/>
      <c r="E167" s="22"/>
      <c r="G167" s="22"/>
      <c r="H167" s="22"/>
      <c r="I167" s="22"/>
      <c r="K167" s="22"/>
      <c r="L167" s="22"/>
      <c r="M167" s="22"/>
      <c r="O167" s="22"/>
      <c r="P167" s="22"/>
      <c r="Q167" s="22"/>
      <c r="S167" s="22"/>
      <c r="T167" s="22"/>
      <c r="U167" s="22"/>
      <c r="W167" s="22"/>
      <c r="X167" s="22"/>
      <c r="Y167" s="22"/>
      <c r="AA167" s="22"/>
      <c r="AB167" s="22"/>
      <c r="AC167" s="22"/>
      <c r="AE167" s="24"/>
      <c r="AF167" s="24"/>
      <c r="AG167" s="24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6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</row>
    <row r="168" spans="1:200" s="23" customFormat="1" ht="14.25" customHeight="1">
      <c r="A168" s="20"/>
      <c r="B168" s="21"/>
      <c r="C168" s="22"/>
      <c r="D168" s="22"/>
      <c r="E168" s="22"/>
      <c r="G168" s="22"/>
      <c r="H168" s="22"/>
      <c r="I168" s="22"/>
      <c r="K168" s="22"/>
      <c r="L168" s="22"/>
      <c r="M168" s="22"/>
      <c r="O168" s="22"/>
      <c r="P168" s="22"/>
      <c r="Q168" s="22"/>
      <c r="S168" s="22"/>
      <c r="T168" s="22"/>
      <c r="U168" s="22"/>
      <c r="W168" s="22"/>
      <c r="X168" s="22"/>
      <c r="Y168" s="22"/>
      <c r="AA168" s="22"/>
      <c r="AB168" s="22"/>
      <c r="AC168" s="22"/>
      <c r="AE168" s="24"/>
      <c r="AF168" s="24"/>
      <c r="AG168" s="24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6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</row>
    <row r="169" spans="1:200" s="23" customFormat="1" ht="14.25" customHeight="1">
      <c r="A169" s="20"/>
      <c r="B169" s="21"/>
      <c r="C169" s="22"/>
      <c r="D169" s="22"/>
      <c r="E169" s="22"/>
      <c r="G169" s="22"/>
      <c r="H169" s="22"/>
      <c r="I169" s="22"/>
      <c r="K169" s="22"/>
      <c r="L169" s="22"/>
      <c r="M169" s="22"/>
      <c r="O169" s="22"/>
      <c r="P169" s="22"/>
      <c r="Q169" s="22"/>
      <c r="S169" s="22"/>
      <c r="T169" s="22"/>
      <c r="U169" s="22"/>
      <c r="W169" s="22"/>
      <c r="X169" s="22"/>
      <c r="Y169" s="22"/>
      <c r="AA169" s="22"/>
      <c r="AB169" s="22"/>
      <c r="AC169" s="22"/>
      <c r="AE169" s="24"/>
      <c r="AF169" s="24"/>
      <c r="AG169" s="24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6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</row>
    <row r="170" spans="1:200" s="23" customFormat="1" ht="14.25" customHeight="1">
      <c r="A170" s="20"/>
      <c r="B170" s="21"/>
      <c r="C170" s="22"/>
      <c r="D170" s="22"/>
      <c r="E170" s="22"/>
      <c r="G170" s="22"/>
      <c r="H170" s="22"/>
      <c r="I170" s="22"/>
      <c r="K170" s="22"/>
      <c r="L170" s="22"/>
      <c r="M170" s="22"/>
      <c r="O170" s="22"/>
      <c r="P170" s="22"/>
      <c r="Q170" s="22"/>
      <c r="S170" s="22"/>
      <c r="T170" s="22"/>
      <c r="U170" s="22"/>
      <c r="W170" s="22"/>
      <c r="X170" s="22"/>
      <c r="Y170" s="22"/>
      <c r="AA170" s="22"/>
      <c r="AB170" s="22"/>
      <c r="AC170" s="22"/>
      <c r="AE170" s="24"/>
      <c r="AF170" s="24"/>
      <c r="AG170" s="24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6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</row>
    <row r="171" spans="1:200" s="23" customFormat="1" ht="14.25" customHeight="1">
      <c r="A171" s="20"/>
      <c r="B171" s="21"/>
      <c r="C171" s="22"/>
      <c r="D171" s="22"/>
      <c r="E171" s="22"/>
      <c r="G171" s="22"/>
      <c r="H171" s="22"/>
      <c r="I171" s="22"/>
      <c r="K171" s="22"/>
      <c r="L171" s="22"/>
      <c r="M171" s="22"/>
      <c r="O171" s="22"/>
      <c r="P171" s="22"/>
      <c r="Q171" s="22"/>
      <c r="S171" s="22"/>
      <c r="T171" s="22"/>
      <c r="U171" s="22"/>
      <c r="W171" s="22"/>
      <c r="X171" s="22"/>
      <c r="Y171" s="22"/>
      <c r="AA171" s="22"/>
      <c r="AB171" s="22"/>
      <c r="AC171" s="22"/>
      <c r="AE171" s="24"/>
      <c r="AF171" s="24"/>
      <c r="AG171" s="24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6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</row>
    <row r="172" spans="1:200" s="23" customFormat="1" ht="14.25" customHeight="1">
      <c r="A172" s="20"/>
      <c r="B172" s="21"/>
      <c r="C172" s="22"/>
      <c r="D172" s="22"/>
      <c r="E172" s="22"/>
      <c r="G172" s="22"/>
      <c r="H172" s="22"/>
      <c r="I172" s="22"/>
      <c r="K172" s="22"/>
      <c r="L172" s="22"/>
      <c r="M172" s="22"/>
      <c r="O172" s="22"/>
      <c r="P172" s="22"/>
      <c r="Q172" s="22"/>
      <c r="S172" s="22"/>
      <c r="T172" s="22"/>
      <c r="U172" s="22"/>
      <c r="W172" s="22"/>
      <c r="X172" s="22"/>
      <c r="Y172" s="22"/>
      <c r="AA172" s="22"/>
      <c r="AB172" s="22"/>
      <c r="AC172" s="22"/>
      <c r="AE172" s="24"/>
      <c r="AF172" s="24"/>
      <c r="AG172" s="24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6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</row>
    <row r="173" spans="1:200" s="23" customFormat="1" ht="14.25" customHeight="1">
      <c r="A173" s="20"/>
      <c r="B173" s="21"/>
      <c r="C173" s="22"/>
      <c r="D173" s="22"/>
      <c r="E173" s="22"/>
      <c r="G173" s="22"/>
      <c r="H173" s="22"/>
      <c r="I173" s="22"/>
      <c r="K173" s="22"/>
      <c r="L173" s="22"/>
      <c r="M173" s="22"/>
      <c r="O173" s="22"/>
      <c r="P173" s="22"/>
      <c r="Q173" s="22"/>
      <c r="S173" s="22"/>
      <c r="T173" s="22"/>
      <c r="U173" s="22"/>
      <c r="W173" s="22"/>
      <c r="X173" s="22"/>
      <c r="Y173" s="22"/>
      <c r="AA173" s="22"/>
      <c r="AB173" s="22"/>
      <c r="AC173" s="22"/>
      <c r="AE173" s="24"/>
      <c r="AF173" s="24"/>
      <c r="AG173" s="24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6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</row>
    <row r="174" spans="1:200" s="23" customFormat="1" ht="14.25" customHeight="1">
      <c r="A174" s="20"/>
      <c r="B174" s="21"/>
      <c r="C174" s="22"/>
      <c r="D174" s="22"/>
      <c r="E174" s="22"/>
      <c r="G174" s="22"/>
      <c r="H174" s="22"/>
      <c r="I174" s="22"/>
      <c r="K174" s="22"/>
      <c r="L174" s="22"/>
      <c r="M174" s="22"/>
      <c r="O174" s="22"/>
      <c r="P174" s="22"/>
      <c r="Q174" s="22"/>
      <c r="S174" s="22"/>
      <c r="T174" s="22"/>
      <c r="U174" s="22"/>
      <c r="W174" s="22"/>
      <c r="X174" s="22"/>
      <c r="Y174" s="22"/>
      <c r="AA174" s="22"/>
      <c r="AB174" s="22"/>
      <c r="AC174" s="22"/>
      <c r="AE174" s="24"/>
      <c r="AF174" s="24"/>
      <c r="AG174" s="24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6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</row>
    <row r="175" spans="1:200" s="23" customFormat="1" ht="14.25" customHeight="1">
      <c r="A175" s="20"/>
      <c r="B175" s="21"/>
      <c r="C175" s="22"/>
      <c r="D175" s="22"/>
      <c r="E175" s="22"/>
      <c r="G175" s="22"/>
      <c r="H175" s="22"/>
      <c r="I175" s="22"/>
      <c r="K175" s="22"/>
      <c r="L175" s="22"/>
      <c r="M175" s="22"/>
      <c r="O175" s="22"/>
      <c r="P175" s="22"/>
      <c r="Q175" s="22"/>
      <c r="S175" s="22"/>
      <c r="T175" s="22"/>
      <c r="U175" s="22"/>
      <c r="W175" s="22"/>
      <c r="X175" s="22"/>
      <c r="Y175" s="22"/>
      <c r="AA175" s="22"/>
      <c r="AB175" s="22"/>
      <c r="AC175" s="22"/>
      <c r="AE175" s="24"/>
      <c r="AF175" s="24"/>
      <c r="AG175" s="24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6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</row>
    <row r="176" spans="1:200" s="23" customFormat="1" ht="14.25" customHeight="1">
      <c r="A176" s="20"/>
      <c r="B176" s="21"/>
      <c r="C176" s="22"/>
      <c r="D176" s="22"/>
      <c r="E176" s="22"/>
      <c r="G176" s="22"/>
      <c r="H176" s="22"/>
      <c r="I176" s="22"/>
      <c r="K176" s="22"/>
      <c r="L176" s="22"/>
      <c r="M176" s="22"/>
      <c r="O176" s="22"/>
      <c r="P176" s="22"/>
      <c r="Q176" s="22"/>
      <c r="S176" s="22"/>
      <c r="T176" s="22"/>
      <c r="U176" s="22"/>
      <c r="W176" s="22"/>
      <c r="X176" s="22"/>
      <c r="Y176" s="22"/>
      <c r="AA176" s="22"/>
      <c r="AB176" s="22"/>
      <c r="AC176" s="22"/>
      <c r="AE176" s="24"/>
      <c r="AF176" s="24"/>
      <c r="AG176" s="24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6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</row>
    <row r="177" spans="1:200" s="23" customFormat="1" ht="14.25" customHeight="1">
      <c r="A177" s="20"/>
      <c r="B177" s="21"/>
      <c r="C177" s="22"/>
      <c r="D177" s="22"/>
      <c r="E177" s="22"/>
      <c r="G177" s="22"/>
      <c r="H177" s="22"/>
      <c r="I177" s="22"/>
      <c r="K177" s="22"/>
      <c r="L177" s="22"/>
      <c r="M177" s="22"/>
      <c r="O177" s="22"/>
      <c r="P177" s="22"/>
      <c r="Q177" s="22"/>
      <c r="S177" s="22"/>
      <c r="T177" s="22"/>
      <c r="U177" s="22"/>
      <c r="W177" s="22"/>
      <c r="X177" s="22"/>
      <c r="Y177" s="22"/>
      <c r="AA177" s="22"/>
      <c r="AB177" s="22"/>
      <c r="AC177" s="22"/>
      <c r="AE177" s="24"/>
      <c r="AF177" s="24"/>
      <c r="AG177" s="24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6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</row>
    <row r="178" spans="1:200" s="23" customFormat="1" ht="14.25" customHeight="1">
      <c r="A178" s="20"/>
      <c r="B178" s="21"/>
      <c r="C178" s="22"/>
      <c r="D178" s="22"/>
      <c r="E178" s="22"/>
      <c r="G178" s="22"/>
      <c r="H178" s="22"/>
      <c r="I178" s="22"/>
      <c r="K178" s="22"/>
      <c r="L178" s="22"/>
      <c r="M178" s="22"/>
      <c r="O178" s="22"/>
      <c r="P178" s="22"/>
      <c r="Q178" s="22"/>
      <c r="S178" s="22"/>
      <c r="T178" s="22"/>
      <c r="U178" s="22"/>
      <c r="W178" s="22"/>
      <c r="X178" s="22"/>
      <c r="Y178" s="22"/>
      <c r="AA178" s="22"/>
      <c r="AB178" s="22"/>
      <c r="AC178" s="22"/>
      <c r="AE178" s="24"/>
      <c r="AF178" s="24"/>
      <c r="AG178" s="24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6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</row>
    <row r="179" spans="1:200" s="23" customFormat="1" ht="14.25" customHeight="1">
      <c r="A179" s="20"/>
      <c r="B179" s="21"/>
      <c r="C179" s="22"/>
      <c r="D179" s="22"/>
      <c r="E179" s="22"/>
      <c r="G179" s="22"/>
      <c r="H179" s="22"/>
      <c r="I179" s="22"/>
      <c r="K179" s="22"/>
      <c r="L179" s="22"/>
      <c r="M179" s="22"/>
      <c r="O179" s="22"/>
      <c r="P179" s="22"/>
      <c r="Q179" s="22"/>
      <c r="S179" s="22"/>
      <c r="T179" s="22"/>
      <c r="U179" s="22"/>
      <c r="W179" s="22"/>
      <c r="X179" s="22"/>
      <c r="Y179" s="22"/>
      <c r="AA179" s="22"/>
      <c r="AB179" s="22"/>
      <c r="AC179" s="22"/>
      <c r="AE179" s="24"/>
      <c r="AF179" s="24"/>
      <c r="AG179" s="24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6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</row>
    <row r="180" spans="1:200" s="23" customFormat="1" ht="14.25" customHeight="1">
      <c r="A180" s="20"/>
      <c r="B180" s="21"/>
      <c r="C180" s="22"/>
      <c r="D180" s="22"/>
      <c r="E180" s="22"/>
      <c r="G180" s="22"/>
      <c r="H180" s="22"/>
      <c r="I180" s="22"/>
      <c r="K180" s="22"/>
      <c r="L180" s="22"/>
      <c r="M180" s="22"/>
      <c r="O180" s="22"/>
      <c r="P180" s="22"/>
      <c r="Q180" s="22"/>
      <c r="S180" s="22"/>
      <c r="T180" s="22"/>
      <c r="U180" s="22"/>
      <c r="W180" s="22"/>
      <c r="X180" s="22"/>
      <c r="Y180" s="22"/>
      <c r="AA180" s="22"/>
      <c r="AB180" s="22"/>
      <c r="AC180" s="22"/>
      <c r="AE180" s="24"/>
      <c r="AF180" s="24"/>
      <c r="AG180" s="24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6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</row>
    <row r="181" spans="1:200" s="23" customFormat="1" ht="14.25" customHeight="1">
      <c r="A181" s="20"/>
      <c r="B181" s="21"/>
      <c r="C181" s="22"/>
      <c r="D181" s="22"/>
      <c r="E181" s="22"/>
      <c r="G181" s="22"/>
      <c r="H181" s="22"/>
      <c r="I181" s="22"/>
      <c r="K181" s="22"/>
      <c r="L181" s="22"/>
      <c r="M181" s="22"/>
      <c r="O181" s="22"/>
      <c r="P181" s="22"/>
      <c r="Q181" s="22"/>
      <c r="S181" s="22"/>
      <c r="T181" s="22"/>
      <c r="U181" s="22"/>
      <c r="W181" s="22"/>
      <c r="X181" s="22"/>
      <c r="Y181" s="22"/>
      <c r="AA181" s="22"/>
      <c r="AB181" s="22"/>
      <c r="AC181" s="22"/>
      <c r="AE181" s="24"/>
      <c r="AF181" s="24"/>
      <c r="AG181" s="24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6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</row>
    <row r="182" spans="1:200" s="23" customFormat="1" ht="14.25" customHeight="1">
      <c r="A182" s="20"/>
      <c r="B182" s="21"/>
      <c r="C182" s="22"/>
      <c r="D182" s="22"/>
      <c r="E182" s="22"/>
      <c r="G182" s="22"/>
      <c r="H182" s="22"/>
      <c r="I182" s="22"/>
      <c r="K182" s="22"/>
      <c r="L182" s="22"/>
      <c r="M182" s="22"/>
      <c r="O182" s="22"/>
      <c r="P182" s="22"/>
      <c r="Q182" s="22"/>
      <c r="S182" s="22"/>
      <c r="T182" s="22"/>
      <c r="U182" s="22"/>
      <c r="W182" s="22"/>
      <c r="X182" s="22"/>
      <c r="Y182" s="22"/>
      <c r="AA182" s="22"/>
      <c r="AB182" s="22"/>
      <c r="AC182" s="22"/>
      <c r="AE182" s="24"/>
      <c r="AF182" s="24"/>
      <c r="AG182" s="24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6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</row>
    <row r="183" spans="1:200" s="23" customFormat="1" ht="14.25" customHeight="1">
      <c r="A183" s="20"/>
      <c r="B183" s="21"/>
      <c r="C183" s="22"/>
      <c r="D183" s="22"/>
      <c r="E183" s="22"/>
      <c r="G183" s="22"/>
      <c r="H183" s="22"/>
      <c r="I183" s="22"/>
      <c r="K183" s="22"/>
      <c r="L183" s="22"/>
      <c r="M183" s="22"/>
      <c r="O183" s="22"/>
      <c r="P183" s="22"/>
      <c r="Q183" s="22"/>
      <c r="S183" s="22"/>
      <c r="T183" s="22"/>
      <c r="U183" s="22"/>
      <c r="W183" s="22"/>
      <c r="X183" s="22"/>
      <c r="Y183" s="22"/>
      <c r="AA183" s="22"/>
      <c r="AB183" s="22"/>
      <c r="AC183" s="22"/>
      <c r="AE183" s="24"/>
      <c r="AF183" s="24"/>
      <c r="AG183" s="24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6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</row>
    <row r="184" spans="1:200" s="23" customFormat="1" ht="14.25" customHeight="1">
      <c r="A184" s="20"/>
      <c r="B184" s="21"/>
      <c r="C184" s="22"/>
      <c r="D184" s="22"/>
      <c r="E184" s="22"/>
      <c r="G184" s="22"/>
      <c r="H184" s="22"/>
      <c r="I184" s="22"/>
      <c r="K184" s="22"/>
      <c r="L184" s="22"/>
      <c r="M184" s="22"/>
      <c r="O184" s="22"/>
      <c r="P184" s="22"/>
      <c r="Q184" s="22"/>
      <c r="S184" s="22"/>
      <c r="T184" s="22"/>
      <c r="U184" s="22"/>
      <c r="W184" s="22"/>
      <c r="X184" s="22"/>
      <c r="Y184" s="22"/>
      <c r="AA184" s="22"/>
      <c r="AB184" s="22"/>
      <c r="AC184" s="22"/>
      <c r="AE184" s="24"/>
      <c r="AF184" s="24"/>
      <c r="AG184" s="24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6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</row>
    <row r="185" spans="1:200" s="23" customFormat="1" ht="14.25" customHeight="1">
      <c r="A185" s="20"/>
      <c r="B185" s="21"/>
      <c r="C185" s="22"/>
      <c r="D185" s="22"/>
      <c r="E185" s="22"/>
      <c r="G185" s="22"/>
      <c r="H185" s="22"/>
      <c r="I185" s="22"/>
      <c r="K185" s="22"/>
      <c r="L185" s="22"/>
      <c r="M185" s="22"/>
      <c r="O185" s="22"/>
      <c r="P185" s="22"/>
      <c r="Q185" s="22"/>
      <c r="S185" s="22"/>
      <c r="T185" s="22"/>
      <c r="U185" s="22"/>
      <c r="W185" s="22"/>
      <c r="X185" s="22"/>
      <c r="Y185" s="22"/>
      <c r="AA185" s="22"/>
      <c r="AB185" s="22"/>
      <c r="AC185" s="22"/>
      <c r="AE185" s="24"/>
      <c r="AF185" s="24"/>
      <c r="AG185" s="24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6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</row>
    <row r="186" spans="1:200" s="23" customFormat="1" ht="14.25" customHeight="1">
      <c r="A186" s="20"/>
      <c r="B186" s="21"/>
      <c r="C186" s="22"/>
      <c r="D186" s="22"/>
      <c r="E186" s="22"/>
      <c r="G186" s="22"/>
      <c r="H186" s="22"/>
      <c r="I186" s="22"/>
      <c r="K186" s="22"/>
      <c r="L186" s="22"/>
      <c r="M186" s="22"/>
      <c r="O186" s="22"/>
      <c r="P186" s="22"/>
      <c r="Q186" s="22"/>
      <c r="S186" s="22"/>
      <c r="T186" s="22"/>
      <c r="U186" s="22"/>
      <c r="W186" s="22"/>
      <c r="X186" s="22"/>
      <c r="Y186" s="22"/>
      <c r="AA186" s="22"/>
      <c r="AB186" s="22"/>
      <c r="AC186" s="22"/>
      <c r="AE186" s="24"/>
      <c r="AF186" s="24"/>
      <c r="AG186" s="24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6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</row>
    <row r="187" spans="1:200" s="23" customFormat="1" ht="14.25" customHeight="1">
      <c r="A187" s="20"/>
      <c r="B187" s="21"/>
      <c r="C187" s="22"/>
      <c r="D187" s="22"/>
      <c r="E187" s="22"/>
      <c r="G187" s="22"/>
      <c r="H187" s="22"/>
      <c r="I187" s="22"/>
      <c r="K187" s="22"/>
      <c r="L187" s="22"/>
      <c r="M187" s="22"/>
      <c r="O187" s="22"/>
      <c r="P187" s="22"/>
      <c r="Q187" s="22"/>
      <c r="S187" s="22"/>
      <c r="T187" s="22"/>
      <c r="U187" s="22"/>
      <c r="W187" s="22"/>
      <c r="X187" s="22"/>
      <c r="Y187" s="22"/>
      <c r="AA187" s="22"/>
      <c r="AB187" s="22"/>
      <c r="AC187" s="22"/>
      <c r="AE187" s="24"/>
      <c r="AF187" s="24"/>
      <c r="AG187" s="24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6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</row>
    <row r="188" spans="1:200" s="23" customFormat="1" ht="14.25" customHeight="1">
      <c r="A188" s="20"/>
      <c r="B188" s="21"/>
      <c r="C188" s="22"/>
      <c r="D188" s="22"/>
      <c r="E188" s="22"/>
      <c r="G188" s="22"/>
      <c r="H188" s="22"/>
      <c r="I188" s="22"/>
      <c r="K188" s="22"/>
      <c r="L188" s="22"/>
      <c r="M188" s="22"/>
      <c r="O188" s="22"/>
      <c r="P188" s="22"/>
      <c r="Q188" s="22"/>
      <c r="S188" s="22"/>
      <c r="T188" s="22"/>
      <c r="U188" s="22"/>
      <c r="W188" s="22"/>
      <c r="X188" s="22"/>
      <c r="Y188" s="22"/>
      <c r="AA188" s="22"/>
      <c r="AB188" s="22"/>
      <c r="AC188" s="22"/>
      <c r="AE188" s="24"/>
      <c r="AF188" s="24"/>
      <c r="AG188" s="24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6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</row>
    <row r="189" spans="1:200" s="23" customFormat="1" ht="14.25" customHeight="1">
      <c r="A189" s="20"/>
      <c r="B189" s="21"/>
      <c r="C189" s="22"/>
      <c r="D189" s="22"/>
      <c r="E189" s="22"/>
      <c r="G189" s="22"/>
      <c r="H189" s="22"/>
      <c r="I189" s="22"/>
      <c r="K189" s="22"/>
      <c r="L189" s="22"/>
      <c r="M189" s="22"/>
      <c r="O189" s="22"/>
      <c r="P189" s="22"/>
      <c r="Q189" s="22"/>
      <c r="S189" s="22"/>
      <c r="T189" s="22"/>
      <c r="U189" s="22"/>
      <c r="W189" s="22"/>
      <c r="X189" s="22"/>
      <c r="Y189" s="22"/>
      <c r="AA189" s="22"/>
      <c r="AB189" s="22"/>
      <c r="AC189" s="22"/>
      <c r="AE189" s="24"/>
      <c r="AF189" s="24"/>
      <c r="AG189" s="24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6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</row>
    <row r="190" spans="1:200" s="23" customFormat="1" ht="14.25" customHeight="1">
      <c r="A190" s="20"/>
      <c r="B190" s="21"/>
      <c r="C190" s="22"/>
      <c r="D190" s="22"/>
      <c r="E190" s="22"/>
      <c r="G190" s="22"/>
      <c r="H190" s="22"/>
      <c r="I190" s="22"/>
      <c r="K190" s="22"/>
      <c r="L190" s="22"/>
      <c r="M190" s="22"/>
      <c r="O190" s="22"/>
      <c r="P190" s="22"/>
      <c r="Q190" s="22"/>
      <c r="S190" s="22"/>
      <c r="T190" s="22"/>
      <c r="U190" s="22"/>
      <c r="W190" s="22"/>
      <c r="X190" s="22"/>
      <c r="Y190" s="22"/>
      <c r="AA190" s="22"/>
      <c r="AB190" s="22"/>
      <c r="AC190" s="22"/>
      <c r="AE190" s="24"/>
      <c r="AF190" s="24"/>
      <c r="AG190" s="24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6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</row>
    <row r="191" spans="1:200" s="23" customFormat="1" ht="14.25" customHeight="1">
      <c r="A191" s="20"/>
      <c r="B191" s="21"/>
      <c r="C191" s="22"/>
      <c r="D191" s="22"/>
      <c r="E191" s="22"/>
      <c r="G191" s="22"/>
      <c r="H191" s="22"/>
      <c r="I191" s="22"/>
      <c r="K191" s="22"/>
      <c r="L191" s="22"/>
      <c r="M191" s="22"/>
      <c r="O191" s="22"/>
      <c r="P191" s="22"/>
      <c r="Q191" s="22"/>
      <c r="S191" s="22"/>
      <c r="T191" s="22"/>
      <c r="U191" s="22"/>
      <c r="W191" s="22"/>
      <c r="X191" s="22"/>
      <c r="Y191" s="22"/>
      <c r="AA191" s="22"/>
      <c r="AB191" s="22"/>
      <c r="AC191" s="22"/>
      <c r="AE191" s="24"/>
      <c r="AF191" s="24"/>
      <c r="AG191" s="24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6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</row>
    <row r="192" spans="1:200" s="23" customFormat="1" ht="14.25" customHeight="1">
      <c r="A192" s="20"/>
      <c r="B192" s="21"/>
      <c r="C192" s="22"/>
      <c r="D192" s="22"/>
      <c r="E192" s="22"/>
      <c r="G192" s="22"/>
      <c r="H192" s="22"/>
      <c r="I192" s="22"/>
      <c r="K192" s="22"/>
      <c r="L192" s="22"/>
      <c r="M192" s="22"/>
      <c r="O192" s="22"/>
      <c r="P192" s="22"/>
      <c r="Q192" s="22"/>
      <c r="S192" s="22"/>
      <c r="T192" s="22"/>
      <c r="U192" s="22"/>
      <c r="W192" s="22"/>
      <c r="X192" s="22"/>
      <c r="Y192" s="22"/>
      <c r="AA192" s="22"/>
      <c r="AB192" s="22"/>
      <c r="AC192" s="22"/>
      <c r="AE192" s="24"/>
      <c r="AF192" s="24"/>
      <c r="AG192" s="24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6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</row>
    <row r="193" spans="1:200" s="23" customFormat="1" ht="14.25" customHeight="1">
      <c r="A193" s="20"/>
      <c r="B193" s="21"/>
      <c r="C193" s="22"/>
      <c r="D193" s="22"/>
      <c r="E193" s="22"/>
      <c r="G193" s="22"/>
      <c r="H193" s="22"/>
      <c r="I193" s="22"/>
      <c r="K193" s="22"/>
      <c r="L193" s="22"/>
      <c r="M193" s="22"/>
      <c r="O193" s="22"/>
      <c r="P193" s="22"/>
      <c r="Q193" s="22"/>
      <c r="S193" s="22"/>
      <c r="T193" s="22"/>
      <c r="U193" s="22"/>
      <c r="W193" s="22"/>
      <c r="X193" s="22"/>
      <c r="Y193" s="22"/>
      <c r="AA193" s="22"/>
      <c r="AB193" s="22"/>
      <c r="AC193" s="22"/>
      <c r="AE193" s="24"/>
      <c r="AF193" s="24"/>
      <c r="AG193" s="24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6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</row>
    <row r="194" spans="1:200" s="23" customFormat="1" ht="14.25" customHeight="1">
      <c r="A194" s="20"/>
      <c r="B194" s="21"/>
      <c r="C194" s="22"/>
      <c r="D194" s="22"/>
      <c r="E194" s="22"/>
      <c r="G194" s="22"/>
      <c r="H194" s="22"/>
      <c r="I194" s="22"/>
      <c r="K194" s="22"/>
      <c r="L194" s="22"/>
      <c r="M194" s="22"/>
      <c r="O194" s="22"/>
      <c r="P194" s="22"/>
      <c r="Q194" s="22"/>
      <c r="S194" s="22"/>
      <c r="T194" s="22"/>
      <c r="U194" s="22"/>
      <c r="W194" s="22"/>
      <c r="X194" s="22"/>
      <c r="Y194" s="22"/>
      <c r="AA194" s="22"/>
      <c r="AB194" s="22"/>
      <c r="AC194" s="22"/>
      <c r="AE194" s="24"/>
      <c r="AF194" s="24"/>
      <c r="AG194" s="24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6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</row>
    <row r="195" spans="1:200" s="23" customFormat="1" ht="14.25" customHeight="1">
      <c r="A195" s="20"/>
      <c r="B195" s="21"/>
      <c r="C195" s="22"/>
      <c r="D195" s="22"/>
      <c r="E195" s="22"/>
      <c r="G195" s="22"/>
      <c r="H195" s="22"/>
      <c r="I195" s="22"/>
      <c r="K195" s="22"/>
      <c r="L195" s="22"/>
      <c r="M195" s="22"/>
      <c r="O195" s="22"/>
      <c r="P195" s="22"/>
      <c r="Q195" s="22"/>
      <c r="S195" s="22"/>
      <c r="T195" s="22"/>
      <c r="U195" s="22"/>
      <c r="W195" s="22"/>
      <c r="X195" s="22"/>
      <c r="Y195" s="22"/>
      <c r="AA195" s="22"/>
      <c r="AB195" s="22"/>
      <c r="AC195" s="22"/>
      <c r="AE195" s="24"/>
      <c r="AF195" s="24"/>
      <c r="AG195" s="24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6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</row>
    <row r="196" spans="1:200" s="23" customFormat="1" ht="14.25" customHeight="1">
      <c r="A196" s="20"/>
      <c r="B196" s="21"/>
      <c r="C196" s="22"/>
      <c r="D196" s="22"/>
      <c r="E196" s="22"/>
      <c r="G196" s="22"/>
      <c r="H196" s="22"/>
      <c r="I196" s="22"/>
      <c r="K196" s="22"/>
      <c r="L196" s="22"/>
      <c r="M196" s="22"/>
      <c r="O196" s="22"/>
      <c r="P196" s="22"/>
      <c r="Q196" s="22"/>
      <c r="S196" s="22"/>
      <c r="T196" s="22"/>
      <c r="U196" s="22"/>
      <c r="W196" s="22"/>
      <c r="X196" s="22"/>
      <c r="Y196" s="22"/>
      <c r="AA196" s="22"/>
      <c r="AB196" s="22"/>
      <c r="AC196" s="22"/>
      <c r="AE196" s="24"/>
      <c r="AF196" s="24"/>
      <c r="AG196" s="24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6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</row>
    <row r="197" spans="1:200" s="23" customFormat="1" ht="14.25" customHeight="1">
      <c r="A197" s="20"/>
      <c r="B197" s="21"/>
      <c r="C197" s="22"/>
      <c r="D197" s="22"/>
      <c r="E197" s="22"/>
      <c r="G197" s="22"/>
      <c r="H197" s="22"/>
      <c r="I197" s="22"/>
      <c r="K197" s="22"/>
      <c r="L197" s="22"/>
      <c r="M197" s="22"/>
      <c r="O197" s="22"/>
      <c r="P197" s="22"/>
      <c r="Q197" s="22"/>
      <c r="S197" s="22"/>
      <c r="T197" s="22"/>
      <c r="U197" s="22"/>
      <c r="W197" s="22"/>
      <c r="X197" s="22"/>
      <c r="Y197" s="22"/>
      <c r="AA197" s="22"/>
      <c r="AB197" s="22"/>
      <c r="AC197" s="22"/>
      <c r="AE197" s="24"/>
      <c r="AF197" s="24"/>
      <c r="AG197" s="24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6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</row>
    <row r="198" spans="1:200" s="23" customFormat="1" ht="14.25" customHeight="1">
      <c r="A198" s="20"/>
      <c r="B198" s="21"/>
      <c r="C198" s="22"/>
      <c r="D198" s="22"/>
      <c r="E198" s="22"/>
      <c r="G198" s="22"/>
      <c r="H198" s="22"/>
      <c r="I198" s="22"/>
      <c r="K198" s="22"/>
      <c r="L198" s="22"/>
      <c r="M198" s="22"/>
      <c r="O198" s="22"/>
      <c r="P198" s="22"/>
      <c r="Q198" s="22"/>
      <c r="S198" s="22"/>
      <c r="T198" s="22"/>
      <c r="U198" s="22"/>
      <c r="W198" s="22"/>
      <c r="X198" s="22"/>
      <c r="Y198" s="22"/>
      <c r="AA198" s="22"/>
      <c r="AB198" s="22"/>
      <c r="AC198" s="22"/>
      <c r="AE198" s="24"/>
      <c r="AF198" s="24"/>
      <c r="AG198" s="24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6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</row>
    <row r="199" spans="1:200" s="23" customFormat="1" ht="14.25" customHeight="1">
      <c r="A199" s="20"/>
      <c r="B199" s="21"/>
      <c r="C199" s="22"/>
      <c r="D199" s="22"/>
      <c r="E199" s="22"/>
      <c r="G199" s="22"/>
      <c r="H199" s="22"/>
      <c r="I199" s="22"/>
      <c r="K199" s="22"/>
      <c r="L199" s="22"/>
      <c r="M199" s="22"/>
      <c r="O199" s="22"/>
      <c r="P199" s="22"/>
      <c r="Q199" s="22"/>
      <c r="S199" s="22"/>
      <c r="T199" s="22"/>
      <c r="U199" s="22"/>
      <c r="W199" s="22"/>
      <c r="X199" s="22"/>
      <c r="Y199" s="22"/>
      <c r="AA199" s="22"/>
      <c r="AB199" s="22"/>
      <c r="AC199" s="22"/>
      <c r="AE199" s="24"/>
      <c r="AF199" s="24"/>
      <c r="AG199" s="24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6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</row>
    <row r="200" spans="1:200" s="23" customFormat="1" ht="14.25" customHeight="1">
      <c r="A200" s="20"/>
      <c r="B200" s="21"/>
      <c r="C200" s="22"/>
      <c r="D200" s="22"/>
      <c r="E200" s="22"/>
      <c r="G200" s="22"/>
      <c r="H200" s="22"/>
      <c r="I200" s="22"/>
      <c r="K200" s="22"/>
      <c r="L200" s="22"/>
      <c r="M200" s="22"/>
      <c r="O200" s="22"/>
      <c r="P200" s="22"/>
      <c r="Q200" s="22"/>
      <c r="S200" s="22"/>
      <c r="T200" s="22"/>
      <c r="U200" s="22"/>
      <c r="W200" s="22"/>
      <c r="X200" s="22"/>
      <c r="Y200" s="22"/>
      <c r="AA200" s="22"/>
      <c r="AB200" s="22"/>
      <c r="AC200" s="22"/>
      <c r="AE200" s="24"/>
      <c r="AF200" s="24"/>
      <c r="AG200" s="24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6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</row>
    <row r="201" spans="1:200" s="23" customFormat="1" ht="14.25" customHeight="1">
      <c r="A201" s="20"/>
      <c r="B201" s="21"/>
      <c r="C201" s="22"/>
      <c r="D201" s="22"/>
      <c r="E201" s="22"/>
      <c r="G201" s="22"/>
      <c r="H201" s="22"/>
      <c r="I201" s="22"/>
      <c r="K201" s="22"/>
      <c r="L201" s="22"/>
      <c r="M201" s="22"/>
      <c r="O201" s="22"/>
      <c r="P201" s="22"/>
      <c r="Q201" s="22"/>
      <c r="S201" s="22"/>
      <c r="T201" s="22"/>
      <c r="U201" s="22"/>
      <c r="W201" s="22"/>
      <c r="X201" s="22"/>
      <c r="Y201" s="22"/>
      <c r="AA201" s="22"/>
      <c r="AB201" s="22"/>
      <c r="AC201" s="22"/>
      <c r="AE201" s="24"/>
      <c r="AF201" s="24"/>
      <c r="AG201" s="24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6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</row>
    <row r="202" spans="1:200" s="23" customFormat="1" ht="14.25" customHeight="1">
      <c r="A202" s="20"/>
      <c r="B202" s="21"/>
      <c r="C202" s="22"/>
      <c r="D202" s="22"/>
      <c r="E202" s="22"/>
      <c r="G202" s="22"/>
      <c r="H202" s="22"/>
      <c r="I202" s="22"/>
      <c r="K202" s="22"/>
      <c r="L202" s="22"/>
      <c r="M202" s="22"/>
      <c r="O202" s="22"/>
      <c r="P202" s="22"/>
      <c r="Q202" s="22"/>
      <c r="S202" s="22"/>
      <c r="T202" s="22"/>
      <c r="U202" s="22"/>
      <c r="W202" s="22"/>
      <c r="X202" s="22"/>
      <c r="Y202" s="22"/>
      <c r="AA202" s="22"/>
      <c r="AB202" s="22"/>
      <c r="AC202" s="22"/>
      <c r="AE202" s="24"/>
      <c r="AF202" s="24"/>
      <c r="AG202" s="24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6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</row>
    <row r="203" spans="1:200" s="23" customFormat="1" ht="14.25" customHeight="1">
      <c r="A203" s="20"/>
      <c r="B203" s="21"/>
      <c r="C203" s="22"/>
      <c r="D203" s="22"/>
      <c r="E203" s="22"/>
      <c r="G203" s="22"/>
      <c r="H203" s="22"/>
      <c r="I203" s="22"/>
      <c r="K203" s="22"/>
      <c r="L203" s="22"/>
      <c r="M203" s="22"/>
      <c r="O203" s="22"/>
      <c r="P203" s="22"/>
      <c r="Q203" s="22"/>
      <c r="S203" s="22"/>
      <c r="T203" s="22"/>
      <c r="U203" s="22"/>
      <c r="W203" s="22"/>
      <c r="X203" s="22"/>
      <c r="Y203" s="22"/>
      <c r="AA203" s="22"/>
      <c r="AB203" s="22"/>
      <c r="AC203" s="22"/>
      <c r="AE203" s="24"/>
      <c r="AF203" s="24"/>
      <c r="AG203" s="24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6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4"/>
      <c r="GQ203" s="24"/>
      <c r="GR203" s="24"/>
    </row>
    <row r="204" spans="1:200" s="23" customFormat="1" ht="14.25" customHeight="1">
      <c r="A204" s="20"/>
      <c r="B204" s="21"/>
      <c r="C204" s="22"/>
      <c r="D204" s="22"/>
      <c r="E204" s="22"/>
      <c r="G204" s="22"/>
      <c r="H204" s="22"/>
      <c r="I204" s="22"/>
      <c r="K204" s="22"/>
      <c r="L204" s="22"/>
      <c r="M204" s="22"/>
      <c r="O204" s="22"/>
      <c r="P204" s="22"/>
      <c r="Q204" s="22"/>
      <c r="S204" s="22"/>
      <c r="T204" s="22"/>
      <c r="U204" s="22"/>
      <c r="W204" s="22"/>
      <c r="X204" s="22"/>
      <c r="Y204" s="22"/>
      <c r="AA204" s="22"/>
      <c r="AB204" s="22"/>
      <c r="AC204" s="22"/>
      <c r="AE204" s="24"/>
      <c r="AF204" s="24"/>
      <c r="AG204" s="24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6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24"/>
      <c r="GQ204" s="24"/>
      <c r="GR204" s="24"/>
    </row>
    <row r="205" spans="1:200" s="23" customFormat="1" ht="14.25" customHeight="1">
      <c r="A205" s="20"/>
      <c r="B205" s="21"/>
      <c r="C205" s="22"/>
      <c r="D205" s="22"/>
      <c r="E205" s="22"/>
      <c r="G205" s="22"/>
      <c r="H205" s="22"/>
      <c r="I205" s="22"/>
      <c r="K205" s="22"/>
      <c r="L205" s="22"/>
      <c r="M205" s="22"/>
      <c r="O205" s="22"/>
      <c r="P205" s="22"/>
      <c r="Q205" s="22"/>
      <c r="S205" s="22"/>
      <c r="T205" s="22"/>
      <c r="U205" s="22"/>
      <c r="W205" s="22"/>
      <c r="X205" s="22"/>
      <c r="Y205" s="22"/>
      <c r="AA205" s="22"/>
      <c r="AB205" s="22"/>
      <c r="AC205" s="22"/>
      <c r="AE205" s="24"/>
      <c r="AF205" s="24"/>
      <c r="AG205" s="24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6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</row>
    <row r="206" spans="1:200" s="23" customFormat="1" ht="14.25" customHeight="1">
      <c r="A206" s="20"/>
      <c r="B206" s="21"/>
      <c r="C206" s="22"/>
      <c r="D206" s="22"/>
      <c r="E206" s="22"/>
      <c r="G206" s="22"/>
      <c r="H206" s="22"/>
      <c r="I206" s="22"/>
      <c r="K206" s="22"/>
      <c r="L206" s="22"/>
      <c r="M206" s="22"/>
      <c r="O206" s="22"/>
      <c r="P206" s="22"/>
      <c r="Q206" s="22"/>
      <c r="S206" s="22"/>
      <c r="T206" s="22"/>
      <c r="U206" s="22"/>
      <c r="W206" s="22"/>
      <c r="X206" s="22"/>
      <c r="Y206" s="22"/>
      <c r="AA206" s="22"/>
      <c r="AB206" s="22"/>
      <c r="AC206" s="22"/>
      <c r="AE206" s="24"/>
      <c r="AF206" s="24"/>
      <c r="AG206" s="24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6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</row>
    <row r="207" spans="1:200" s="23" customFormat="1" ht="14.25" customHeight="1">
      <c r="A207" s="20"/>
      <c r="B207" s="21"/>
      <c r="C207" s="22"/>
      <c r="D207" s="22"/>
      <c r="E207" s="22"/>
      <c r="G207" s="22"/>
      <c r="H207" s="22"/>
      <c r="I207" s="22"/>
      <c r="K207" s="22"/>
      <c r="L207" s="22"/>
      <c r="M207" s="22"/>
      <c r="O207" s="22"/>
      <c r="P207" s="22"/>
      <c r="Q207" s="22"/>
      <c r="S207" s="22"/>
      <c r="T207" s="22"/>
      <c r="U207" s="22"/>
      <c r="W207" s="22"/>
      <c r="X207" s="22"/>
      <c r="Y207" s="22"/>
      <c r="AA207" s="22"/>
      <c r="AB207" s="22"/>
      <c r="AC207" s="22"/>
      <c r="AE207" s="24"/>
      <c r="AF207" s="24"/>
      <c r="AG207" s="24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6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24"/>
      <c r="GQ207" s="24"/>
      <c r="GR207" s="24"/>
    </row>
    <row r="208" spans="1:200" s="23" customFormat="1" ht="14.25" customHeight="1">
      <c r="A208" s="20"/>
      <c r="B208" s="21"/>
      <c r="C208" s="22"/>
      <c r="D208" s="22"/>
      <c r="E208" s="22"/>
      <c r="G208" s="22"/>
      <c r="H208" s="22"/>
      <c r="I208" s="22"/>
      <c r="K208" s="22"/>
      <c r="L208" s="22"/>
      <c r="M208" s="22"/>
      <c r="O208" s="22"/>
      <c r="P208" s="22"/>
      <c r="Q208" s="22"/>
      <c r="S208" s="22"/>
      <c r="T208" s="22"/>
      <c r="U208" s="22"/>
      <c r="W208" s="22"/>
      <c r="X208" s="22"/>
      <c r="Y208" s="22"/>
      <c r="AA208" s="22"/>
      <c r="AB208" s="22"/>
      <c r="AC208" s="22"/>
      <c r="AE208" s="24"/>
      <c r="AF208" s="24"/>
      <c r="AG208" s="24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6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4"/>
      <c r="GQ208" s="24"/>
      <c r="GR208" s="24"/>
    </row>
    <row r="209" spans="1:200" s="23" customFormat="1" ht="14.25" customHeight="1">
      <c r="A209" s="20"/>
      <c r="B209" s="21"/>
      <c r="C209" s="22"/>
      <c r="D209" s="22"/>
      <c r="E209" s="22"/>
      <c r="G209" s="22"/>
      <c r="H209" s="22"/>
      <c r="I209" s="22"/>
      <c r="K209" s="22"/>
      <c r="L209" s="22"/>
      <c r="M209" s="22"/>
      <c r="O209" s="22"/>
      <c r="P209" s="22"/>
      <c r="Q209" s="22"/>
      <c r="S209" s="22"/>
      <c r="T209" s="22"/>
      <c r="U209" s="22"/>
      <c r="W209" s="22"/>
      <c r="X209" s="22"/>
      <c r="Y209" s="22"/>
      <c r="AA209" s="22"/>
      <c r="AB209" s="22"/>
      <c r="AC209" s="22"/>
      <c r="AE209" s="24"/>
      <c r="AF209" s="24"/>
      <c r="AG209" s="24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6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</row>
    <row r="210" spans="1:200" s="23" customFormat="1" ht="14.25" customHeight="1">
      <c r="A210" s="20"/>
      <c r="B210" s="21"/>
      <c r="C210" s="22"/>
      <c r="D210" s="22"/>
      <c r="E210" s="22"/>
      <c r="G210" s="22"/>
      <c r="H210" s="22"/>
      <c r="I210" s="22"/>
      <c r="K210" s="22"/>
      <c r="L210" s="22"/>
      <c r="M210" s="22"/>
      <c r="O210" s="22"/>
      <c r="P210" s="22"/>
      <c r="Q210" s="22"/>
      <c r="S210" s="22"/>
      <c r="T210" s="22"/>
      <c r="U210" s="22"/>
      <c r="W210" s="22"/>
      <c r="X210" s="22"/>
      <c r="Y210" s="22"/>
      <c r="AA210" s="22"/>
      <c r="AB210" s="22"/>
      <c r="AC210" s="22"/>
      <c r="AE210" s="24"/>
      <c r="AF210" s="24"/>
      <c r="AG210" s="24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6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</row>
    <row r="211" spans="1:200" s="23" customFormat="1" ht="14.25" customHeight="1">
      <c r="A211" s="20"/>
      <c r="B211" s="21"/>
      <c r="C211" s="22"/>
      <c r="D211" s="22"/>
      <c r="E211" s="22"/>
      <c r="G211" s="22"/>
      <c r="H211" s="22"/>
      <c r="I211" s="22"/>
      <c r="K211" s="22"/>
      <c r="L211" s="22"/>
      <c r="M211" s="22"/>
      <c r="O211" s="22"/>
      <c r="P211" s="22"/>
      <c r="Q211" s="22"/>
      <c r="S211" s="22"/>
      <c r="T211" s="22"/>
      <c r="U211" s="22"/>
      <c r="W211" s="22"/>
      <c r="X211" s="22"/>
      <c r="Y211" s="22"/>
      <c r="AA211" s="22"/>
      <c r="AB211" s="22"/>
      <c r="AC211" s="22"/>
      <c r="AE211" s="24"/>
      <c r="AF211" s="24"/>
      <c r="AG211" s="24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6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</row>
    <row r="212" spans="1:200" s="23" customFormat="1" ht="14.25" customHeight="1">
      <c r="A212" s="20"/>
      <c r="B212" s="21"/>
      <c r="C212" s="22"/>
      <c r="D212" s="22"/>
      <c r="E212" s="22"/>
      <c r="G212" s="22"/>
      <c r="H212" s="22"/>
      <c r="I212" s="22"/>
      <c r="K212" s="22"/>
      <c r="L212" s="22"/>
      <c r="M212" s="22"/>
      <c r="O212" s="22"/>
      <c r="P212" s="22"/>
      <c r="Q212" s="22"/>
      <c r="S212" s="22"/>
      <c r="T212" s="22"/>
      <c r="U212" s="22"/>
      <c r="W212" s="22"/>
      <c r="X212" s="22"/>
      <c r="Y212" s="22"/>
      <c r="AA212" s="22"/>
      <c r="AB212" s="22"/>
      <c r="AC212" s="22"/>
      <c r="AE212" s="24"/>
      <c r="AF212" s="24"/>
      <c r="AG212" s="24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6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</row>
    <row r="213" spans="1:200" s="23" customFormat="1" ht="14.25" customHeight="1">
      <c r="A213" s="20"/>
      <c r="B213" s="21"/>
      <c r="C213" s="22"/>
      <c r="D213" s="22"/>
      <c r="E213" s="22"/>
      <c r="G213" s="22"/>
      <c r="H213" s="22"/>
      <c r="I213" s="22"/>
      <c r="K213" s="22"/>
      <c r="L213" s="22"/>
      <c r="M213" s="22"/>
      <c r="O213" s="22"/>
      <c r="P213" s="22"/>
      <c r="Q213" s="22"/>
      <c r="S213" s="22"/>
      <c r="T213" s="22"/>
      <c r="U213" s="22"/>
      <c r="W213" s="22"/>
      <c r="X213" s="22"/>
      <c r="Y213" s="22"/>
      <c r="AA213" s="22"/>
      <c r="AB213" s="22"/>
      <c r="AC213" s="22"/>
      <c r="AE213" s="24"/>
      <c r="AF213" s="24"/>
      <c r="AG213" s="24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6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</row>
    <row r="214" spans="1:200" s="23" customFormat="1" ht="14.25" customHeight="1">
      <c r="A214" s="20"/>
      <c r="B214" s="21"/>
      <c r="C214" s="22"/>
      <c r="D214" s="22"/>
      <c r="E214" s="22"/>
      <c r="G214" s="22"/>
      <c r="H214" s="22"/>
      <c r="I214" s="22"/>
      <c r="K214" s="22"/>
      <c r="L214" s="22"/>
      <c r="M214" s="22"/>
      <c r="O214" s="22"/>
      <c r="P214" s="22"/>
      <c r="Q214" s="22"/>
      <c r="S214" s="22"/>
      <c r="T214" s="22"/>
      <c r="U214" s="22"/>
      <c r="W214" s="22"/>
      <c r="X214" s="22"/>
      <c r="Y214" s="22"/>
      <c r="AA214" s="22"/>
      <c r="AB214" s="22"/>
      <c r="AC214" s="22"/>
      <c r="AE214" s="24"/>
      <c r="AF214" s="24"/>
      <c r="AG214" s="24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6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</row>
    <row r="215" spans="1:200" s="23" customFormat="1" ht="14.25" customHeight="1">
      <c r="A215" s="20"/>
      <c r="B215" s="21"/>
      <c r="C215" s="22"/>
      <c r="D215" s="22"/>
      <c r="E215" s="22"/>
      <c r="G215" s="22"/>
      <c r="H215" s="22"/>
      <c r="I215" s="22"/>
      <c r="K215" s="22"/>
      <c r="L215" s="22"/>
      <c r="M215" s="22"/>
      <c r="O215" s="22"/>
      <c r="P215" s="22"/>
      <c r="Q215" s="22"/>
      <c r="S215" s="22"/>
      <c r="T215" s="22"/>
      <c r="U215" s="22"/>
      <c r="W215" s="22"/>
      <c r="X215" s="22"/>
      <c r="Y215" s="22"/>
      <c r="AA215" s="22"/>
      <c r="AB215" s="22"/>
      <c r="AC215" s="22"/>
      <c r="AE215" s="24"/>
      <c r="AF215" s="24"/>
      <c r="AG215" s="24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6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/>
      <c r="GM215" s="24"/>
      <c r="GN215" s="24"/>
      <c r="GO215" s="24"/>
      <c r="GP215" s="24"/>
      <c r="GQ215" s="24"/>
      <c r="GR215" s="24"/>
    </row>
    <row r="216" spans="1:200" s="23" customFormat="1" ht="14.25" customHeight="1">
      <c r="A216" s="20"/>
      <c r="B216" s="21"/>
      <c r="C216" s="22"/>
      <c r="D216" s="22"/>
      <c r="E216" s="22"/>
      <c r="G216" s="22"/>
      <c r="H216" s="22"/>
      <c r="I216" s="22"/>
      <c r="K216" s="22"/>
      <c r="L216" s="22"/>
      <c r="M216" s="22"/>
      <c r="O216" s="22"/>
      <c r="P216" s="22"/>
      <c r="Q216" s="22"/>
      <c r="S216" s="22"/>
      <c r="T216" s="22"/>
      <c r="U216" s="22"/>
      <c r="W216" s="22"/>
      <c r="X216" s="22"/>
      <c r="Y216" s="22"/>
      <c r="AA216" s="22"/>
      <c r="AB216" s="22"/>
      <c r="AC216" s="22"/>
      <c r="AE216" s="24"/>
      <c r="AF216" s="24"/>
      <c r="AG216" s="24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6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</row>
    <row r="217" spans="1:200" s="23" customFormat="1" ht="14.25" customHeight="1">
      <c r="A217" s="20"/>
      <c r="B217" s="21"/>
      <c r="C217" s="22"/>
      <c r="D217" s="22"/>
      <c r="E217" s="22"/>
      <c r="G217" s="22"/>
      <c r="H217" s="22"/>
      <c r="I217" s="22"/>
      <c r="K217" s="22"/>
      <c r="L217" s="22"/>
      <c r="M217" s="22"/>
      <c r="O217" s="22"/>
      <c r="P217" s="22"/>
      <c r="Q217" s="22"/>
      <c r="S217" s="22"/>
      <c r="T217" s="22"/>
      <c r="U217" s="22"/>
      <c r="W217" s="22"/>
      <c r="X217" s="22"/>
      <c r="Y217" s="22"/>
      <c r="AA217" s="22"/>
      <c r="AB217" s="22"/>
      <c r="AC217" s="22"/>
      <c r="AE217" s="24"/>
      <c r="AF217" s="24"/>
      <c r="AG217" s="24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6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</row>
    <row r="218" spans="1:200" s="23" customFormat="1" ht="14.25" customHeight="1">
      <c r="A218" s="20"/>
      <c r="B218" s="21"/>
      <c r="C218" s="22"/>
      <c r="D218" s="22"/>
      <c r="E218" s="22"/>
      <c r="G218" s="22"/>
      <c r="H218" s="22"/>
      <c r="I218" s="22"/>
      <c r="K218" s="22"/>
      <c r="L218" s="22"/>
      <c r="M218" s="22"/>
      <c r="O218" s="22"/>
      <c r="P218" s="22"/>
      <c r="Q218" s="22"/>
      <c r="S218" s="22"/>
      <c r="T218" s="22"/>
      <c r="U218" s="22"/>
      <c r="W218" s="22"/>
      <c r="X218" s="22"/>
      <c r="Y218" s="22"/>
      <c r="AA218" s="22"/>
      <c r="AB218" s="22"/>
      <c r="AC218" s="22"/>
      <c r="AE218" s="24"/>
      <c r="AF218" s="24"/>
      <c r="AG218" s="24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6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/>
      <c r="GQ218" s="24"/>
      <c r="GR218" s="24"/>
    </row>
    <row r="219" spans="1:200" s="23" customFormat="1" ht="14.25" customHeight="1">
      <c r="A219" s="20"/>
      <c r="B219" s="21"/>
      <c r="C219" s="22"/>
      <c r="D219" s="22"/>
      <c r="E219" s="22"/>
      <c r="G219" s="22"/>
      <c r="H219" s="22"/>
      <c r="I219" s="22"/>
      <c r="K219" s="22"/>
      <c r="L219" s="22"/>
      <c r="M219" s="22"/>
      <c r="O219" s="22"/>
      <c r="P219" s="22"/>
      <c r="Q219" s="22"/>
      <c r="S219" s="22"/>
      <c r="T219" s="22"/>
      <c r="U219" s="22"/>
      <c r="W219" s="22"/>
      <c r="X219" s="22"/>
      <c r="Y219" s="22"/>
      <c r="AA219" s="22"/>
      <c r="AB219" s="22"/>
      <c r="AC219" s="22"/>
      <c r="AE219" s="24"/>
      <c r="AF219" s="24"/>
      <c r="AG219" s="24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6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</row>
    <row r="220" spans="1:200" s="23" customFormat="1" ht="14.25" customHeight="1">
      <c r="A220" s="20"/>
      <c r="B220" s="21"/>
      <c r="C220" s="22"/>
      <c r="D220" s="22"/>
      <c r="E220" s="22"/>
      <c r="G220" s="22"/>
      <c r="H220" s="22"/>
      <c r="I220" s="22"/>
      <c r="K220" s="22"/>
      <c r="L220" s="22"/>
      <c r="M220" s="22"/>
      <c r="O220" s="22"/>
      <c r="P220" s="22"/>
      <c r="Q220" s="22"/>
      <c r="S220" s="22"/>
      <c r="T220" s="22"/>
      <c r="U220" s="22"/>
      <c r="W220" s="22"/>
      <c r="X220" s="22"/>
      <c r="Y220" s="22"/>
      <c r="AA220" s="22"/>
      <c r="AB220" s="22"/>
      <c r="AC220" s="22"/>
      <c r="AE220" s="24"/>
      <c r="AF220" s="24"/>
      <c r="AG220" s="24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6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</row>
    <row r="221" spans="1:200" s="23" customFormat="1" ht="14.25" customHeight="1">
      <c r="A221" s="20"/>
      <c r="B221" s="21"/>
      <c r="C221" s="22"/>
      <c r="D221" s="22"/>
      <c r="E221" s="22"/>
      <c r="G221" s="22"/>
      <c r="H221" s="22"/>
      <c r="I221" s="22"/>
      <c r="K221" s="22"/>
      <c r="L221" s="22"/>
      <c r="M221" s="22"/>
      <c r="O221" s="22"/>
      <c r="P221" s="22"/>
      <c r="Q221" s="22"/>
      <c r="S221" s="22"/>
      <c r="T221" s="22"/>
      <c r="U221" s="22"/>
      <c r="W221" s="22"/>
      <c r="X221" s="22"/>
      <c r="Y221" s="22"/>
      <c r="AA221" s="22"/>
      <c r="AB221" s="22"/>
      <c r="AC221" s="22"/>
      <c r="AE221" s="24"/>
      <c r="AF221" s="24"/>
      <c r="AG221" s="24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6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/>
      <c r="CD221" s="24"/>
      <c r="CE221" s="24"/>
      <c r="CF221" s="24"/>
      <c r="CG221" s="24"/>
      <c r="CH221" s="24"/>
      <c r="CI221" s="24"/>
      <c r="CJ221" s="24"/>
      <c r="CK221" s="24"/>
      <c r="CL221" s="24"/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</row>
    <row r="222" spans="1:200" s="23" customFormat="1" ht="14.25" customHeight="1">
      <c r="A222" s="20"/>
      <c r="B222" s="21"/>
      <c r="C222" s="22"/>
      <c r="D222" s="22"/>
      <c r="E222" s="22"/>
      <c r="G222" s="22"/>
      <c r="H222" s="22"/>
      <c r="I222" s="22"/>
      <c r="K222" s="22"/>
      <c r="L222" s="22"/>
      <c r="M222" s="22"/>
      <c r="O222" s="22"/>
      <c r="P222" s="22"/>
      <c r="Q222" s="22"/>
      <c r="S222" s="22"/>
      <c r="T222" s="22"/>
      <c r="U222" s="22"/>
      <c r="W222" s="22"/>
      <c r="X222" s="22"/>
      <c r="Y222" s="22"/>
      <c r="AA222" s="22"/>
      <c r="AB222" s="22"/>
      <c r="AC222" s="22"/>
      <c r="AE222" s="24"/>
      <c r="AF222" s="24"/>
      <c r="AG222" s="24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6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4"/>
      <c r="CC222" s="24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4"/>
      <c r="CP222" s="24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</row>
    <row r="223" spans="1:200" s="23" customFormat="1" ht="14.25" customHeight="1">
      <c r="A223" s="20"/>
      <c r="B223" s="21"/>
      <c r="C223" s="22"/>
      <c r="D223" s="22"/>
      <c r="E223" s="22"/>
      <c r="G223" s="22"/>
      <c r="H223" s="22"/>
      <c r="I223" s="22"/>
      <c r="K223" s="22"/>
      <c r="L223" s="22"/>
      <c r="M223" s="22"/>
      <c r="O223" s="22"/>
      <c r="P223" s="22"/>
      <c r="Q223" s="22"/>
      <c r="S223" s="22"/>
      <c r="T223" s="22"/>
      <c r="U223" s="22"/>
      <c r="W223" s="22"/>
      <c r="X223" s="22"/>
      <c r="Y223" s="22"/>
      <c r="AA223" s="22"/>
      <c r="AB223" s="22"/>
      <c r="AC223" s="22"/>
      <c r="AE223" s="24"/>
      <c r="AF223" s="24"/>
      <c r="AG223" s="24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6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/>
      <c r="CD223" s="24"/>
      <c r="CE223" s="24"/>
      <c r="CF223" s="24"/>
      <c r="CG223" s="24"/>
      <c r="CH223" s="24"/>
      <c r="CI223" s="24"/>
      <c r="CJ223" s="24"/>
      <c r="CK223" s="24"/>
      <c r="CL223" s="24"/>
      <c r="CM223" s="24"/>
      <c r="CN223" s="24"/>
      <c r="CO223" s="24"/>
      <c r="CP223" s="24"/>
      <c r="CQ223" s="24"/>
      <c r="CR223" s="24"/>
      <c r="CS223" s="24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</row>
    <row r="224" spans="1:200" s="23" customFormat="1" ht="14.25" customHeight="1">
      <c r="A224" s="20"/>
      <c r="B224" s="21"/>
      <c r="C224" s="22"/>
      <c r="D224" s="22"/>
      <c r="E224" s="22"/>
      <c r="G224" s="22"/>
      <c r="H224" s="22"/>
      <c r="I224" s="22"/>
      <c r="K224" s="22"/>
      <c r="L224" s="22"/>
      <c r="M224" s="22"/>
      <c r="O224" s="22"/>
      <c r="P224" s="22"/>
      <c r="Q224" s="22"/>
      <c r="S224" s="22"/>
      <c r="T224" s="22"/>
      <c r="U224" s="22"/>
      <c r="W224" s="22"/>
      <c r="X224" s="22"/>
      <c r="Y224" s="22"/>
      <c r="AA224" s="22"/>
      <c r="AB224" s="22"/>
      <c r="AC224" s="22"/>
      <c r="AE224" s="24"/>
      <c r="AF224" s="24"/>
      <c r="AG224" s="24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6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</row>
    <row r="225" spans="1:200" s="23" customFormat="1" ht="14.25" customHeight="1">
      <c r="A225" s="20"/>
      <c r="B225" s="21"/>
      <c r="C225" s="22"/>
      <c r="D225" s="22"/>
      <c r="E225" s="22"/>
      <c r="G225" s="22"/>
      <c r="H225" s="22"/>
      <c r="I225" s="22"/>
      <c r="K225" s="22"/>
      <c r="L225" s="22"/>
      <c r="M225" s="22"/>
      <c r="O225" s="22"/>
      <c r="P225" s="22"/>
      <c r="Q225" s="22"/>
      <c r="S225" s="22"/>
      <c r="T225" s="22"/>
      <c r="U225" s="22"/>
      <c r="W225" s="22"/>
      <c r="X225" s="22"/>
      <c r="Y225" s="22"/>
      <c r="AA225" s="22"/>
      <c r="AB225" s="22"/>
      <c r="AC225" s="22"/>
      <c r="AE225" s="24"/>
      <c r="AF225" s="24"/>
      <c r="AG225" s="24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6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24"/>
      <c r="CB225" s="24"/>
      <c r="CC225" s="24"/>
      <c r="CD225" s="24"/>
      <c r="CE225" s="24"/>
      <c r="CF225" s="24"/>
      <c r="CG225" s="24"/>
      <c r="CH225" s="24"/>
      <c r="CI225" s="24"/>
      <c r="CJ225" s="24"/>
      <c r="CK225" s="24"/>
      <c r="CL225" s="24"/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</row>
    <row r="226" spans="1:200" s="23" customFormat="1" ht="14.25" customHeight="1">
      <c r="A226" s="20"/>
      <c r="B226" s="21"/>
      <c r="C226" s="22"/>
      <c r="D226" s="22"/>
      <c r="E226" s="22"/>
      <c r="G226" s="22"/>
      <c r="H226" s="22"/>
      <c r="I226" s="22"/>
      <c r="K226" s="22"/>
      <c r="L226" s="22"/>
      <c r="M226" s="22"/>
      <c r="O226" s="22"/>
      <c r="P226" s="22"/>
      <c r="Q226" s="22"/>
      <c r="S226" s="22"/>
      <c r="T226" s="22"/>
      <c r="U226" s="22"/>
      <c r="W226" s="22"/>
      <c r="X226" s="22"/>
      <c r="Y226" s="22"/>
      <c r="AA226" s="22"/>
      <c r="AB226" s="22"/>
      <c r="AC226" s="22"/>
      <c r="AE226" s="24"/>
      <c r="AF226" s="24"/>
      <c r="AG226" s="24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6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4"/>
      <c r="CP226" s="24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</row>
    <row r="227" spans="1:200" s="23" customFormat="1" ht="14.25" customHeight="1">
      <c r="A227" s="20"/>
      <c r="B227" s="21"/>
      <c r="C227" s="22"/>
      <c r="D227" s="22"/>
      <c r="E227" s="22"/>
      <c r="G227" s="22"/>
      <c r="H227" s="22"/>
      <c r="I227" s="22"/>
      <c r="K227" s="22"/>
      <c r="L227" s="22"/>
      <c r="M227" s="22"/>
      <c r="O227" s="22"/>
      <c r="P227" s="22"/>
      <c r="Q227" s="22"/>
      <c r="S227" s="22"/>
      <c r="T227" s="22"/>
      <c r="U227" s="22"/>
      <c r="W227" s="22"/>
      <c r="X227" s="22"/>
      <c r="Y227" s="22"/>
      <c r="AA227" s="22"/>
      <c r="AB227" s="22"/>
      <c r="AC227" s="22"/>
      <c r="AE227" s="24"/>
      <c r="AF227" s="24"/>
      <c r="AG227" s="24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6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/>
      <c r="CD227" s="24"/>
      <c r="CE227" s="24"/>
      <c r="CF227" s="24"/>
      <c r="CG227" s="24"/>
      <c r="CH227" s="24"/>
      <c r="CI227" s="24"/>
      <c r="CJ227" s="24"/>
      <c r="CK227" s="24"/>
      <c r="CL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</row>
    <row r="228" spans="1:200" s="23" customFormat="1" ht="14.25" customHeight="1">
      <c r="A228" s="20"/>
      <c r="B228" s="21"/>
      <c r="C228" s="22"/>
      <c r="D228" s="22"/>
      <c r="E228" s="22"/>
      <c r="G228" s="22"/>
      <c r="H228" s="22"/>
      <c r="I228" s="22"/>
      <c r="K228" s="22"/>
      <c r="L228" s="22"/>
      <c r="M228" s="22"/>
      <c r="O228" s="22"/>
      <c r="P228" s="22"/>
      <c r="Q228" s="22"/>
      <c r="S228" s="22"/>
      <c r="T228" s="22"/>
      <c r="U228" s="22"/>
      <c r="W228" s="22"/>
      <c r="X228" s="22"/>
      <c r="Y228" s="22"/>
      <c r="AA228" s="22"/>
      <c r="AB228" s="22"/>
      <c r="AC228" s="22"/>
      <c r="AE228" s="24"/>
      <c r="AF228" s="24"/>
      <c r="AG228" s="24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6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4"/>
      <c r="CP228" s="24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</row>
    <row r="229" spans="1:200" s="23" customFormat="1" ht="14.25" customHeight="1">
      <c r="A229" s="20"/>
      <c r="B229" s="21"/>
      <c r="C229" s="22"/>
      <c r="D229" s="22"/>
      <c r="E229" s="22"/>
      <c r="G229" s="22"/>
      <c r="H229" s="22"/>
      <c r="I229" s="22"/>
      <c r="K229" s="22"/>
      <c r="L229" s="22"/>
      <c r="M229" s="22"/>
      <c r="O229" s="22"/>
      <c r="P229" s="22"/>
      <c r="Q229" s="22"/>
      <c r="S229" s="22"/>
      <c r="T229" s="22"/>
      <c r="U229" s="22"/>
      <c r="W229" s="22"/>
      <c r="X229" s="22"/>
      <c r="Y229" s="22"/>
      <c r="AA229" s="22"/>
      <c r="AB229" s="22"/>
      <c r="AC229" s="22"/>
      <c r="AE229" s="24"/>
      <c r="AF229" s="24"/>
      <c r="AG229" s="24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6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24"/>
      <c r="CB229" s="24"/>
      <c r="CC229" s="24"/>
      <c r="CD229" s="24"/>
      <c r="CE229" s="24"/>
      <c r="CF229" s="24"/>
      <c r="CG229" s="24"/>
      <c r="CH229" s="24"/>
      <c r="CI229" s="24"/>
      <c r="CJ229" s="24"/>
      <c r="CK229" s="24"/>
      <c r="CL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</row>
    <row r="230" spans="1:200" s="23" customFormat="1" ht="14.25" customHeight="1">
      <c r="A230" s="20"/>
      <c r="B230" s="21"/>
      <c r="C230" s="22"/>
      <c r="D230" s="22"/>
      <c r="E230" s="22"/>
      <c r="G230" s="22"/>
      <c r="H230" s="22"/>
      <c r="I230" s="22"/>
      <c r="K230" s="22"/>
      <c r="L230" s="22"/>
      <c r="M230" s="22"/>
      <c r="O230" s="22"/>
      <c r="P230" s="22"/>
      <c r="Q230" s="22"/>
      <c r="S230" s="22"/>
      <c r="T230" s="22"/>
      <c r="U230" s="22"/>
      <c r="W230" s="22"/>
      <c r="X230" s="22"/>
      <c r="Y230" s="22"/>
      <c r="AA230" s="22"/>
      <c r="AB230" s="22"/>
      <c r="AC230" s="22"/>
      <c r="AE230" s="24"/>
      <c r="AF230" s="24"/>
      <c r="AG230" s="24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6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4"/>
      <c r="CC230" s="24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4"/>
      <c r="CP230" s="24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</row>
    <row r="231" spans="1:200" s="23" customFormat="1" ht="14.25" customHeight="1">
      <c r="A231" s="20"/>
      <c r="B231" s="21"/>
      <c r="C231" s="22"/>
      <c r="D231" s="22"/>
      <c r="E231" s="22"/>
      <c r="G231" s="22"/>
      <c r="H231" s="22"/>
      <c r="I231" s="22"/>
      <c r="K231" s="22"/>
      <c r="L231" s="22"/>
      <c r="M231" s="22"/>
      <c r="O231" s="22"/>
      <c r="P231" s="22"/>
      <c r="Q231" s="22"/>
      <c r="S231" s="22"/>
      <c r="T231" s="22"/>
      <c r="U231" s="22"/>
      <c r="W231" s="22"/>
      <c r="X231" s="22"/>
      <c r="Y231" s="22"/>
      <c r="AA231" s="22"/>
      <c r="AB231" s="22"/>
      <c r="AC231" s="22"/>
      <c r="AE231" s="24"/>
      <c r="AF231" s="24"/>
      <c r="AG231" s="24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6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24"/>
      <c r="CB231" s="24"/>
      <c r="CC231" s="24"/>
      <c r="CD231" s="24"/>
      <c r="CE231" s="24"/>
      <c r="CF231" s="24"/>
      <c r="CG231" s="24"/>
      <c r="CH231" s="24"/>
      <c r="CI231" s="24"/>
      <c r="CJ231" s="24"/>
      <c r="CK231" s="24"/>
      <c r="CL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</row>
    <row r="232" spans="1:200" s="23" customFormat="1" ht="14.25" customHeight="1">
      <c r="A232" s="20"/>
      <c r="B232" s="21"/>
      <c r="C232" s="22"/>
      <c r="D232" s="22"/>
      <c r="E232" s="22"/>
      <c r="G232" s="22"/>
      <c r="H232" s="22"/>
      <c r="I232" s="22"/>
      <c r="K232" s="22"/>
      <c r="L232" s="22"/>
      <c r="M232" s="22"/>
      <c r="O232" s="22"/>
      <c r="P232" s="22"/>
      <c r="Q232" s="22"/>
      <c r="S232" s="22"/>
      <c r="T232" s="22"/>
      <c r="U232" s="22"/>
      <c r="W232" s="22"/>
      <c r="X232" s="22"/>
      <c r="Y232" s="22"/>
      <c r="AA232" s="22"/>
      <c r="AB232" s="22"/>
      <c r="AC232" s="22"/>
      <c r="AE232" s="24"/>
      <c r="AF232" s="24"/>
      <c r="AG232" s="24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6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4"/>
      <c r="CP232" s="24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</row>
    <row r="233" spans="1:200" s="23" customFormat="1" ht="14.25" customHeight="1">
      <c r="A233" s="20"/>
      <c r="B233" s="21"/>
      <c r="C233" s="22"/>
      <c r="D233" s="22"/>
      <c r="E233" s="22"/>
      <c r="G233" s="22"/>
      <c r="H233" s="22"/>
      <c r="I233" s="22"/>
      <c r="K233" s="22"/>
      <c r="L233" s="22"/>
      <c r="M233" s="22"/>
      <c r="O233" s="22"/>
      <c r="P233" s="22"/>
      <c r="Q233" s="22"/>
      <c r="S233" s="22"/>
      <c r="T233" s="22"/>
      <c r="U233" s="22"/>
      <c r="W233" s="22"/>
      <c r="X233" s="22"/>
      <c r="Y233" s="22"/>
      <c r="AA233" s="22"/>
      <c r="AB233" s="22"/>
      <c r="AC233" s="22"/>
      <c r="AE233" s="24"/>
      <c r="AF233" s="24"/>
      <c r="AG233" s="24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6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24"/>
      <c r="CB233" s="24"/>
      <c r="CC233" s="24"/>
      <c r="CD233" s="24"/>
      <c r="CE233" s="24"/>
      <c r="CF233" s="24"/>
      <c r="CG233" s="24"/>
      <c r="CH233" s="24"/>
      <c r="CI233" s="24"/>
      <c r="CJ233" s="24"/>
      <c r="CK233" s="24"/>
      <c r="CL233" s="24"/>
      <c r="CM233" s="24"/>
      <c r="CN233" s="24"/>
      <c r="CO233" s="24"/>
      <c r="CP233" s="24"/>
      <c r="CQ233" s="24"/>
      <c r="CR233" s="24"/>
      <c r="CS233" s="24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</row>
    <row r="234" spans="1:200" s="23" customFormat="1" ht="14.25" customHeight="1">
      <c r="A234" s="20"/>
      <c r="B234" s="21"/>
      <c r="C234" s="22"/>
      <c r="D234" s="22"/>
      <c r="E234" s="22"/>
      <c r="G234" s="22"/>
      <c r="H234" s="22"/>
      <c r="I234" s="22"/>
      <c r="K234" s="22"/>
      <c r="L234" s="22"/>
      <c r="M234" s="22"/>
      <c r="O234" s="22"/>
      <c r="P234" s="22"/>
      <c r="Q234" s="22"/>
      <c r="S234" s="22"/>
      <c r="T234" s="22"/>
      <c r="U234" s="22"/>
      <c r="W234" s="22"/>
      <c r="X234" s="22"/>
      <c r="Y234" s="22"/>
      <c r="AA234" s="22"/>
      <c r="AB234" s="22"/>
      <c r="AC234" s="22"/>
      <c r="AE234" s="24"/>
      <c r="AF234" s="24"/>
      <c r="AG234" s="24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6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</row>
    <row r="235" spans="1:200" s="23" customFormat="1" ht="14.25" customHeight="1">
      <c r="A235" s="20"/>
      <c r="B235" s="21"/>
      <c r="C235" s="22"/>
      <c r="D235" s="22"/>
      <c r="E235" s="22"/>
      <c r="G235" s="22"/>
      <c r="H235" s="22"/>
      <c r="I235" s="22"/>
      <c r="K235" s="22"/>
      <c r="L235" s="22"/>
      <c r="M235" s="22"/>
      <c r="O235" s="22"/>
      <c r="P235" s="22"/>
      <c r="Q235" s="22"/>
      <c r="S235" s="22"/>
      <c r="T235" s="22"/>
      <c r="U235" s="22"/>
      <c r="W235" s="22"/>
      <c r="X235" s="22"/>
      <c r="Y235" s="22"/>
      <c r="AA235" s="22"/>
      <c r="AB235" s="22"/>
      <c r="AC235" s="22"/>
      <c r="AE235" s="24"/>
      <c r="AF235" s="24"/>
      <c r="AG235" s="24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6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/>
      <c r="CD235" s="24"/>
      <c r="CE235" s="24"/>
      <c r="CF235" s="24"/>
      <c r="CG235" s="24"/>
      <c r="CH235" s="24"/>
      <c r="CI235" s="24"/>
      <c r="CJ235" s="24"/>
      <c r="CK235" s="24"/>
      <c r="CL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</row>
    <row r="236" spans="1:200" s="23" customFormat="1" ht="14.25" customHeight="1">
      <c r="A236" s="20"/>
      <c r="B236" s="21"/>
      <c r="C236" s="22"/>
      <c r="D236" s="22"/>
      <c r="E236" s="22"/>
      <c r="G236" s="22"/>
      <c r="H236" s="22"/>
      <c r="I236" s="22"/>
      <c r="K236" s="22"/>
      <c r="L236" s="22"/>
      <c r="M236" s="22"/>
      <c r="O236" s="22"/>
      <c r="P236" s="22"/>
      <c r="Q236" s="22"/>
      <c r="S236" s="22"/>
      <c r="T236" s="22"/>
      <c r="U236" s="22"/>
      <c r="W236" s="22"/>
      <c r="X236" s="22"/>
      <c r="Y236" s="22"/>
      <c r="AA236" s="22"/>
      <c r="AB236" s="22"/>
      <c r="AC236" s="22"/>
      <c r="AE236" s="24"/>
      <c r="AF236" s="24"/>
      <c r="AG236" s="24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6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4"/>
      <c r="CP236" s="24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</row>
    <row r="237" spans="1:200" s="23" customFormat="1" ht="14.25" customHeight="1">
      <c r="A237" s="20"/>
      <c r="B237" s="21"/>
      <c r="C237" s="22"/>
      <c r="D237" s="22"/>
      <c r="E237" s="22"/>
      <c r="G237" s="22"/>
      <c r="H237" s="22"/>
      <c r="I237" s="22"/>
      <c r="K237" s="22"/>
      <c r="L237" s="22"/>
      <c r="M237" s="22"/>
      <c r="O237" s="22"/>
      <c r="P237" s="22"/>
      <c r="Q237" s="22"/>
      <c r="S237" s="22"/>
      <c r="T237" s="22"/>
      <c r="U237" s="22"/>
      <c r="W237" s="22"/>
      <c r="X237" s="22"/>
      <c r="Y237" s="22"/>
      <c r="AA237" s="22"/>
      <c r="AB237" s="22"/>
      <c r="AC237" s="22"/>
      <c r="AE237" s="24"/>
      <c r="AF237" s="24"/>
      <c r="AG237" s="24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6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/>
      <c r="CD237" s="24"/>
      <c r="CE237" s="24"/>
      <c r="CF237" s="24"/>
      <c r="CG237" s="24"/>
      <c r="CH237" s="24"/>
      <c r="CI237" s="24"/>
      <c r="CJ237" s="24"/>
      <c r="CK237" s="24"/>
      <c r="CL237" s="24"/>
      <c r="CM237" s="24"/>
      <c r="CN237" s="24"/>
      <c r="CO237" s="24"/>
      <c r="CP237" s="24"/>
      <c r="CQ237" s="24"/>
      <c r="CR237" s="24"/>
      <c r="CS237" s="24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</row>
    <row r="238" spans="1:200" s="23" customFormat="1" ht="14.25" customHeight="1">
      <c r="A238" s="20"/>
      <c r="B238" s="21"/>
      <c r="C238" s="22"/>
      <c r="D238" s="22"/>
      <c r="E238" s="22"/>
      <c r="G238" s="22"/>
      <c r="H238" s="22"/>
      <c r="I238" s="22"/>
      <c r="K238" s="22"/>
      <c r="L238" s="22"/>
      <c r="M238" s="22"/>
      <c r="O238" s="22"/>
      <c r="P238" s="22"/>
      <c r="Q238" s="22"/>
      <c r="S238" s="22"/>
      <c r="T238" s="22"/>
      <c r="U238" s="22"/>
      <c r="W238" s="22"/>
      <c r="X238" s="22"/>
      <c r="Y238" s="22"/>
      <c r="AA238" s="22"/>
      <c r="AB238" s="22"/>
      <c r="AC238" s="22"/>
      <c r="AE238" s="24"/>
      <c r="AF238" s="24"/>
      <c r="AG238" s="24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6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4"/>
      <c r="CP238" s="24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</row>
    <row r="239" spans="1:200" s="23" customFormat="1" ht="14.25" customHeight="1">
      <c r="A239" s="20"/>
      <c r="B239" s="21"/>
      <c r="C239" s="22"/>
      <c r="D239" s="22"/>
      <c r="E239" s="22"/>
      <c r="G239" s="22"/>
      <c r="H239" s="22"/>
      <c r="I239" s="22"/>
      <c r="K239" s="22"/>
      <c r="L239" s="22"/>
      <c r="M239" s="22"/>
      <c r="O239" s="22"/>
      <c r="P239" s="22"/>
      <c r="Q239" s="22"/>
      <c r="S239" s="22"/>
      <c r="T239" s="22"/>
      <c r="U239" s="22"/>
      <c r="W239" s="22"/>
      <c r="X239" s="22"/>
      <c r="Y239" s="22"/>
      <c r="AA239" s="22"/>
      <c r="AB239" s="22"/>
      <c r="AC239" s="22"/>
      <c r="AE239" s="24"/>
      <c r="AF239" s="24"/>
      <c r="AG239" s="24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6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/>
      <c r="CD239" s="24"/>
      <c r="CE239" s="24"/>
      <c r="CF239" s="24"/>
      <c r="CG239" s="24"/>
      <c r="CH239" s="24"/>
      <c r="CI239" s="24"/>
      <c r="CJ239" s="24"/>
      <c r="CK239" s="24"/>
      <c r="CL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</row>
    <row r="240" spans="1:200" s="23" customFormat="1" ht="14.25" customHeight="1">
      <c r="A240" s="20"/>
      <c r="B240" s="21"/>
      <c r="C240" s="22"/>
      <c r="D240" s="22"/>
      <c r="E240" s="22"/>
      <c r="G240" s="22"/>
      <c r="H240" s="22"/>
      <c r="I240" s="22"/>
      <c r="K240" s="22"/>
      <c r="L240" s="22"/>
      <c r="M240" s="22"/>
      <c r="O240" s="22"/>
      <c r="P240" s="22"/>
      <c r="Q240" s="22"/>
      <c r="S240" s="22"/>
      <c r="T240" s="22"/>
      <c r="U240" s="22"/>
      <c r="W240" s="22"/>
      <c r="X240" s="22"/>
      <c r="Y240" s="22"/>
      <c r="AA240" s="22"/>
      <c r="AB240" s="22"/>
      <c r="AC240" s="22"/>
      <c r="AE240" s="24"/>
      <c r="AF240" s="24"/>
      <c r="AG240" s="24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6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4"/>
      <c r="CP240" s="24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</row>
    <row r="241" spans="1:200" s="23" customFormat="1" ht="14.25" customHeight="1">
      <c r="A241" s="20"/>
      <c r="B241" s="21"/>
      <c r="C241" s="22"/>
      <c r="D241" s="22"/>
      <c r="E241" s="22"/>
      <c r="G241" s="22"/>
      <c r="H241" s="22"/>
      <c r="I241" s="22"/>
      <c r="K241" s="22"/>
      <c r="L241" s="22"/>
      <c r="M241" s="22"/>
      <c r="O241" s="22"/>
      <c r="P241" s="22"/>
      <c r="Q241" s="22"/>
      <c r="S241" s="22"/>
      <c r="T241" s="22"/>
      <c r="U241" s="22"/>
      <c r="W241" s="22"/>
      <c r="X241" s="22"/>
      <c r="Y241" s="22"/>
      <c r="AA241" s="22"/>
      <c r="AB241" s="22"/>
      <c r="AC241" s="22"/>
      <c r="AE241" s="24"/>
      <c r="AF241" s="24"/>
      <c r="AG241" s="24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6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/>
      <c r="CD241" s="24"/>
      <c r="CE241" s="24"/>
      <c r="CF241" s="24"/>
      <c r="CG241" s="24"/>
      <c r="CH241" s="24"/>
      <c r="CI241" s="24"/>
      <c r="CJ241" s="24"/>
      <c r="CK241" s="24"/>
      <c r="CL241" s="24"/>
      <c r="CM241" s="24"/>
      <c r="CN241" s="24"/>
      <c r="CO241" s="24"/>
      <c r="CP241" s="24"/>
      <c r="CQ241" s="24"/>
      <c r="CR241" s="24"/>
      <c r="CS241" s="24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</row>
    <row r="242" spans="1:200" s="23" customFormat="1" ht="14.25" customHeight="1">
      <c r="A242" s="20"/>
      <c r="B242" s="21"/>
      <c r="C242" s="22"/>
      <c r="D242" s="22"/>
      <c r="E242" s="22"/>
      <c r="G242" s="22"/>
      <c r="H242" s="22"/>
      <c r="I242" s="22"/>
      <c r="K242" s="22"/>
      <c r="L242" s="22"/>
      <c r="M242" s="22"/>
      <c r="O242" s="22"/>
      <c r="P242" s="22"/>
      <c r="Q242" s="22"/>
      <c r="S242" s="22"/>
      <c r="T242" s="22"/>
      <c r="U242" s="22"/>
      <c r="W242" s="22"/>
      <c r="X242" s="22"/>
      <c r="Y242" s="22"/>
      <c r="AA242" s="22"/>
      <c r="AB242" s="22"/>
      <c r="AC242" s="22"/>
      <c r="AE242" s="24"/>
      <c r="AF242" s="24"/>
      <c r="AG242" s="24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6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4"/>
      <c r="CP242" s="24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</row>
    <row r="243" spans="1:200" s="23" customFormat="1" ht="14.25" customHeight="1">
      <c r="A243" s="20"/>
      <c r="B243" s="21"/>
      <c r="C243" s="22"/>
      <c r="D243" s="22"/>
      <c r="E243" s="22"/>
      <c r="G243" s="22"/>
      <c r="H243" s="22"/>
      <c r="I243" s="22"/>
      <c r="K243" s="22"/>
      <c r="L243" s="22"/>
      <c r="M243" s="22"/>
      <c r="O243" s="22"/>
      <c r="P243" s="22"/>
      <c r="Q243" s="22"/>
      <c r="S243" s="22"/>
      <c r="T243" s="22"/>
      <c r="U243" s="22"/>
      <c r="W243" s="22"/>
      <c r="X243" s="22"/>
      <c r="Y243" s="22"/>
      <c r="AA243" s="22"/>
      <c r="AB243" s="22"/>
      <c r="AC243" s="22"/>
      <c r="AE243" s="24"/>
      <c r="AF243" s="24"/>
      <c r="AG243" s="24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6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24"/>
      <c r="CB243" s="24"/>
      <c r="CC243" s="24"/>
      <c r="CD243" s="24"/>
      <c r="CE243" s="24"/>
      <c r="CF243" s="24"/>
      <c r="CG243" s="24"/>
      <c r="CH243" s="24"/>
      <c r="CI243" s="24"/>
      <c r="CJ243" s="24"/>
      <c r="CK243" s="24"/>
      <c r="CL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</row>
    <row r="244" spans="1:200" s="23" customFormat="1" ht="14.25" customHeight="1">
      <c r="A244" s="20"/>
      <c r="B244" s="21"/>
      <c r="C244" s="22"/>
      <c r="D244" s="22"/>
      <c r="E244" s="22"/>
      <c r="G244" s="22"/>
      <c r="H244" s="22"/>
      <c r="I244" s="22"/>
      <c r="K244" s="22"/>
      <c r="L244" s="22"/>
      <c r="M244" s="22"/>
      <c r="O244" s="22"/>
      <c r="P244" s="22"/>
      <c r="Q244" s="22"/>
      <c r="S244" s="22"/>
      <c r="T244" s="22"/>
      <c r="U244" s="22"/>
      <c r="W244" s="22"/>
      <c r="X244" s="22"/>
      <c r="Y244" s="22"/>
      <c r="AA244" s="22"/>
      <c r="AB244" s="22"/>
      <c r="AC244" s="22"/>
      <c r="AE244" s="24"/>
      <c r="AF244" s="24"/>
      <c r="AG244" s="24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6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</row>
    <row r="245" spans="1:200" s="23" customFormat="1" ht="14.25" customHeight="1">
      <c r="A245" s="20"/>
      <c r="B245" s="21"/>
      <c r="C245" s="22"/>
      <c r="D245" s="22"/>
      <c r="E245" s="22"/>
      <c r="G245" s="22"/>
      <c r="H245" s="22"/>
      <c r="I245" s="22"/>
      <c r="K245" s="22"/>
      <c r="L245" s="22"/>
      <c r="M245" s="22"/>
      <c r="O245" s="22"/>
      <c r="P245" s="22"/>
      <c r="Q245" s="22"/>
      <c r="S245" s="22"/>
      <c r="T245" s="22"/>
      <c r="U245" s="22"/>
      <c r="W245" s="22"/>
      <c r="X245" s="22"/>
      <c r="Y245" s="22"/>
      <c r="AA245" s="22"/>
      <c r="AB245" s="22"/>
      <c r="AC245" s="22"/>
      <c r="AE245" s="24"/>
      <c r="AF245" s="24"/>
      <c r="AG245" s="24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6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/>
      <c r="CD245" s="24"/>
      <c r="CE245" s="24"/>
      <c r="CF245" s="24"/>
      <c r="CG245" s="24"/>
      <c r="CH245" s="24"/>
      <c r="CI245" s="24"/>
      <c r="CJ245" s="24"/>
      <c r="CK245" s="24"/>
      <c r="CL245" s="24"/>
      <c r="CM245" s="24"/>
      <c r="CN245" s="24"/>
      <c r="CO245" s="24"/>
      <c r="CP245" s="24"/>
      <c r="CQ245" s="24"/>
      <c r="CR245" s="24"/>
      <c r="CS245" s="24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</row>
    <row r="246" spans="1:200" s="23" customFormat="1" ht="14.25" customHeight="1">
      <c r="A246" s="20"/>
      <c r="B246" s="21"/>
      <c r="C246" s="22"/>
      <c r="D246" s="22"/>
      <c r="E246" s="22"/>
      <c r="G246" s="22"/>
      <c r="H246" s="22"/>
      <c r="I246" s="22"/>
      <c r="K246" s="22"/>
      <c r="L246" s="22"/>
      <c r="M246" s="22"/>
      <c r="O246" s="22"/>
      <c r="P246" s="22"/>
      <c r="Q246" s="22"/>
      <c r="S246" s="22"/>
      <c r="T246" s="22"/>
      <c r="U246" s="22"/>
      <c r="W246" s="22"/>
      <c r="X246" s="22"/>
      <c r="Y246" s="22"/>
      <c r="AA246" s="22"/>
      <c r="AB246" s="22"/>
      <c r="AC246" s="22"/>
      <c r="AE246" s="24"/>
      <c r="AF246" s="24"/>
      <c r="AG246" s="24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6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</row>
    <row r="247" spans="1:200" s="23" customFormat="1" ht="14.25" customHeight="1">
      <c r="A247" s="20"/>
      <c r="B247" s="21"/>
      <c r="C247" s="22"/>
      <c r="D247" s="22"/>
      <c r="E247" s="22"/>
      <c r="G247" s="22"/>
      <c r="H247" s="22"/>
      <c r="I247" s="22"/>
      <c r="K247" s="22"/>
      <c r="L247" s="22"/>
      <c r="M247" s="22"/>
      <c r="O247" s="22"/>
      <c r="P247" s="22"/>
      <c r="Q247" s="22"/>
      <c r="S247" s="22"/>
      <c r="T247" s="22"/>
      <c r="U247" s="22"/>
      <c r="W247" s="22"/>
      <c r="X247" s="22"/>
      <c r="Y247" s="22"/>
      <c r="AA247" s="22"/>
      <c r="AB247" s="22"/>
      <c r="AC247" s="22"/>
      <c r="AE247" s="24"/>
      <c r="AF247" s="24"/>
      <c r="AG247" s="24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6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/>
      <c r="CD247" s="24"/>
      <c r="CE247" s="24"/>
      <c r="CF247" s="24"/>
      <c r="CG247" s="24"/>
      <c r="CH247" s="24"/>
      <c r="CI247" s="24"/>
      <c r="CJ247" s="24"/>
      <c r="CK247" s="24"/>
      <c r="CL247" s="24"/>
      <c r="CM247" s="24"/>
      <c r="CN247" s="24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</row>
    <row r="248" spans="1:200" s="23" customFormat="1" ht="14.25" customHeight="1">
      <c r="A248" s="20"/>
      <c r="B248" s="21"/>
      <c r="C248" s="22"/>
      <c r="D248" s="22"/>
      <c r="E248" s="22"/>
      <c r="G248" s="22"/>
      <c r="H248" s="22"/>
      <c r="I248" s="22"/>
      <c r="K248" s="22"/>
      <c r="L248" s="22"/>
      <c r="M248" s="22"/>
      <c r="O248" s="22"/>
      <c r="P248" s="22"/>
      <c r="Q248" s="22"/>
      <c r="S248" s="22"/>
      <c r="T248" s="22"/>
      <c r="U248" s="22"/>
      <c r="W248" s="22"/>
      <c r="X248" s="22"/>
      <c r="Y248" s="22"/>
      <c r="AA248" s="22"/>
      <c r="AB248" s="22"/>
      <c r="AC248" s="22"/>
      <c r="AE248" s="24"/>
      <c r="AF248" s="24"/>
      <c r="AG248" s="24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6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</row>
    <row r="249" spans="1:200" s="23" customFormat="1" ht="14.25" customHeight="1">
      <c r="A249" s="20"/>
      <c r="B249" s="21"/>
      <c r="C249" s="22"/>
      <c r="D249" s="22"/>
      <c r="E249" s="22"/>
      <c r="G249" s="22"/>
      <c r="H249" s="22"/>
      <c r="I249" s="22"/>
      <c r="K249" s="22"/>
      <c r="L249" s="22"/>
      <c r="M249" s="22"/>
      <c r="O249" s="22"/>
      <c r="P249" s="22"/>
      <c r="Q249" s="22"/>
      <c r="S249" s="22"/>
      <c r="T249" s="22"/>
      <c r="U249" s="22"/>
      <c r="W249" s="22"/>
      <c r="X249" s="22"/>
      <c r="Y249" s="22"/>
      <c r="AA249" s="22"/>
      <c r="AB249" s="22"/>
      <c r="AC249" s="22"/>
      <c r="AE249" s="24"/>
      <c r="AF249" s="24"/>
      <c r="AG249" s="24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6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/>
      <c r="CD249" s="24"/>
      <c r="CE249" s="24"/>
      <c r="CF249" s="24"/>
      <c r="CG249" s="24"/>
      <c r="CH249" s="24"/>
      <c r="CI249" s="24"/>
      <c r="CJ249" s="24"/>
      <c r="CK249" s="24"/>
      <c r="CL249" s="24"/>
      <c r="CM249" s="24"/>
      <c r="CN249" s="24"/>
      <c r="CO249" s="24"/>
      <c r="CP249" s="24"/>
      <c r="CQ249" s="24"/>
      <c r="CR249" s="24"/>
      <c r="CS249" s="24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</row>
    <row r="250" spans="1:200" s="23" customFormat="1" ht="14.25" customHeight="1">
      <c r="A250" s="20"/>
      <c r="B250" s="21"/>
      <c r="C250" s="22"/>
      <c r="D250" s="22"/>
      <c r="E250" s="22"/>
      <c r="G250" s="22"/>
      <c r="H250" s="22"/>
      <c r="I250" s="22"/>
      <c r="K250" s="22"/>
      <c r="L250" s="22"/>
      <c r="M250" s="22"/>
      <c r="O250" s="22"/>
      <c r="P250" s="22"/>
      <c r="Q250" s="22"/>
      <c r="S250" s="22"/>
      <c r="T250" s="22"/>
      <c r="U250" s="22"/>
      <c r="W250" s="22"/>
      <c r="X250" s="22"/>
      <c r="Y250" s="22"/>
      <c r="AA250" s="22"/>
      <c r="AB250" s="22"/>
      <c r="AC250" s="22"/>
      <c r="AE250" s="24"/>
      <c r="AF250" s="24"/>
      <c r="AG250" s="24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6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4"/>
      <c r="CP250" s="24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</row>
    <row r="251" spans="1:200" s="23" customFormat="1" ht="14.25" customHeight="1">
      <c r="A251" s="20"/>
      <c r="B251" s="21"/>
      <c r="C251" s="22"/>
      <c r="D251" s="22"/>
      <c r="E251" s="22"/>
      <c r="G251" s="22"/>
      <c r="H251" s="22"/>
      <c r="I251" s="22"/>
      <c r="K251" s="22"/>
      <c r="L251" s="22"/>
      <c r="M251" s="22"/>
      <c r="O251" s="22"/>
      <c r="P251" s="22"/>
      <c r="Q251" s="22"/>
      <c r="S251" s="22"/>
      <c r="T251" s="22"/>
      <c r="U251" s="22"/>
      <c r="W251" s="22"/>
      <c r="X251" s="22"/>
      <c r="Y251" s="22"/>
      <c r="AA251" s="22"/>
      <c r="AB251" s="22"/>
      <c r="AC251" s="22"/>
      <c r="AE251" s="24"/>
      <c r="AF251" s="24"/>
      <c r="AG251" s="24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6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/>
      <c r="CE251" s="24"/>
      <c r="CF251" s="24"/>
      <c r="CG251" s="24"/>
      <c r="CH251" s="24"/>
      <c r="CI251" s="24"/>
      <c r="CJ251" s="24"/>
      <c r="CK251" s="24"/>
      <c r="CL251" s="24"/>
      <c r="CM251" s="24"/>
      <c r="CN251" s="24"/>
      <c r="CO251" s="24"/>
      <c r="CP251" s="24"/>
      <c r="CQ251" s="24"/>
      <c r="CR251" s="24"/>
      <c r="CS251" s="24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</row>
    <row r="252" spans="1:200" s="23" customFormat="1" ht="14.25" customHeight="1">
      <c r="A252" s="20"/>
      <c r="B252" s="21"/>
      <c r="C252" s="22"/>
      <c r="D252" s="22"/>
      <c r="E252" s="22"/>
      <c r="G252" s="22"/>
      <c r="H252" s="22"/>
      <c r="I252" s="22"/>
      <c r="K252" s="22"/>
      <c r="L252" s="22"/>
      <c r="M252" s="22"/>
      <c r="O252" s="22"/>
      <c r="P252" s="22"/>
      <c r="Q252" s="22"/>
      <c r="S252" s="22"/>
      <c r="T252" s="22"/>
      <c r="U252" s="22"/>
      <c r="W252" s="22"/>
      <c r="X252" s="22"/>
      <c r="Y252" s="22"/>
      <c r="AA252" s="22"/>
      <c r="AB252" s="22"/>
      <c r="AC252" s="22"/>
      <c r="AE252" s="24"/>
      <c r="AF252" s="24"/>
      <c r="AG252" s="24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6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4"/>
      <c r="CP252" s="24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</row>
    <row r="253" spans="1:200" s="23" customFormat="1" ht="14.25" customHeight="1">
      <c r="A253" s="20"/>
      <c r="B253" s="21"/>
      <c r="C253" s="22"/>
      <c r="D253" s="22"/>
      <c r="E253" s="22"/>
      <c r="G253" s="22"/>
      <c r="H253" s="22"/>
      <c r="I253" s="22"/>
      <c r="K253" s="22"/>
      <c r="L253" s="22"/>
      <c r="M253" s="22"/>
      <c r="O253" s="22"/>
      <c r="P253" s="22"/>
      <c r="Q253" s="22"/>
      <c r="S253" s="22"/>
      <c r="T253" s="22"/>
      <c r="U253" s="22"/>
      <c r="W253" s="22"/>
      <c r="X253" s="22"/>
      <c r="Y253" s="22"/>
      <c r="AA253" s="22"/>
      <c r="AB253" s="22"/>
      <c r="AC253" s="22"/>
      <c r="AE253" s="24"/>
      <c r="AF253" s="24"/>
      <c r="AG253" s="24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6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/>
      <c r="CD253" s="24"/>
      <c r="CE253" s="24"/>
      <c r="CF253" s="24"/>
      <c r="CG253" s="24"/>
      <c r="CH253" s="24"/>
      <c r="CI253" s="24"/>
      <c r="CJ253" s="24"/>
      <c r="CK253" s="24"/>
      <c r="CL253" s="24"/>
      <c r="CM253" s="24"/>
      <c r="CN253" s="24"/>
      <c r="CO253" s="24"/>
      <c r="CP253" s="24"/>
      <c r="CQ253" s="24"/>
      <c r="CR253" s="24"/>
      <c r="CS253" s="24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24"/>
      <c r="GQ253" s="24"/>
      <c r="GR253" s="24"/>
    </row>
    <row r="254" spans="1:200" s="23" customFormat="1" ht="14.25" customHeight="1">
      <c r="A254" s="20"/>
      <c r="B254" s="21"/>
      <c r="C254" s="22"/>
      <c r="D254" s="22"/>
      <c r="E254" s="22"/>
      <c r="G254" s="22"/>
      <c r="H254" s="22"/>
      <c r="I254" s="22"/>
      <c r="K254" s="22"/>
      <c r="L254" s="22"/>
      <c r="M254" s="22"/>
      <c r="O254" s="22"/>
      <c r="P254" s="22"/>
      <c r="Q254" s="22"/>
      <c r="S254" s="22"/>
      <c r="T254" s="22"/>
      <c r="U254" s="22"/>
      <c r="W254" s="22"/>
      <c r="X254" s="22"/>
      <c r="Y254" s="22"/>
      <c r="AA254" s="22"/>
      <c r="AB254" s="22"/>
      <c r="AC254" s="22"/>
      <c r="AE254" s="24"/>
      <c r="AF254" s="24"/>
      <c r="AG254" s="24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6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4"/>
      <c r="CP254" s="24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</row>
    <row r="255" spans="1:200" s="23" customFormat="1" ht="14.25" customHeight="1">
      <c r="A255" s="20"/>
      <c r="B255" s="21"/>
      <c r="C255" s="22"/>
      <c r="D255" s="22"/>
      <c r="E255" s="22"/>
      <c r="G255" s="22"/>
      <c r="H255" s="22"/>
      <c r="I255" s="22"/>
      <c r="K255" s="22"/>
      <c r="L255" s="22"/>
      <c r="M255" s="22"/>
      <c r="O255" s="22"/>
      <c r="P255" s="22"/>
      <c r="Q255" s="22"/>
      <c r="S255" s="22"/>
      <c r="T255" s="22"/>
      <c r="U255" s="22"/>
      <c r="W255" s="22"/>
      <c r="X255" s="22"/>
      <c r="Y255" s="22"/>
      <c r="AA255" s="22"/>
      <c r="AB255" s="22"/>
      <c r="AC255" s="22"/>
      <c r="AE255" s="24"/>
      <c r="AF255" s="24"/>
      <c r="AG255" s="24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6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/>
      <c r="CD255" s="24"/>
      <c r="CE255" s="24"/>
      <c r="CF255" s="24"/>
      <c r="CG255" s="24"/>
      <c r="CH255" s="24"/>
      <c r="CI255" s="24"/>
      <c r="CJ255" s="24"/>
      <c r="CK255" s="24"/>
      <c r="CL255" s="24"/>
      <c r="CM255" s="24"/>
      <c r="CN255" s="24"/>
      <c r="CO255" s="24"/>
      <c r="CP255" s="24"/>
      <c r="CQ255" s="24"/>
      <c r="CR255" s="24"/>
      <c r="CS255" s="24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</row>
    <row r="256" spans="1:200" s="23" customFormat="1" ht="14.25" customHeight="1">
      <c r="A256" s="20"/>
      <c r="B256" s="21"/>
      <c r="C256" s="22"/>
      <c r="D256" s="22"/>
      <c r="E256" s="22"/>
      <c r="G256" s="22"/>
      <c r="H256" s="22"/>
      <c r="I256" s="22"/>
      <c r="K256" s="22"/>
      <c r="L256" s="22"/>
      <c r="M256" s="22"/>
      <c r="O256" s="22"/>
      <c r="P256" s="22"/>
      <c r="Q256" s="22"/>
      <c r="S256" s="22"/>
      <c r="T256" s="22"/>
      <c r="U256" s="22"/>
      <c r="W256" s="22"/>
      <c r="X256" s="22"/>
      <c r="Y256" s="22"/>
      <c r="AA256" s="22"/>
      <c r="AB256" s="22"/>
      <c r="AC256" s="22"/>
      <c r="AE256" s="24"/>
      <c r="AF256" s="24"/>
      <c r="AG256" s="24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6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4"/>
      <c r="CP256" s="24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</row>
    <row r="257" spans="1:200" s="23" customFormat="1" ht="14.25" customHeight="1">
      <c r="A257" s="20"/>
      <c r="B257" s="21"/>
      <c r="C257" s="22"/>
      <c r="D257" s="22"/>
      <c r="E257" s="22"/>
      <c r="G257" s="22"/>
      <c r="H257" s="22"/>
      <c r="I257" s="22"/>
      <c r="K257" s="22"/>
      <c r="L257" s="22"/>
      <c r="M257" s="22"/>
      <c r="O257" s="22"/>
      <c r="P257" s="22"/>
      <c r="Q257" s="22"/>
      <c r="S257" s="22"/>
      <c r="T257" s="22"/>
      <c r="U257" s="22"/>
      <c r="W257" s="22"/>
      <c r="X257" s="22"/>
      <c r="Y257" s="22"/>
      <c r="AA257" s="22"/>
      <c r="AB257" s="22"/>
      <c r="AC257" s="22"/>
      <c r="AE257" s="24"/>
      <c r="AF257" s="24"/>
      <c r="AG257" s="24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6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/>
      <c r="CD257" s="24"/>
      <c r="CE257" s="24"/>
      <c r="CF257" s="24"/>
      <c r="CG257" s="24"/>
      <c r="CH257" s="24"/>
      <c r="CI257" s="24"/>
      <c r="CJ257" s="24"/>
      <c r="CK257" s="24"/>
      <c r="CL257" s="24"/>
      <c r="CM257" s="24"/>
      <c r="CN257" s="24"/>
      <c r="CO257" s="24"/>
      <c r="CP257" s="24"/>
      <c r="CQ257" s="24"/>
      <c r="CR257" s="24"/>
      <c r="CS257" s="24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24"/>
      <c r="GQ257" s="24"/>
      <c r="GR257" s="24"/>
    </row>
    <row r="258" spans="1:200" s="23" customFormat="1" ht="14.25" customHeight="1">
      <c r="A258" s="20"/>
      <c r="B258" s="21"/>
      <c r="C258" s="22"/>
      <c r="D258" s="22"/>
      <c r="E258" s="22"/>
      <c r="G258" s="22"/>
      <c r="H258" s="22"/>
      <c r="I258" s="22"/>
      <c r="K258" s="22"/>
      <c r="L258" s="22"/>
      <c r="M258" s="22"/>
      <c r="O258" s="22"/>
      <c r="P258" s="22"/>
      <c r="Q258" s="22"/>
      <c r="S258" s="22"/>
      <c r="T258" s="22"/>
      <c r="U258" s="22"/>
      <c r="W258" s="22"/>
      <c r="X258" s="22"/>
      <c r="Y258" s="22"/>
      <c r="AA258" s="22"/>
      <c r="AB258" s="22"/>
      <c r="AC258" s="22"/>
      <c r="AE258" s="24"/>
      <c r="AF258" s="24"/>
      <c r="AG258" s="24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6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4"/>
      <c r="CP258" s="24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4"/>
      <c r="GQ258" s="24"/>
      <c r="GR258" s="24"/>
    </row>
    <row r="259" spans="1:200" s="23" customFormat="1" ht="14.25" customHeight="1">
      <c r="A259" s="20"/>
      <c r="B259" s="21"/>
      <c r="C259" s="22"/>
      <c r="D259" s="22"/>
      <c r="E259" s="22"/>
      <c r="G259" s="22"/>
      <c r="H259" s="22"/>
      <c r="I259" s="22"/>
      <c r="K259" s="22"/>
      <c r="L259" s="22"/>
      <c r="M259" s="22"/>
      <c r="O259" s="22"/>
      <c r="P259" s="22"/>
      <c r="Q259" s="22"/>
      <c r="S259" s="22"/>
      <c r="T259" s="22"/>
      <c r="U259" s="22"/>
      <c r="W259" s="22"/>
      <c r="X259" s="22"/>
      <c r="Y259" s="22"/>
      <c r="AA259" s="22"/>
      <c r="AB259" s="22"/>
      <c r="AC259" s="22"/>
      <c r="AE259" s="24"/>
      <c r="AF259" s="24"/>
      <c r="AG259" s="24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6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/>
      <c r="CE259" s="24"/>
      <c r="CF259" s="24"/>
      <c r="CG259" s="24"/>
      <c r="CH259" s="24"/>
      <c r="CI259" s="24"/>
      <c r="CJ259" s="24"/>
      <c r="CK259" s="24"/>
      <c r="CL259" s="24"/>
      <c r="CM259" s="24"/>
      <c r="CN259" s="24"/>
      <c r="CO259" s="24"/>
      <c r="CP259" s="24"/>
      <c r="CQ259" s="24"/>
      <c r="CR259" s="24"/>
      <c r="CS259" s="24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4"/>
      <c r="GQ259" s="24"/>
      <c r="GR259" s="24"/>
    </row>
    <row r="260" spans="1:200" s="23" customFormat="1" ht="14.25" customHeight="1">
      <c r="A260" s="20"/>
      <c r="B260" s="21"/>
      <c r="C260" s="22"/>
      <c r="D260" s="22"/>
      <c r="E260" s="22"/>
      <c r="G260" s="22"/>
      <c r="H260" s="22"/>
      <c r="I260" s="22"/>
      <c r="K260" s="22"/>
      <c r="L260" s="22"/>
      <c r="M260" s="22"/>
      <c r="O260" s="22"/>
      <c r="P260" s="22"/>
      <c r="Q260" s="22"/>
      <c r="S260" s="22"/>
      <c r="T260" s="22"/>
      <c r="U260" s="22"/>
      <c r="W260" s="22"/>
      <c r="X260" s="22"/>
      <c r="Y260" s="22"/>
      <c r="AA260" s="22"/>
      <c r="AB260" s="22"/>
      <c r="AC260" s="22"/>
      <c r="AE260" s="24"/>
      <c r="AF260" s="24"/>
      <c r="AG260" s="24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6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4"/>
      <c r="CC260" s="24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4"/>
      <c r="CP260" s="24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/>
      <c r="GQ260" s="24"/>
      <c r="GR260" s="24"/>
    </row>
    <row r="261" spans="1:200" s="23" customFormat="1" ht="14.25" customHeight="1">
      <c r="A261" s="20"/>
      <c r="B261" s="21"/>
      <c r="C261" s="22"/>
      <c r="D261" s="22"/>
      <c r="E261" s="22"/>
      <c r="G261" s="22"/>
      <c r="H261" s="22"/>
      <c r="I261" s="22"/>
      <c r="K261" s="22"/>
      <c r="L261" s="22"/>
      <c r="M261" s="22"/>
      <c r="O261" s="22"/>
      <c r="P261" s="22"/>
      <c r="Q261" s="22"/>
      <c r="S261" s="22"/>
      <c r="T261" s="22"/>
      <c r="U261" s="22"/>
      <c r="W261" s="22"/>
      <c r="X261" s="22"/>
      <c r="Y261" s="22"/>
      <c r="AA261" s="22"/>
      <c r="AB261" s="22"/>
      <c r="AC261" s="22"/>
      <c r="AE261" s="24"/>
      <c r="AF261" s="24"/>
      <c r="AG261" s="24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6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24"/>
      <c r="CB261" s="24"/>
      <c r="CC261" s="24"/>
      <c r="CD261" s="24"/>
      <c r="CE261" s="24"/>
      <c r="CF261" s="24"/>
      <c r="CG261" s="24"/>
      <c r="CH261" s="24"/>
      <c r="CI261" s="24"/>
      <c r="CJ261" s="24"/>
      <c r="CK261" s="24"/>
      <c r="CL261" s="24"/>
      <c r="CM261" s="24"/>
      <c r="CN261" s="24"/>
      <c r="CO261" s="24"/>
      <c r="CP261" s="24"/>
      <c r="CQ261" s="24"/>
      <c r="CR261" s="24"/>
      <c r="CS261" s="24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4"/>
      <c r="GQ261" s="24"/>
      <c r="GR261" s="24"/>
    </row>
    <row r="262" spans="1:200" s="23" customFormat="1" ht="14.25" customHeight="1">
      <c r="A262" s="20"/>
      <c r="B262" s="21"/>
      <c r="C262" s="22"/>
      <c r="D262" s="22"/>
      <c r="E262" s="22"/>
      <c r="G262" s="22"/>
      <c r="H262" s="22"/>
      <c r="I262" s="22"/>
      <c r="K262" s="22"/>
      <c r="L262" s="22"/>
      <c r="M262" s="22"/>
      <c r="O262" s="22"/>
      <c r="P262" s="22"/>
      <c r="Q262" s="22"/>
      <c r="S262" s="22"/>
      <c r="T262" s="22"/>
      <c r="U262" s="22"/>
      <c r="W262" s="22"/>
      <c r="X262" s="22"/>
      <c r="Y262" s="22"/>
      <c r="AA262" s="22"/>
      <c r="AB262" s="22"/>
      <c r="AC262" s="22"/>
      <c r="AE262" s="24"/>
      <c r="AF262" s="24"/>
      <c r="AG262" s="24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6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4"/>
      <c r="CP262" s="24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/>
      <c r="GQ262" s="24"/>
      <c r="GR262" s="24"/>
    </row>
    <row r="263" spans="1:200" s="23" customFormat="1" ht="14.25" customHeight="1">
      <c r="A263" s="20"/>
      <c r="B263" s="21"/>
      <c r="C263" s="22"/>
      <c r="D263" s="22"/>
      <c r="E263" s="22"/>
      <c r="G263" s="22"/>
      <c r="H263" s="22"/>
      <c r="I263" s="22"/>
      <c r="K263" s="22"/>
      <c r="L263" s="22"/>
      <c r="M263" s="22"/>
      <c r="O263" s="22"/>
      <c r="P263" s="22"/>
      <c r="Q263" s="22"/>
      <c r="S263" s="22"/>
      <c r="T263" s="22"/>
      <c r="U263" s="22"/>
      <c r="W263" s="22"/>
      <c r="X263" s="22"/>
      <c r="Y263" s="22"/>
      <c r="AA263" s="22"/>
      <c r="AB263" s="22"/>
      <c r="AC263" s="22"/>
      <c r="AE263" s="24"/>
      <c r="AF263" s="24"/>
      <c r="AG263" s="24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6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/>
      <c r="GG263" s="24"/>
      <c r="GH263" s="24"/>
      <c r="GI263" s="24"/>
      <c r="GJ263" s="24"/>
      <c r="GK263" s="24"/>
      <c r="GL263" s="24"/>
      <c r="GM263" s="24"/>
      <c r="GN263" s="24"/>
      <c r="GO263" s="24"/>
      <c r="GP263" s="24"/>
      <c r="GQ263" s="24"/>
      <c r="GR263" s="24"/>
    </row>
    <row r="264" spans="1:200" s="23" customFormat="1" ht="14.25" customHeight="1">
      <c r="A264" s="20"/>
      <c r="B264" s="21"/>
      <c r="C264" s="22"/>
      <c r="D264" s="22"/>
      <c r="E264" s="22"/>
      <c r="G264" s="22"/>
      <c r="H264" s="22"/>
      <c r="I264" s="22"/>
      <c r="K264" s="22"/>
      <c r="L264" s="22"/>
      <c r="M264" s="22"/>
      <c r="O264" s="22"/>
      <c r="P264" s="22"/>
      <c r="Q264" s="22"/>
      <c r="S264" s="22"/>
      <c r="T264" s="22"/>
      <c r="U264" s="22"/>
      <c r="W264" s="22"/>
      <c r="X264" s="22"/>
      <c r="Y264" s="22"/>
      <c r="AA264" s="22"/>
      <c r="AB264" s="22"/>
      <c r="AC264" s="22"/>
      <c r="AE264" s="24"/>
      <c r="AF264" s="24"/>
      <c r="AG264" s="24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6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/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</row>
    <row r="265" spans="1:200" s="23" customFormat="1" ht="14.25" customHeight="1">
      <c r="A265" s="20"/>
      <c r="B265" s="21"/>
      <c r="C265" s="22"/>
      <c r="D265" s="22"/>
      <c r="E265" s="22"/>
      <c r="G265" s="22"/>
      <c r="H265" s="22"/>
      <c r="I265" s="22"/>
      <c r="K265" s="22"/>
      <c r="L265" s="22"/>
      <c r="M265" s="22"/>
      <c r="O265" s="22"/>
      <c r="P265" s="22"/>
      <c r="Q265" s="22"/>
      <c r="S265" s="22"/>
      <c r="T265" s="22"/>
      <c r="U265" s="22"/>
      <c r="W265" s="22"/>
      <c r="X265" s="22"/>
      <c r="Y265" s="22"/>
      <c r="AA265" s="22"/>
      <c r="AB265" s="22"/>
      <c r="AC265" s="22"/>
      <c r="AE265" s="24"/>
      <c r="AF265" s="24"/>
      <c r="AG265" s="24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6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  <c r="EH265" s="24"/>
      <c r="EI265" s="24"/>
      <c r="EJ265" s="24"/>
      <c r="EK265" s="24"/>
      <c r="EL265" s="24"/>
      <c r="EM265" s="24"/>
      <c r="EN265" s="24"/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  <c r="FZ265" s="24"/>
      <c r="GA265" s="24"/>
      <c r="GB265" s="24"/>
      <c r="GC265" s="24"/>
      <c r="GD265" s="24"/>
      <c r="GE265" s="24"/>
      <c r="GF265" s="24"/>
      <c r="GG265" s="24"/>
      <c r="GH265" s="24"/>
      <c r="GI265" s="24"/>
      <c r="GJ265" s="24"/>
      <c r="GK265" s="24"/>
      <c r="GL265" s="24"/>
      <c r="GM265" s="24"/>
      <c r="GN265" s="24"/>
      <c r="GO265" s="24"/>
      <c r="GP265" s="24"/>
      <c r="GQ265" s="24"/>
      <c r="GR265" s="24"/>
    </row>
    <row r="266" spans="1:200" s="23" customFormat="1" ht="14.25" customHeight="1">
      <c r="A266" s="20"/>
      <c r="B266" s="21"/>
      <c r="C266" s="22"/>
      <c r="D266" s="22"/>
      <c r="E266" s="22"/>
      <c r="G266" s="22"/>
      <c r="H266" s="22"/>
      <c r="I266" s="22"/>
      <c r="K266" s="22"/>
      <c r="L266" s="22"/>
      <c r="M266" s="22"/>
      <c r="O266" s="22"/>
      <c r="P266" s="22"/>
      <c r="Q266" s="22"/>
      <c r="S266" s="22"/>
      <c r="T266" s="22"/>
      <c r="U266" s="22"/>
      <c r="W266" s="22"/>
      <c r="X266" s="22"/>
      <c r="Y266" s="22"/>
      <c r="AA266" s="22"/>
      <c r="AB266" s="22"/>
      <c r="AC266" s="22"/>
      <c r="AE266" s="24"/>
      <c r="AF266" s="24"/>
      <c r="AG266" s="24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6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24"/>
      <c r="GQ266" s="24"/>
      <c r="GR266" s="24"/>
    </row>
    <row r="267" spans="1:200" s="23" customFormat="1" ht="14.25" customHeight="1">
      <c r="A267" s="20"/>
      <c r="B267" s="21"/>
      <c r="C267" s="22"/>
      <c r="D267" s="22"/>
      <c r="E267" s="22"/>
      <c r="G267" s="22"/>
      <c r="H267" s="22"/>
      <c r="I267" s="22"/>
      <c r="K267" s="22"/>
      <c r="L267" s="22"/>
      <c r="M267" s="22"/>
      <c r="O267" s="22"/>
      <c r="P267" s="22"/>
      <c r="Q267" s="22"/>
      <c r="S267" s="22"/>
      <c r="T267" s="22"/>
      <c r="U267" s="22"/>
      <c r="W267" s="22"/>
      <c r="X267" s="22"/>
      <c r="Y267" s="22"/>
      <c r="AA267" s="22"/>
      <c r="AB267" s="22"/>
      <c r="AC267" s="22"/>
      <c r="AE267" s="24"/>
      <c r="AF267" s="24"/>
      <c r="AG267" s="24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6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/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/>
      <c r="FV267" s="24"/>
      <c r="FW267" s="24"/>
      <c r="FX267" s="24"/>
      <c r="FY267" s="24"/>
      <c r="FZ267" s="24"/>
      <c r="GA267" s="24"/>
      <c r="GB267" s="24"/>
      <c r="GC267" s="24"/>
      <c r="GD267" s="24"/>
      <c r="GE267" s="24"/>
      <c r="GF267" s="24"/>
      <c r="GG267" s="24"/>
      <c r="GH267" s="24"/>
      <c r="GI267" s="24"/>
      <c r="GJ267" s="24"/>
      <c r="GK267" s="24"/>
      <c r="GL267" s="24"/>
      <c r="GM267" s="24"/>
      <c r="GN267" s="24"/>
      <c r="GO267" s="24"/>
      <c r="GP267" s="24"/>
      <c r="GQ267" s="24"/>
      <c r="GR267" s="24"/>
    </row>
    <row r="268" spans="1:200" s="23" customFormat="1" ht="14.25" customHeight="1">
      <c r="A268" s="20"/>
      <c r="B268" s="21"/>
      <c r="C268" s="22"/>
      <c r="D268" s="22"/>
      <c r="E268" s="22"/>
      <c r="G268" s="22"/>
      <c r="H268" s="22"/>
      <c r="I268" s="22"/>
      <c r="K268" s="22"/>
      <c r="L268" s="22"/>
      <c r="M268" s="22"/>
      <c r="O268" s="22"/>
      <c r="P268" s="22"/>
      <c r="Q268" s="22"/>
      <c r="S268" s="22"/>
      <c r="T268" s="22"/>
      <c r="U268" s="22"/>
      <c r="W268" s="22"/>
      <c r="X268" s="22"/>
      <c r="Y268" s="22"/>
      <c r="AA268" s="22"/>
      <c r="AB268" s="22"/>
      <c r="AC268" s="22"/>
      <c r="AE268" s="24"/>
      <c r="AF268" s="24"/>
      <c r="AG268" s="24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6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4"/>
      <c r="CC268" s="24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4"/>
      <c r="CP268" s="24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/>
      <c r="GH268" s="24"/>
      <c r="GI268" s="24"/>
      <c r="GJ268" s="24"/>
      <c r="GK268" s="24"/>
      <c r="GL268" s="24"/>
      <c r="GM268" s="24"/>
      <c r="GN268" s="24"/>
      <c r="GO268" s="24"/>
      <c r="GP268" s="24"/>
      <c r="GQ268" s="24"/>
      <c r="GR268" s="24"/>
    </row>
    <row r="269" spans="1:200" s="23" customFormat="1" ht="14.25" customHeight="1">
      <c r="A269" s="20"/>
      <c r="B269" s="21"/>
      <c r="C269" s="22"/>
      <c r="D269" s="22"/>
      <c r="E269" s="22"/>
      <c r="G269" s="22"/>
      <c r="H269" s="22"/>
      <c r="I269" s="22"/>
      <c r="K269" s="22"/>
      <c r="L269" s="22"/>
      <c r="M269" s="22"/>
      <c r="O269" s="22"/>
      <c r="P269" s="22"/>
      <c r="Q269" s="22"/>
      <c r="S269" s="22"/>
      <c r="T269" s="22"/>
      <c r="U269" s="22"/>
      <c r="W269" s="22"/>
      <c r="X269" s="22"/>
      <c r="Y269" s="22"/>
      <c r="AA269" s="22"/>
      <c r="AB269" s="22"/>
      <c r="AC269" s="22"/>
      <c r="AE269" s="24"/>
      <c r="AF269" s="24"/>
      <c r="AG269" s="24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6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24"/>
      <c r="CB269" s="24"/>
      <c r="CC269" s="24"/>
      <c r="CD269" s="24"/>
      <c r="CE269" s="24"/>
      <c r="CF269" s="24"/>
      <c r="CG269" s="24"/>
      <c r="CH269" s="24"/>
      <c r="CI269" s="24"/>
      <c r="CJ269" s="24"/>
      <c r="CK269" s="24"/>
      <c r="CL269" s="24"/>
      <c r="CM269" s="24"/>
      <c r="CN269" s="24"/>
      <c r="CO269" s="24"/>
      <c r="CP269" s="24"/>
      <c r="CQ269" s="24"/>
      <c r="CR269" s="24"/>
      <c r="CS269" s="24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  <c r="EH269" s="24"/>
      <c r="EI269" s="24"/>
      <c r="EJ269" s="24"/>
      <c r="EK269" s="24"/>
      <c r="EL269" s="24"/>
      <c r="EM269" s="24"/>
      <c r="EN269" s="24"/>
      <c r="EO269" s="24"/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  <c r="FZ269" s="24"/>
      <c r="GA269" s="24"/>
      <c r="GB269" s="24"/>
      <c r="GC269" s="24"/>
      <c r="GD269" s="24"/>
      <c r="GE269" s="24"/>
      <c r="GF269" s="24"/>
      <c r="GG269" s="24"/>
      <c r="GH269" s="24"/>
      <c r="GI269" s="24"/>
      <c r="GJ269" s="24"/>
      <c r="GK269" s="24"/>
      <c r="GL269" s="24"/>
      <c r="GM269" s="24"/>
      <c r="GN269" s="24"/>
      <c r="GO269" s="24"/>
      <c r="GP269" s="24"/>
      <c r="GQ269" s="24"/>
      <c r="GR269" s="24"/>
    </row>
    <row r="270" spans="1:200" s="23" customFormat="1" ht="14.25" customHeight="1">
      <c r="A270" s="20"/>
      <c r="B270" s="21"/>
      <c r="C270" s="22"/>
      <c r="D270" s="22"/>
      <c r="E270" s="22"/>
      <c r="G270" s="22"/>
      <c r="H270" s="22"/>
      <c r="I270" s="22"/>
      <c r="K270" s="22"/>
      <c r="L270" s="22"/>
      <c r="M270" s="22"/>
      <c r="O270" s="22"/>
      <c r="P270" s="22"/>
      <c r="Q270" s="22"/>
      <c r="S270" s="22"/>
      <c r="T270" s="22"/>
      <c r="U270" s="22"/>
      <c r="W270" s="22"/>
      <c r="X270" s="22"/>
      <c r="Y270" s="22"/>
      <c r="AA270" s="22"/>
      <c r="AB270" s="22"/>
      <c r="AC270" s="22"/>
      <c r="AE270" s="24"/>
      <c r="AF270" s="24"/>
      <c r="AG270" s="24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6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4"/>
      <c r="CC270" s="24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4"/>
      <c r="CP270" s="24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  <c r="FZ270" s="24"/>
      <c r="GA270" s="24"/>
      <c r="GB270" s="24"/>
      <c r="GC270" s="24"/>
      <c r="GD270" s="24"/>
      <c r="GE270" s="24"/>
      <c r="GF270" s="24"/>
      <c r="GG270" s="24"/>
      <c r="GH270" s="24"/>
      <c r="GI270" s="24"/>
      <c r="GJ270" s="24"/>
      <c r="GK270" s="24"/>
      <c r="GL270" s="24"/>
      <c r="GM270" s="24"/>
      <c r="GN270" s="24"/>
      <c r="GO270" s="24"/>
      <c r="GP270" s="24"/>
      <c r="GQ270" s="24"/>
      <c r="GR270" s="24"/>
    </row>
    <row r="271" spans="1:200" s="23" customFormat="1" ht="14.25" customHeight="1">
      <c r="A271" s="20"/>
      <c r="B271" s="21"/>
      <c r="C271" s="22"/>
      <c r="D271" s="22"/>
      <c r="E271" s="22"/>
      <c r="G271" s="22"/>
      <c r="H271" s="22"/>
      <c r="I271" s="22"/>
      <c r="K271" s="22"/>
      <c r="L271" s="22"/>
      <c r="M271" s="22"/>
      <c r="O271" s="22"/>
      <c r="P271" s="22"/>
      <c r="Q271" s="22"/>
      <c r="S271" s="22"/>
      <c r="T271" s="22"/>
      <c r="U271" s="22"/>
      <c r="W271" s="22"/>
      <c r="X271" s="22"/>
      <c r="Y271" s="22"/>
      <c r="AA271" s="22"/>
      <c r="AB271" s="22"/>
      <c r="AC271" s="22"/>
      <c r="AE271" s="24"/>
      <c r="AF271" s="24"/>
      <c r="AG271" s="24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6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24"/>
      <c r="CB271" s="24"/>
      <c r="CC271" s="24"/>
      <c r="CD271" s="24"/>
      <c r="CE271" s="24"/>
      <c r="CF271" s="24"/>
      <c r="CG271" s="24"/>
      <c r="CH271" s="24"/>
      <c r="CI271" s="24"/>
      <c r="CJ271" s="24"/>
      <c r="CK271" s="24"/>
      <c r="CL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/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4"/>
      <c r="GJ271" s="24"/>
      <c r="GK271" s="24"/>
      <c r="GL271" s="24"/>
      <c r="GM271" s="24"/>
      <c r="GN271" s="24"/>
      <c r="GO271" s="24"/>
      <c r="GP271" s="24"/>
      <c r="GQ271" s="24"/>
      <c r="GR271" s="24"/>
    </row>
    <row r="272" spans="1:200" s="23" customFormat="1" ht="14.25" customHeight="1">
      <c r="A272" s="20"/>
      <c r="B272" s="21"/>
      <c r="C272" s="22"/>
      <c r="D272" s="22"/>
      <c r="E272" s="22"/>
      <c r="G272" s="22"/>
      <c r="H272" s="22"/>
      <c r="I272" s="22"/>
      <c r="K272" s="22"/>
      <c r="L272" s="22"/>
      <c r="M272" s="22"/>
      <c r="O272" s="22"/>
      <c r="P272" s="22"/>
      <c r="Q272" s="22"/>
      <c r="S272" s="22"/>
      <c r="T272" s="22"/>
      <c r="U272" s="22"/>
      <c r="W272" s="22"/>
      <c r="X272" s="22"/>
      <c r="Y272" s="22"/>
      <c r="AA272" s="22"/>
      <c r="AB272" s="22"/>
      <c r="AC272" s="22"/>
      <c r="AE272" s="24"/>
      <c r="AF272" s="24"/>
      <c r="AG272" s="24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6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4"/>
      <c r="CC272" s="24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4"/>
      <c r="CP272" s="24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  <c r="FZ272" s="24"/>
      <c r="GA272" s="24"/>
      <c r="GB272" s="24"/>
      <c r="GC272" s="24"/>
      <c r="GD272" s="24"/>
      <c r="GE272" s="24"/>
      <c r="GF272" s="24"/>
      <c r="GG272" s="24"/>
      <c r="GH272" s="24"/>
      <c r="GI272" s="24"/>
      <c r="GJ272" s="24"/>
      <c r="GK272" s="24"/>
      <c r="GL272" s="24"/>
      <c r="GM272" s="24"/>
      <c r="GN272" s="24"/>
      <c r="GO272" s="24"/>
      <c r="GP272" s="24"/>
      <c r="GQ272" s="24"/>
      <c r="GR272" s="24"/>
    </row>
    <row r="273" spans="1:200" s="23" customFormat="1" ht="14.25" customHeight="1">
      <c r="A273" s="20"/>
      <c r="B273" s="21"/>
      <c r="C273" s="22"/>
      <c r="D273" s="22"/>
      <c r="E273" s="22"/>
      <c r="G273" s="22"/>
      <c r="H273" s="22"/>
      <c r="I273" s="22"/>
      <c r="K273" s="22"/>
      <c r="L273" s="22"/>
      <c r="M273" s="22"/>
      <c r="O273" s="22"/>
      <c r="P273" s="22"/>
      <c r="Q273" s="22"/>
      <c r="S273" s="22"/>
      <c r="T273" s="22"/>
      <c r="U273" s="22"/>
      <c r="W273" s="22"/>
      <c r="X273" s="22"/>
      <c r="Y273" s="22"/>
      <c r="AA273" s="22"/>
      <c r="AB273" s="22"/>
      <c r="AC273" s="22"/>
      <c r="AE273" s="24"/>
      <c r="AF273" s="24"/>
      <c r="AG273" s="24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6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24"/>
      <c r="CB273" s="24"/>
      <c r="CC273" s="24"/>
      <c r="CD273" s="24"/>
      <c r="CE273" s="24"/>
      <c r="CF273" s="24"/>
      <c r="CG273" s="24"/>
      <c r="CH273" s="24"/>
      <c r="CI273" s="24"/>
      <c r="CJ273" s="24"/>
      <c r="CK273" s="24"/>
      <c r="CL273" s="24"/>
      <c r="CM273" s="24"/>
      <c r="CN273" s="24"/>
      <c r="CO273" s="24"/>
      <c r="CP273" s="24"/>
      <c r="CQ273" s="24"/>
      <c r="CR273" s="24"/>
      <c r="CS273" s="24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/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24"/>
      <c r="GQ273" s="24"/>
      <c r="GR273" s="24"/>
    </row>
    <row r="274" spans="1:200" s="23" customFormat="1" ht="14.25" customHeight="1">
      <c r="A274" s="20"/>
      <c r="B274" s="21"/>
      <c r="C274" s="22"/>
      <c r="D274" s="22"/>
      <c r="E274" s="22"/>
      <c r="G274" s="22"/>
      <c r="H274" s="22"/>
      <c r="I274" s="22"/>
      <c r="K274" s="22"/>
      <c r="L274" s="22"/>
      <c r="M274" s="22"/>
      <c r="O274" s="22"/>
      <c r="P274" s="22"/>
      <c r="Q274" s="22"/>
      <c r="S274" s="22"/>
      <c r="T274" s="22"/>
      <c r="U274" s="22"/>
      <c r="W274" s="22"/>
      <c r="X274" s="22"/>
      <c r="Y274" s="22"/>
      <c r="AA274" s="22"/>
      <c r="AB274" s="22"/>
      <c r="AC274" s="22"/>
      <c r="AE274" s="24"/>
      <c r="AF274" s="24"/>
      <c r="AG274" s="24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6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4"/>
      <c r="CC274" s="24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4"/>
      <c r="CP274" s="24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  <c r="FZ274" s="24"/>
      <c r="GA274" s="24"/>
      <c r="GB274" s="24"/>
      <c r="GC274" s="24"/>
      <c r="GD274" s="24"/>
      <c r="GE274" s="24"/>
      <c r="GF274" s="24"/>
      <c r="GG274" s="24"/>
      <c r="GH274" s="24"/>
      <c r="GI274" s="24"/>
      <c r="GJ274" s="24"/>
      <c r="GK274" s="24"/>
      <c r="GL274" s="24"/>
      <c r="GM274" s="24"/>
      <c r="GN274" s="24"/>
      <c r="GO274" s="24"/>
      <c r="GP274" s="24"/>
      <c r="GQ274" s="24"/>
      <c r="GR274" s="24"/>
    </row>
    <row r="275" spans="1:200" s="23" customFormat="1" ht="14.25" customHeight="1">
      <c r="A275" s="20"/>
      <c r="B275" s="21"/>
      <c r="C275" s="22"/>
      <c r="D275" s="22"/>
      <c r="E275" s="22"/>
      <c r="G275" s="22"/>
      <c r="H275" s="22"/>
      <c r="I275" s="22"/>
      <c r="K275" s="22"/>
      <c r="L275" s="22"/>
      <c r="M275" s="22"/>
      <c r="O275" s="22"/>
      <c r="P275" s="22"/>
      <c r="Q275" s="22"/>
      <c r="S275" s="22"/>
      <c r="T275" s="22"/>
      <c r="U275" s="22"/>
      <c r="W275" s="22"/>
      <c r="X275" s="22"/>
      <c r="Y275" s="22"/>
      <c r="AA275" s="22"/>
      <c r="AB275" s="22"/>
      <c r="AC275" s="22"/>
      <c r="AE275" s="24"/>
      <c r="AF275" s="24"/>
      <c r="AG275" s="24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6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24"/>
      <c r="CB275" s="24"/>
      <c r="CC275" s="24"/>
      <c r="CD275" s="24"/>
      <c r="CE275" s="24"/>
      <c r="CF275" s="24"/>
      <c r="CG275" s="24"/>
      <c r="CH275" s="24"/>
      <c r="CI275" s="24"/>
      <c r="CJ275" s="24"/>
      <c r="CK275" s="24"/>
      <c r="CL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  <c r="EH275" s="24"/>
      <c r="EI275" s="24"/>
      <c r="EJ275" s="24"/>
      <c r="EK275" s="24"/>
      <c r="EL275" s="24"/>
      <c r="EM275" s="24"/>
      <c r="EN275" s="24"/>
      <c r="EO275" s="24"/>
      <c r="EP275" s="24"/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/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  <c r="FZ275" s="24"/>
      <c r="GA275" s="24"/>
      <c r="GB275" s="24"/>
      <c r="GC275" s="24"/>
      <c r="GD275" s="24"/>
      <c r="GE275" s="24"/>
      <c r="GF275" s="24"/>
      <c r="GG275" s="24"/>
      <c r="GH275" s="24"/>
      <c r="GI275" s="24"/>
      <c r="GJ275" s="24"/>
      <c r="GK275" s="24"/>
      <c r="GL275" s="24"/>
      <c r="GM275" s="24"/>
      <c r="GN275" s="24"/>
      <c r="GO275" s="24"/>
      <c r="GP275" s="24"/>
      <c r="GQ275" s="24"/>
      <c r="GR275" s="24"/>
    </row>
    <row r="276" spans="1:200" s="23" customFormat="1" ht="14.25" customHeight="1">
      <c r="A276" s="20"/>
      <c r="B276" s="21"/>
      <c r="C276" s="22"/>
      <c r="D276" s="22"/>
      <c r="E276" s="22"/>
      <c r="G276" s="22"/>
      <c r="H276" s="22"/>
      <c r="I276" s="22"/>
      <c r="K276" s="22"/>
      <c r="L276" s="22"/>
      <c r="M276" s="22"/>
      <c r="O276" s="22"/>
      <c r="P276" s="22"/>
      <c r="Q276" s="22"/>
      <c r="S276" s="22"/>
      <c r="T276" s="22"/>
      <c r="U276" s="22"/>
      <c r="W276" s="22"/>
      <c r="X276" s="22"/>
      <c r="Y276" s="22"/>
      <c r="AA276" s="22"/>
      <c r="AB276" s="22"/>
      <c r="AC276" s="22"/>
      <c r="AE276" s="24"/>
      <c r="AF276" s="24"/>
      <c r="AG276" s="24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6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4"/>
      <c r="CC276" s="24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4"/>
      <c r="CP276" s="24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24"/>
      <c r="GQ276" s="24"/>
      <c r="GR276" s="24"/>
    </row>
    <row r="277" spans="1:200" s="23" customFormat="1" ht="14.25" customHeight="1">
      <c r="A277" s="20"/>
      <c r="B277" s="21"/>
      <c r="C277" s="22"/>
      <c r="D277" s="22"/>
      <c r="E277" s="22"/>
      <c r="G277" s="22"/>
      <c r="H277" s="22"/>
      <c r="I277" s="22"/>
      <c r="K277" s="22"/>
      <c r="L277" s="22"/>
      <c r="M277" s="22"/>
      <c r="O277" s="22"/>
      <c r="P277" s="22"/>
      <c r="Q277" s="22"/>
      <c r="S277" s="22"/>
      <c r="T277" s="22"/>
      <c r="U277" s="22"/>
      <c r="W277" s="22"/>
      <c r="X277" s="22"/>
      <c r="Y277" s="22"/>
      <c r="AA277" s="22"/>
      <c r="AB277" s="22"/>
      <c r="AC277" s="22"/>
      <c r="AE277" s="24"/>
      <c r="AF277" s="24"/>
      <c r="AG277" s="24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6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24"/>
      <c r="CB277" s="24"/>
      <c r="CC277" s="24"/>
      <c r="CD277" s="24"/>
      <c r="CE277" s="24"/>
      <c r="CF277" s="24"/>
      <c r="CG277" s="24"/>
      <c r="CH277" s="24"/>
      <c r="CI277" s="24"/>
      <c r="CJ277" s="24"/>
      <c r="CK277" s="24"/>
      <c r="CL277" s="24"/>
      <c r="CM277" s="24"/>
      <c r="CN277" s="24"/>
      <c r="CO277" s="24"/>
      <c r="CP277" s="24"/>
      <c r="CQ277" s="24"/>
      <c r="CR277" s="24"/>
      <c r="CS277" s="24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  <c r="FZ277" s="24"/>
      <c r="GA277" s="24"/>
      <c r="GB277" s="24"/>
      <c r="GC277" s="24"/>
      <c r="GD277" s="24"/>
      <c r="GE277" s="24"/>
      <c r="GF277" s="24"/>
      <c r="GG277" s="24"/>
      <c r="GH277" s="24"/>
      <c r="GI277" s="24"/>
      <c r="GJ277" s="24"/>
      <c r="GK277" s="24"/>
      <c r="GL277" s="24"/>
      <c r="GM277" s="24"/>
      <c r="GN277" s="24"/>
      <c r="GO277" s="24"/>
      <c r="GP277" s="24"/>
      <c r="GQ277" s="24"/>
      <c r="GR277" s="24"/>
    </row>
    <row r="278" spans="1:200" s="23" customFormat="1" ht="14.25" customHeight="1">
      <c r="A278" s="20"/>
      <c r="B278" s="21"/>
      <c r="C278" s="22"/>
      <c r="D278" s="22"/>
      <c r="E278" s="22"/>
      <c r="G278" s="22"/>
      <c r="H278" s="22"/>
      <c r="I278" s="22"/>
      <c r="K278" s="22"/>
      <c r="L278" s="22"/>
      <c r="M278" s="22"/>
      <c r="O278" s="22"/>
      <c r="P278" s="22"/>
      <c r="Q278" s="22"/>
      <c r="S278" s="22"/>
      <c r="T278" s="22"/>
      <c r="U278" s="22"/>
      <c r="W278" s="22"/>
      <c r="X278" s="22"/>
      <c r="Y278" s="22"/>
      <c r="AA278" s="22"/>
      <c r="AB278" s="22"/>
      <c r="AC278" s="22"/>
      <c r="AE278" s="24"/>
      <c r="AF278" s="24"/>
      <c r="AG278" s="24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6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4"/>
      <c r="CC278" s="24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4"/>
      <c r="CP278" s="24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4"/>
      <c r="GQ278" s="24"/>
      <c r="GR278" s="24"/>
    </row>
    <row r="279" spans="1:200" s="23" customFormat="1" ht="14.25" customHeight="1">
      <c r="A279" s="20"/>
      <c r="B279" s="21"/>
      <c r="C279" s="22"/>
      <c r="D279" s="22"/>
      <c r="E279" s="22"/>
      <c r="G279" s="22"/>
      <c r="H279" s="22"/>
      <c r="I279" s="22"/>
      <c r="K279" s="22"/>
      <c r="L279" s="22"/>
      <c r="M279" s="22"/>
      <c r="O279" s="22"/>
      <c r="P279" s="22"/>
      <c r="Q279" s="22"/>
      <c r="S279" s="22"/>
      <c r="T279" s="22"/>
      <c r="U279" s="22"/>
      <c r="W279" s="22"/>
      <c r="X279" s="22"/>
      <c r="Y279" s="22"/>
      <c r="AA279" s="22"/>
      <c r="AB279" s="22"/>
      <c r="AC279" s="22"/>
      <c r="AE279" s="24"/>
      <c r="AF279" s="24"/>
      <c r="AG279" s="24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6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24"/>
      <c r="CB279" s="24"/>
      <c r="CC279" s="24"/>
      <c r="CD279" s="24"/>
      <c r="CE279" s="24"/>
      <c r="CF279" s="24"/>
      <c r="CG279" s="24"/>
      <c r="CH279" s="24"/>
      <c r="CI279" s="24"/>
      <c r="CJ279" s="24"/>
      <c r="CK279" s="24"/>
      <c r="CL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/>
      <c r="GM279" s="24"/>
      <c r="GN279" s="24"/>
      <c r="GO279" s="24"/>
      <c r="GP279" s="24"/>
      <c r="GQ279" s="24"/>
      <c r="GR279" s="24"/>
    </row>
    <row r="280" spans="1:200" s="23" customFormat="1" ht="14.25" customHeight="1">
      <c r="A280" s="20"/>
      <c r="B280" s="21"/>
      <c r="C280" s="22"/>
      <c r="D280" s="22"/>
      <c r="E280" s="22"/>
      <c r="G280" s="22"/>
      <c r="H280" s="22"/>
      <c r="I280" s="22"/>
      <c r="K280" s="22"/>
      <c r="L280" s="22"/>
      <c r="M280" s="22"/>
      <c r="O280" s="22"/>
      <c r="P280" s="22"/>
      <c r="Q280" s="22"/>
      <c r="S280" s="22"/>
      <c r="T280" s="22"/>
      <c r="U280" s="22"/>
      <c r="W280" s="22"/>
      <c r="X280" s="22"/>
      <c r="Y280" s="22"/>
      <c r="AA280" s="22"/>
      <c r="AB280" s="22"/>
      <c r="AC280" s="22"/>
      <c r="AE280" s="24"/>
      <c r="AF280" s="24"/>
      <c r="AG280" s="24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6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4"/>
      <c r="CC280" s="24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4"/>
      <c r="CP280" s="24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  <c r="FZ280" s="24"/>
      <c r="GA280" s="24"/>
      <c r="GB280" s="24"/>
      <c r="GC280" s="24"/>
      <c r="GD280" s="24"/>
      <c r="GE280" s="24"/>
      <c r="GF280" s="24"/>
      <c r="GG280" s="24"/>
      <c r="GH280" s="24"/>
      <c r="GI280" s="24"/>
      <c r="GJ280" s="24"/>
      <c r="GK280" s="24"/>
      <c r="GL280" s="24"/>
      <c r="GM280" s="24"/>
      <c r="GN280" s="24"/>
      <c r="GO280" s="24"/>
      <c r="GP280" s="24"/>
      <c r="GQ280" s="24"/>
      <c r="GR280" s="24"/>
    </row>
    <row r="281" spans="1:200" s="23" customFormat="1" ht="14.25" customHeight="1">
      <c r="A281" s="20"/>
      <c r="B281" s="21"/>
      <c r="C281" s="22"/>
      <c r="D281" s="22"/>
      <c r="E281" s="22"/>
      <c r="G281" s="22"/>
      <c r="H281" s="22"/>
      <c r="I281" s="22"/>
      <c r="K281" s="22"/>
      <c r="L281" s="22"/>
      <c r="M281" s="22"/>
      <c r="O281" s="22"/>
      <c r="P281" s="22"/>
      <c r="Q281" s="22"/>
      <c r="S281" s="22"/>
      <c r="T281" s="22"/>
      <c r="U281" s="22"/>
      <c r="W281" s="22"/>
      <c r="X281" s="22"/>
      <c r="Y281" s="22"/>
      <c r="AA281" s="22"/>
      <c r="AB281" s="22"/>
      <c r="AC281" s="22"/>
      <c r="AE281" s="24"/>
      <c r="AF281" s="24"/>
      <c r="AG281" s="24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6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24"/>
      <c r="CB281" s="24"/>
      <c r="CC281" s="24"/>
      <c r="CD281" s="24"/>
      <c r="CE281" s="24"/>
      <c r="CF281" s="24"/>
      <c r="CG281" s="24"/>
      <c r="CH281" s="24"/>
      <c r="CI281" s="24"/>
      <c r="CJ281" s="24"/>
      <c r="CK281" s="24"/>
      <c r="CL281" s="24"/>
      <c r="CM281" s="24"/>
      <c r="CN281" s="24"/>
      <c r="CO281" s="24"/>
      <c r="CP281" s="24"/>
      <c r="CQ281" s="24"/>
      <c r="CR281" s="24"/>
      <c r="CS281" s="24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  <c r="FZ281" s="24"/>
      <c r="GA281" s="24"/>
      <c r="GB281" s="24"/>
      <c r="GC281" s="24"/>
      <c r="GD281" s="24"/>
      <c r="GE281" s="24"/>
      <c r="GF281" s="24"/>
      <c r="GG281" s="24"/>
      <c r="GH281" s="24"/>
      <c r="GI281" s="24"/>
      <c r="GJ281" s="24"/>
      <c r="GK281" s="24"/>
      <c r="GL281" s="24"/>
      <c r="GM281" s="24"/>
      <c r="GN281" s="24"/>
      <c r="GO281" s="24"/>
      <c r="GP281" s="24"/>
      <c r="GQ281" s="24"/>
      <c r="GR281" s="24"/>
    </row>
    <row r="282" spans="1:200" s="23" customFormat="1" ht="14.25" customHeight="1">
      <c r="A282" s="20"/>
      <c r="B282" s="21"/>
      <c r="C282" s="22"/>
      <c r="D282" s="22"/>
      <c r="E282" s="22"/>
      <c r="G282" s="22"/>
      <c r="H282" s="22"/>
      <c r="I282" s="22"/>
      <c r="K282" s="22"/>
      <c r="L282" s="22"/>
      <c r="M282" s="22"/>
      <c r="O282" s="22"/>
      <c r="P282" s="22"/>
      <c r="Q282" s="22"/>
      <c r="S282" s="22"/>
      <c r="T282" s="22"/>
      <c r="U282" s="22"/>
      <c r="W282" s="22"/>
      <c r="X282" s="22"/>
      <c r="Y282" s="22"/>
      <c r="AA282" s="22"/>
      <c r="AB282" s="22"/>
      <c r="AC282" s="22"/>
      <c r="AE282" s="24"/>
      <c r="AF282" s="24"/>
      <c r="AG282" s="24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6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4"/>
      <c r="CC282" s="24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4"/>
      <c r="CP282" s="24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  <c r="FZ282" s="24"/>
      <c r="GA282" s="24"/>
      <c r="GB282" s="24"/>
      <c r="GC282" s="24"/>
      <c r="GD282" s="24"/>
      <c r="GE282" s="24"/>
      <c r="GF282" s="24"/>
      <c r="GG282" s="24"/>
      <c r="GH282" s="24"/>
      <c r="GI282" s="24"/>
      <c r="GJ282" s="24"/>
      <c r="GK282" s="24"/>
      <c r="GL282" s="24"/>
      <c r="GM282" s="24"/>
      <c r="GN282" s="24"/>
      <c r="GO282" s="24"/>
      <c r="GP282" s="24"/>
      <c r="GQ282" s="24"/>
      <c r="GR282" s="24"/>
    </row>
    <row r="283" spans="1:200" s="23" customFormat="1" ht="14.25" customHeight="1">
      <c r="A283" s="20"/>
      <c r="B283" s="21"/>
      <c r="C283" s="22"/>
      <c r="D283" s="22"/>
      <c r="E283" s="22"/>
      <c r="G283" s="22"/>
      <c r="H283" s="22"/>
      <c r="I283" s="22"/>
      <c r="K283" s="22"/>
      <c r="L283" s="22"/>
      <c r="M283" s="22"/>
      <c r="O283" s="22"/>
      <c r="P283" s="22"/>
      <c r="Q283" s="22"/>
      <c r="S283" s="22"/>
      <c r="T283" s="22"/>
      <c r="U283" s="22"/>
      <c r="W283" s="22"/>
      <c r="X283" s="22"/>
      <c r="Y283" s="22"/>
      <c r="AA283" s="22"/>
      <c r="AB283" s="22"/>
      <c r="AC283" s="22"/>
      <c r="AE283" s="24"/>
      <c r="AF283" s="24"/>
      <c r="AG283" s="24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6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24"/>
      <c r="CB283" s="24"/>
      <c r="CC283" s="24"/>
      <c r="CD283" s="24"/>
      <c r="CE283" s="24"/>
      <c r="CF283" s="24"/>
      <c r="CG283" s="24"/>
      <c r="CH283" s="24"/>
      <c r="CI283" s="24"/>
      <c r="CJ283" s="24"/>
      <c r="CK283" s="24"/>
      <c r="CL283" s="24"/>
      <c r="CM283" s="24"/>
      <c r="CN283" s="24"/>
      <c r="CO283" s="24"/>
      <c r="CP283" s="24"/>
      <c r="CQ283" s="24"/>
      <c r="CR283" s="24"/>
      <c r="CS283" s="24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/>
      <c r="GI283" s="24"/>
      <c r="GJ283" s="24"/>
      <c r="GK283" s="24"/>
      <c r="GL283" s="24"/>
      <c r="GM283" s="24"/>
      <c r="GN283" s="24"/>
      <c r="GO283" s="24"/>
      <c r="GP283" s="24"/>
      <c r="GQ283" s="24"/>
      <c r="GR283" s="24"/>
    </row>
    <row r="284" spans="1:200" s="23" customFormat="1" ht="14.25" customHeight="1">
      <c r="A284" s="20"/>
      <c r="B284" s="21"/>
      <c r="C284" s="22"/>
      <c r="D284" s="22"/>
      <c r="E284" s="22"/>
      <c r="G284" s="22"/>
      <c r="H284" s="22"/>
      <c r="I284" s="22"/>
      <c r="K284" s="22"/>
      <c r="L284" s="22"/>
      <c r="M284" s="22"/>
      <c r="O284" s="22"/>
      <c r="P284" s="22"/>
      <c r="Q284" s="22"/>
      <c r="S284" s="22"/>
      <c r="T284" s="22"/>
      <c r="U284" s="22"/>
      <c r="W284" s="22"/>
      <c r="X284" s="22"/>
      <c r="Y284" s="22"/>
      <c r="AA284" s="22"/>
      <c r="AB284" s="22"/>
      <c r="AC284" s="22"/>
      <c r="AE284" s="24"/>
      <c r="AF284" s="24"/>
      <c r="AG284" s="24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6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4"/>
      <c r="CC284" s="24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4"/>
      <c r="CP284" s="24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/>
      <c r="FR284" s="24"/>
      <c r="FS284" s="24"/>
      <c r="FT284" s="24"/>
      <c r="FU284" s="24"/>
      <c r="FV284" s="24"/>
      <c r="FW284" s="24"/>
      <c r="FX284" s="24"/>
      <c r="FY284" s="24"/>
      <c r="FZ284" s="24"/>
      <c r="GA284" s="24"/>
      <c r="GB284" s="24"/>
      <c r="GC284" s="24"/>
      <c r="GD284" s="24"/>
      <c r="GE284" s="24"/>
      <c r="GF284" s="24"/>
      <c r="GG284" s="24"/>
      <c r="GH284" s="24"/>
      <c r="GI284" s="24"/>
      <c r="GJ284" s="24"/>
      <c r="GK284" s="24"/>
      <c r="GL284" s="24"/>
      <c r="GM284" s="24"/>
      <c r="GN284" s="24"/>
      <c r="GO284" s="24"/>
      <c r="GP284" s="24"/>
      <c r="GQ284" s="24"/>
      <c r="GR284" s="24"/>
    </row>
    <row r="285" spans="1:200" s="23" customFormat="1" ht="14.25" customHeight="1">
      <c r="A285" s="20"/>
      <c r="B285" s="21"/>
      <c r="C285" s="22"/>
      <c r="D285" s="22"/>
      <c r="E285" s="22"/>
      <c r="G285" s="22"/>
      <c r="H285" s="22"/>
      <c r="I285" s="22"/>
      <c r="K285" s="22"/>
      <c r="L285" s="22"/>
      <c r="M285" s="22"/>
      <c r="O285" s="22"/>
      <c r="P285" s="22"/>
      <c r="Q285" s="22"/>
      <c r="S285" s="22"/>
      <c r="T285" s="22"/>
      <c r="U285" s="22"/>
      <c r="W285" s="22"/>
      <c r="X285" s="22"/>
      <c r="Y285" s="22"/>
      <c r="AA285" s="22"/>
      <c r="AB285" s="22"/>
      <c r="AC285" s="22"/>
      <c r="AE285" s="24"/>
      <c r="AF285" s="24"/>
      <c r="AG285" s="24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6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24"/>
      <c r="CB285" s="24"/>
      <c r="CC285" s="24"/>
      <c r="CD285" s="24"/>
      <c r="CE285" s="24"/>
      <c r="CF285" s="24"/>
      <c r="CG285" s="24"/>
      <c r="CH285" s="24"/>
      <c r="CI285" s="24"/>
      <c r="CJ285" s="24"/>
      <c r="CK285" s="24"/>
      <c r="CL285" s="24"/>
      <c r="CM285" s="24"/>
      <c r="CN285" s="24"/>
      <c r="CO285" s="24"/>
      <c r="CP285" s="24"/>
      <c r="CQ285" s="24"/>
      <c r="CR285" s="24"/>
      <c r="CS285" s="24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/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  <c r="FZ285" s="24"/>
      <c r="GA285" s="24"/>
      <c r="GB285" s="24"/>
      <c r="GC285" s="24"/>
      <c r="GD285" s="24"/>
      <c r="GE285" s="24"/>
      <c r="GF285" s="24"/>
      <c r="GG285" s="24"/>
      <c r="GH285" s="24"/>
      <c r="GI285" s="24"/>
      <c r="GJ285" s="24"/>
      <c r="GK285" s="24"/>
      <c r="GL285" s="24"/>
      <c r="GM285" s="24"/>
      <c r="GN285" s="24"/>
      <c r="GO285" s="24"/>
      <c r="GP285" s="24"/>
      <c r="GQ285" s="24"/>
      <c r="GR285" s="24"/>
    </row>
    <row r="286" spans="1:200" s="23" customFormat="1" ht="14.25" customHeight="1">
      <c r="A286" s="20"/>
      <c r="B286" s="21"/>
      <c r="C286" s="22"/>
      <c r="D286" s="22"/>
      <c r="E286" s="22"/>
      <c r="G286" s="22"/>
      <c r="H286" s="22"/>
      <c r="I286" s="22"/>
      <c r="K286" s="22"/>
      <c r="L286" s="22"/>
      <c r="M286" s="22"/>
      <c r="O286" s="22"/>
      <c r="P286" s="22"/>
      <c r="Q286" s="22"/>
      <c r="S286" s="22"/>
      <c r="T286" s="22"/>
      <c r="U286" s="22"/>
      <c r="W286" s="22"/>
      <c r="X286" s="22"/>
      <c r="Y286" s="22"/>
      <c r="AA286" s="22"/>
      <c r="AB286" s="22"/>
      <c r="AC286" s="22"/>
      <c r="AE286" s="24"/>
      <c r="AF286" s="24"/>
      <c r="AG286" s="24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6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4"/>
      <c r="CC286" s="24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4"/>
      <c r="CP286" s="24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  <c r="FZ286" s="24"/>
      <c r="GA286" s="24"/>
      <c r="GB286" s="24"/>
      <c r="GC286" s="24"/>
      <c r="GD286" s="24"/>
      <c r="GE286" s="24"/>
      <c r="GF286" s="24"/>
      <c r="GG286" s="24"/>
      <c r="GH286" s="24"/>
      <c r="GI286" s="24"/>
      <c r="GJ286" s="24"/>
      <c r="GK286" s="24"/>
      <c r="GL286" s="24"/>
      <c r="GM286" s="24"/>
      <c r="GN286" s="24"/>
      <c r="GO286" s="24"/>
      <c r="GP286" s="24"/>
      <c r="GQ286" s="24"/>
      <c r="GR286" s="24"/>
    </row>
    <row r="287" spans="1:200" s="23" customFormat="1" ht="14.25" customHeight="1">
      <c r="A287" s="20"/>
      <c r="B287" s="21"/>
      <c r="C287" s="22"/>
      <c r="D287" s="22"/>
      <c r="E287" s="22"/>
      <c r="G287" s="22"/>
      <c r="H287" s="22"/>
      <c r="I287" s="22"/>
      <c r="K287" s="22"/>
      <c r="L287" s="22"/>
      <c r="M287" s="22"/>
      <c r="O287" s="22"/>
      <c r="P287" s="22"/>
      <c r="Q287" s="22"/>
      <c r="S287" s="22"/>
      <c r="T287" s="22"/>
      <c r="U287" s="22"/>
      <c r="W287" s="22"/>
      <c r="X287" s="22"/>
      <c r="Y287" s="22"/>
      <c r="AA287" s="22"/>
      <c r="AB287" s="22"/>
      <c r="AC287" s="22"/>
      <c r="AE287" s="24"/>
      <c r="AF287" s="24"/>
      <c r="AG287" s="24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6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24"/>
      <c r="CB287" s="24"/>
      <c r="CC287" s="24"/>
      <c r="CD287" s="24"/>
      <c r="CE287" s="24"/>
      <c r="CF287" s="24"/>
      <c r="CG287" s="24"/>
      <c r="CH287" s="24"/>
      <c r="CI287" s="24"/>
      <c r="CJ287" s="24"/>
      <c r="CK287" s="24"/>
      <c r="CL287" s="24"/>
      <c r="CM287" s="24"/>
      <c r="CN287" s="24"/>
      <c r="CO287" s="24"/>
      <c r="CP287" s="24"/>
      <c r="CQ287" s="24"/>
      <c r="CR287" s="24"/>
      <c r="CS287" s="24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  <c r="EH287" s="24"/>
      <c r="EI287" s="24"/>
      <c r="EJ287" s="24"/>
      <c r="EK287" s="24"/>
      <c r="EL287" s="24"/>
      <c r="EM287" s="24"/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  <c r="FZ287" s="24"/>
      <c r="GA287" s="24"/>
      <c r="GB287" s="24"/>
      <c r="GC287" s="24"/>
      <c r="GD287" s="24"/>
      <c r="GE287" s="24"/>
      <c r="GF287" s="24"/>
      <c r="GG287" s="24"/>
      <c r="GH287" s="24"/>
      <c r="GI287" s="24"/>
      <c r="GJ287" s="24"/>
      <c r="GK287" s="24"/>
      <c r="GL287" s="24"/>
      <c r="GM287" s="24"/>
      <c r="GN287" s="24"/>
      <c r="GO287" s="24"/>
      <c r="GP287" s="24"/>
      <c r="GQ287" s="24"/>
      <c r="GR287" s="24"/>
    </row>
    <row r="288" spans="1:200" s="23" customFormat="1" ht="14.25" customHeight="1">
      <c r="A288" s="20"/>
      <c r="B288" s="21"/>
      <c r="C288" s="22"/>
      <c r="D288" s="22"/>
      <c r="E288" s="22"/>
      <c r="G288" s="22"/>
      <c r="H288" s="22"/>
      <c r="I288" s="22"/>
      <c r="K288" s="22"/>
      <c r="L288" s="22"/>
      <c r="M288" s="22"/>
      <c r="O288" s="22"/>
      <c r="P288" s="22"/>
      <c r="Q288" s="22"/>
      <c r="S288" s="22"/>
      <c r="T288" s="22"/>
      <c r="U288" s="22"/>
      <c r="W288" s="22"/>
      <c r="X288" s="22"/>
      <c r="Y288" s="22"/>
      <c r="AA288" s="22"/>
      <c r="AB288" s="22"/>
      <c r="AC288" s="22"/>
      <c r="AE288" s="24"/>
      <c r="AF288" s="24"/>
      <c r="AG288" s="24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6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4"/>
      <c r="CC288" s="24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4"/>
      <c r="CP288" s="24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4"/>
      <c r="GD288" s="24"/>
      <c r="GE288" s="24"/>
      <c r="GF288" s="24"/>
      <c r="GG288" s="24"/>
      <c r="GH288" s="24"/>
      <c r="GI288" s="24"/>
      <c r="GJ288" s="24"/>
      <c r="GK288" s="24"/>
      <c r="GL288" s="24"/>
      <c r="GM288" s="24"/>
      <c r="GN288" s="24"/>
      <c r="GO288" s="24"/>
      <c r="GP288" s="24"/>
      <c r="GQ288" s="24"/>
      <c r="GR288" s="24"/>
    </row>
    <row r="289" spans="1:200" s="23" customFormat="1" ht="14.25" customHeight="1">
      <c r="A289" s="20"/>
      <c r="B289" s="21"/>
      <c r="C289" s="22"/>
      <c r="D289" s="22"/>
      <c r="E289" s="22"/>
      <c r="G289" s="22"/>
      <c r="H289" s="22"/>
      <c r="I289" s="22"/>
      <c r="K289" s="22"/>
      <c r="L289" s="22"/>
      <c r="M289" s="22"/>
      <c r="O289" s="22"/>
      <c r="P289" s="22"/>
      <c r="Q289" s="22"/>
      <c r="S289" s="22"/>
      <c r="T289" s="22"/>
      <c r="U289" s="22"/>
      <c r="W289" s="22"/>
      <c r="X289" s="22"/>
      <c r="Y289" s="22"/>
      <c r="AA289" s="22"/>
      <c r="AB289" s="22"/>
      <c r="AC289" s="22"/>
      <c r="AE289" s="24"/>
      <c r="AF289" s="24"/>
      <c r="AG289" s="24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6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24"/>
      <c r="CB289" s="24"/>
      <c r="CC289" s="24"/>
      <c r="CD289" s="24"/>
      <c r="CE289" s="24"/>
      <c r="CF289" s="24"/>
      <c r="CG289" s="24"/>
      <c r="CH289" s="24"/>
      <c r="CI289" s="24"/>
      <c r="CJ289" s="24"/>
      <c r="CK289" s="24"/>
      <c r="CL289" s="24"/>
      <c r="CM289" s="24"/>
      <c r="CN289" s="24"/>
      <c r="CO289" s="24"/>
      <c r="CP289" s="24"/>
      <c r="CQ289" s="24"/>
      <c r="CR289" s="24"/>
      <c r="CS289" s="24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/>
      <c r="EO289" s="24"/>
      <c r="EP289" s="24"/>
      <c r="EQ289" s="24"/>
      <c r="ER289" s="24"/>
      <c r="ES289" s="24"/>
      <c r="ET289" s="24"/>
      <c r="EU289" s="24"/>
      <c r="EV289" s="24"/>
      <c r="EW289" s="24"/>
      <c r="EX289" s="24"/>
      <c r="EY289" s="24"/>
      <c r="EZ289" s="24"/>
      <c r="FA289" s="24"/>
      <c r="FB289" s="24"/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/>
      <c r="FQ289" s="24"/>
      <c r="FR289" s="24"/>
      <c r="FS289" s="24"/>
      <c r="FT289" s="24"/>
      <c r="FU289" s="24"/>
      <c r="FV289" s="24"/>
      <c r="FW289" s="24"/>
      <c r="FX289" s="24"/>
      <c r="FY289" s="24"/>
      <c r="FZ289" s="24"/>
      <c r="GA289" s="24"/>
      <c r="GB289" s="24"/>
      <c r="GC289" s="24"/>
      <c r="GD289" s="24"/>
      <c r="GE289" s="24"/>
      <c r="GF289" s="24"/>
      <c r="GG289" s="24"/>
      <c r="GH289" s="24"/>
      <c r="GI289" s="24"/>
      <c r="GJ289" s="24"/>
      <c r="GK289" s="24"/>
      <c r="GL289" s="24"/>
      <c r="GM289" s="24"/>
      <c r="GN289" s="24"/>
      <c r="GO289" s="24"/>
      <c r="GP289" s="24"/>
      <c r="GQ289" s="24"/>
      <c r="GR289" s="24"/>
    </row>
    <row r="290" spans="1:200" s="23" customFormat="1" ht="14.25" customHeight="1">
      <c r="A290" s="20"/>
      <c r="B290" s="21"/>
      <c r="C290" s="22"/>
      <c r="D290" s="22"/>
      <c r="E290" s="22"/>
      <c r="G290" s="22"/>
      <c r="H290" s="22"/>
      <c r="I290" s="22"/>
      <c r="K290" s="22"/>
      <c r="L290" s="22"/>
      <c r="M290" s="22"/>
      <c r="O290" s="22"/>
      <c r="P290" s="22"/>
      <c r="Q290" s="22"/>
      <c r="S290" s="22"/>
      <c r="T290" s="22"/>
      <c r="U290" s="22"/>
      <c r="W290" s="22"/>
      <c r="X290" s="22"/>
      <c r="Y290" s="22"/>
      <c r="AA290" s="22"/>
      <c r="AB290" s="22"/>
      <c r="AC290" s="22"/>
      <c r="AE290" s="24"/>
      <c r="AF290" s="24"/>
      <c r="AG290" s="24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6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4"/>
      <c r="CC290" s="24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4"/>
      <c r="CP290" s="24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  <c r="FZ290" s="24"/>
      <c r="GA290" s="24"/>
      <c r="GB290" s="24"/>
      <c r="GC290" s="24"/>
      <c r="GD290" s="24"/>
      <c r="GE290" s="24"/>
      <c r="GF290" s="24"/>
      <c r="GG290" s="24"/>
      <c r="GH290" s="24"/>
      <c r="GI290" s="24"/>
      <c r="GJ290" s="24"/>
      <c r="GK290" s="24"/>
      <c r="GL290" s="24"/>
      <c r="GM290" s="24"/>
      <c r="GN290" s="24"/>
      <c r="GO290" s="24"/>
      <c r="GP290" s="24"/>
      <c r="GQ290" s="24"/>
      <c r="GR290" s="24"/>
    </row>
    <row r="291" spans="1:200" s="23" customFormat="1" ht="14.25" customHeight="1">
      <c r="A291" s="20"/>
      <c r="B291" s="21"/>
      <c r="C291" s="22"/>
      <c r="D291" s="22"/>
      <c r="E291" s="22"/>
      <c r="G291" s="22"/>
      <c r="H291" s="22"/>
      <c r="I291" s="22"/>
      <c r="K291" s="22"/>
      <c r="L291" s="22"/>
      <c r="M291" s="22"/>
      <c r="O291" s="22"/>
      <c r="P291" s="22"/>
      <c r="Q291" s="22"/>
      <c r="S291" s="22"/>
      <c r="T291" s="22"/>
      <c r="U291" s="22"/>
      <c r="W291" s="22"/>
      <c r="X291" s="22"/>
      <c r="Y291" s="22"/>
      <c r="AA291" s="22"/>
      <c r="AB291" s="22"/>
      <c r="AC291" s="22"/>
      <c r="AE291" s="24"/>
      <c r="AF291" s="24"/>
      <c r="AG291" s="24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6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24"/>
      <c r="CB291" s="24"/>
      <c r="CC291" s="24"/>
      <c r="CD291" s="24"/>
      <c r="CE291" s="24"/>
      <c r="CF291" s="24"/>
      <c r="CG291" s="24"/>
      <c r="CH291" s="24"/>
      <c r="CI291" s="24"/>
      <c r="CJ291" s="24"/>
      <c r="CK291" s="24"/>
      <c r="CL291" s="24"/>
      <c r="CM291" s="24"/>
      <c r="CN291" s="24"/>
      <c r="CO291" s="24"/>
      <c r="CP291" s="24"/>
      <c r="CQ291" s="24"/>
      <c r="CR291" s="24"/>
      <c r="CS291" s="24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/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  <c r="FZ291" s="24"/>
      <c r="GA291" s="24"/>
      <c r="GB291" s="24"/>
      <c r="GC291" s="24"/>
      <c r="GD291" s="24"/>
      <c r="GE291" s="24"/>
      <c r="GF291" s="24"/>
      <c r="GG291" s="24"/>
      <c r="GH291" s="24"/>
      <c r="GI291" s="24"/>
      <c r="GJ291" s="24"/>
      <c r="GK291" s="24"/>
      <c r="GL291" s="24"/>
      <c r="GM291" s="24"/>
      <c r="GN291" s="24"/>
      <c r="GO291" s="24"/>
      <c r="GP291" s="24"/>
      <c r="GQ291" s="24"/>
      <c r="GR291" s="24"/>
    </row>
    <row r="292" spans="1:200" s="23" customFormat="1" ht="14.25" customHeight="1">
      <c r="A292" s="20"/>
      <c r="B292" s="21"/>
      <c r="C292" s="22"/>
      <c r="D292" s="22"/>
      <c r="E292" s="22"/>
      <c r="G292" s="22"/>
      <c r="H292" s="22"/>
      <c r="I292" s="22"/>
      <c r="K292" s="22"/>
      <c r="L292" s="22"/>
      <c r="M292" s="22"/>
      <c r="O292" s="22"/>
      <c r="P292" s="22"/>
      <c r="Q292" s="22"/>
      <c r="S292" s="22"/>
      <c r="T292" s="22"/>
      <c r="U292" s="22"/>
      <c r="W292" s="22"/>
      <c r="X292" s="22"/>
      <c r="Y292" s="22"/>
      <c r="AA292" s="22"/>
      <c r="AB292" s="22"/>
      <c r="AC292" s="22"/>
      <c r="AE292" s="24"/>
      <c r="AF292" s="24"/>
      <c r="AG292" s="24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6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4"/>
      <c r="CC292" s="24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4"/>
      <c r="CP292" s="24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  <c r="FZ292" s="24"/>
      <c r="GA292" s="24"/>
      <c r="GB292" s="24"/>
      <c r="GC292" s="24"/>
      <c r="GD292" s="24"/>
      <c r="GE292" s="24"/>
      <c r="GF292" s="24"/>
      <c r="GG292" s="24"/>
      <c r="GH292" s="24"/>
      <c r="GI292" s="24"/>
      <c r="GJ292" s="24"/>
      <c r="GK292" s="24"/>
      <c r="GL292" s="24"/>
      <c r="GM292" s="24"/>
      <c r="GN292" s="24"/>
      <c r="GO292" s="24"/>
      <c r="GP292" s="24"/>
      <c r="GQ292" s="24"/>
      <c r="GR292" s="24"/>
    </row>
    <row r="293" spans="1:200" s="23" customFormat="1" ht="14.25" customHeight="1">
      <c r="A293" s="20"/>
      <c r="B293" s="21"/>
      <c r="C293" s="22"/>
      <c r="D293" s="22"/>
      <c r="E293" s="22"/>
      <c r="G293" s="22"/>
      <c r="H293" s="22"/>
      <c r="I293" s="22"/>
      <c r="K293" s="22"/>
      <c r="L293" s="22"/>
      <c r="M293" s="22"/>
      <c r="O293" s="22"/>
      <c r="P293" s="22"/>
      <c r="Q293" s="22"/>
      <c r="S293" s="22"/>
      <c r="T293" s="22"/>
      <c r="U293" s="22"/>
      <c r="W293" s="22"/>
      <c r="X293" s="22"/>
      <c r="Y293" s="22"/>
      <c r="AA293" s="22"/>
      <c r="AB293" s="22"/>
      <c r="AC293" s="22"/>
      <c r="AE293" s="24"/>
      <c r="AF293" s="24"/>
      <c r="AG293" s="24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6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24"/>
      <c r="CB293" s="24"/>
      <c r="CC293" s="24"/>
      <c r="CD293" s="24"/>
      <c r="CE293" s="24"/>
      <c r="CF293" s="24"/>
      <c r="CG293" s="24"/>
      <c r="CH293" s="24"/>
      <c r="CI293" s="24"/>
      <c r="CJ293" s="24"/>
      <c r="CK293" s="24"/>
      <c r="CL293" s="24"/>
      <c r="CM293" s="24"/>
      <c r="CN293" s="24"/>
      <c r="CO293" s="24"/>
      <c r="CP293" s="24"/>
      <c r="CQ293" s="24"/>
      <c r="CR293" s="24"/>
      <c r="CS293" s="24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/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/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24"/>
      <c r="GQ293" s="24"/>
      <c r="GR293" s="24"/>
    </row>
    <row r="294" spans="1:200" s="23" customFormat="1" ht="14.25" customHeight="1">
      <c r="A294" s="20"/>
      <c r="B294" s="21"/>
      <c r="C294" s="22"/>
      <c r="D294" s="22"/>
      <c r="E294" s="22"/>
      <c r="G294" s="22"/>
      <c r="H294" s="22"/>
      <c r="I294" s="22"/>
      <c r="K294" s="22"/>
      <c r="L294" s="22"/>
      <c r="M294" s="22"/>
      <c r="O294" s="22"/>
      <c r="P294" s="22"/>
      <c r="Q294" s="22"/>
      <c r="S294" s="22"/>
      <c r="T294" s="22"/>
      <c r="U294" s="22"/>
      <c r="W294" s="22"/>
      <c r="X294" s="22"/>
      <c r="Y294" s="22"/>
      <c r="AA294" s="22"/>
      <c r="AB294" s="22"/>
      <c r="AC294" s="22"/>
      <c r="AE294" s="24"/>
      <c r="AF294" s="24"/>
      <c r="AG294" s="24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6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4"/>
      <c r="CC294" s="24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4"/>
      <c r="CP294" s="24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  <c r="FZ294" s="24"/>
      <c r="GA294" s="24"/>
      <c r="GB294" s="24"/>
      <c r="GC294" s="24"/>
      <c r="GD294" s="24"/>
      <c r="GE294" s="24"/>
      <c r="GF294" s="24"/>
      <c r="GG294" s="24"/>
      <c r="GH294" s="24"/>
      <c r="GI294" s="24"/>
      <c r="GJ294" s="24"/>
      <c r="GK294" s="24"/>
      <c r="GL294" s="24"/>
      <c r="GM294" s="24"/>
      <c r="GN294" s="24"/>
      <c r="GO294" s="24"/>
      <c r="GP294" s="24"/>
      <c r="GQ294" s="24"/>
      <c r="GR294" s="24"/>
    </row>
    <row r="295" spans="1:200" s="23" customFormat="1" ht="14.25" customHeight="1">
      <c r="A295" s="20"/>
      <c r="B295" s="21"/>
      <c r="C295" s="22"/>
      <c r="D295" s="22"/>
      <c r="E295" s="22"/>
      <c r="G295" s="22"/>
      <c r="H295" s="22"/>
      <c r="I295" s="22"/>
      <c r="K295" s="22"/>
      <c r="L295" s="22"/>
      <c r="M295" s="22"/>
      <c r="O295" s="22"/>
      <c r="P295" s="22"/>
      <c r="Q295" s="22"/>
      <c r="S295" s="22"/>
      <c r="T295" s="22"/>
      <c r="U295" s="22"/>
      <c r="W295" s="22"/>
      <c r="X295" s="22"/>
      <c r="Y295" s="22"/>
      <c r="AA295" s="22"/>
      <c r="AB295" s="22"/>
      <c r="AC295" s="22"/>
      <c r="AE295" s="24"/>
      <c r="AF295" s="24"/>
      <c r="AG295" s="24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6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24"/>
      <c r="CB295" s="24"/>
      <c r="CC295" s="24"/>
      <c r="CD295" s="24"/>
      <c r="CE295" s="24"/>
      <c r="CF295" s="24"/>
      <c r="CG295" s="24"/>
      <c r="CH295" s="24"/>
      <c r="CI295" s="24"/>
      <c r="CJ295" s="24"/>
      <c r="CK295" s="24"/>
      <c r="CL295" s="24"/>
      <c r="CM295" s="24"/>
      <c r="CN295" s="24"/>
      <c r="CO295" s="24"/>
      <c r="CP295" s="24"/>
      <c r="CQ295" s="24"/>
      <c r="CR295" s="24"/>
      <c r="CS295" s="24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/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  <c r="FZ295" s="24"/>
      <c r="GA295" s="24"/>
      <c r="GB295" s="24"/>
      <c r="GC295" s="24"/>
      <c r="GD295" s="24"/>
      <c r="GE295" s="24"/>
      <c r="GF295" s="24"/>
      <c r="GG295" s="24"/>
      <c r="GH295" s="24"/>
      <c r="GI295" s="24"/>
      <c r="GJ295" s="24"/>
      <c r="GK295" s="24"/>
      <c r="GL295" s="24"/>
      <c r="GM295" s="24"/>
      <c r="GN295" s="24"/>
      <c r="GO295" s="24"/>
      <c r="GP295" s="24"/>
      <c r="GQ295" s="24"/>
      <c r="GR295" s="24"/>
    </row>
    <row r="296" spans="1:200" s="23" customFormat="1" ht="14.25" customHeight="1">
      <c r="A296" s="20"/>
      <c r="B296" s="21"/>
      <c r="C296" s="22"/>
      <c r="D296" s="22"/>
      <c r="E296" s="22"/>
      <c r="G296" s="22"/>
      <c r="H296" s="22"/>
      <c r="I296" s="22"/>
      <c r="K296" s="22"/>
      <c r="L296" s="22"/>
      <c r="M296" s="22"/>
      <c r="O296" s="22"/>
      <c r="P296" s="22"/>
      <c r="Q296" s="22"/>
      <c r="S296" s="22"/>
      <c r="T296" s="22"/>
      <c r="U296" s="22"/>
      <c r="W296" s="22"/>
      <c r="X296" s="22"/>
      <c r="Y296" s="22"/>
      <c r="AA296" s="22"/>
      <c r="AB296" s="22"/>
      <c r="AC296" s="22"/>
      <c r="AE296" s="24"/>
      <c r="AF296" s="24"/>
      <c r="AG296" s="24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6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4"/>
      <c r="CC296" s="24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4"/>
      <c r="CP296" s="24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/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  <c r="FZ296" s="24"/>
      <c r="GA296" s="24"/>
      <c r="GB296" s="24"/>
      <c r="GC296" s="24"/>
      <c r="GD296" s="24"/>
      <c r="GE296" s="24"/>
      <c r="GF296" s="24"/>
      <c r="GG296" s="24"/>
      <c r="GH296" s="24"/>
      <c r="GI296" s="24"/>
      <c r="GJ296" s="24"/>
      <c r="GK296" s="24"/>
      <c r="GL296" s="24"/>
      <c r="GM296" s="24"/>
      <c r="GN296" s="24"/>
      <c r="GO296" s="24"/>
      <c r="GP296" s="24"/>
      <c r="GQ296" s="24"/>
      <c r="GR296" s="24"/>
    </row>
    <row r="297" spans="1:200" s="23" customFormat="1" ht="14.25" customHeight="1">
      <c r="A297" s="20"/>
      <c r="B297" s="21"/>
      <c r="C297" s="22"/>
      <c r="D297" s="22"/>
      <c r="E297" s="22"/>
      <c r="G297" s="22"/>
      <c r="H297" s="22"/>
      <c r="I297" s="22"/>
      <c r="K297" s="22"/>
      <c r="L297" s="22"/>
      <c r="M297" s="22"/>
      <c r="O297" s="22"/>
      <c r="P297" s="22"/>
      <c r="Q297" s="22"/>
      <c r="S297" s="22"/>
      <c r="T297" s="22"/>
      <c r="U297" s="22"/>
      <c r="W297" s="22"/>
      <c r="X297" s="22"/>
      <c r="Y297" s="22"/>
      <c r="AA297" s="22"/>
      <c r="AB297" s="22"/>
      <c r="AC297" s="22"/>
      <c r="AE297" s="24"/>
      <c r="AF297" s="24"/>
      <c r="AG297" s="24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6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  <c r="EH297" s="24"/>
      <c r="EI297" s="24"/>
      <c r="EJ297" s="24"/>
      <c r="EK297" s="24"/>
      <c r="EL297" s="24"/>
      <c r="EM297" s="24"/>
      <c r="EN297" s="24"/>
      <c r="EO297" s="24"/>
      <c r="EP297" s="24"/>
      <c r="EQ297" s="24"/>
      <c r="ER297" s="24"/>
      <c r="ES297" s="24"/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  <c r="FZ297" s="24"/>
      <c r="GA297" s="24"/>
      <c r="GB297" s="24"/>
      <c r="GC297" s="24"/>
      <c r="GD297" s="24"/>
      <c r="GE297" s="24"/>
      <c r="GF297" s="24"/>
      <c r="GG297" s="24"/>
      <c r="GH297" s="24"/>
      <c r="GI297" s="24"/>
      <c r="GJ297" s="24"/>
      <c r="GK297" s="24"/>
      <c r="GL297" s="24"/>
      <c r="GM297" s="24"/>
      <c r="GN297" s="24"/>
      <c r="GO297" s="24"/>
      <c r="GP297" s="24"/>
      <c r="GQ297" s="24"/>
      <c r="GR297" s="24"/>
    </row>
    <row r="298" spans="1:200" s="23" customFormat="1" ht="14.25" customHeight="1">
      <c r="A298" s="20"/>
      <c r="B298" s="21"/>
      <c r="C298" s="22"/>
      <c r="D298" s="22"/>
      <c r="E298" s="22"/>
      <c r="G298" s="22"/>
      <c r="H298" s="22"/>
      <c r="I298" s="22"/>
      <c r="K298" s="22"/>
      <c r="L298" s="22"/>
      <c r="M298" s="22"/>
      <c r="O298" s="22"/>
      <c r="P298" s="22"/>
      <c r="Q298" s="22"/>
      <c r="S298" s="22"/>
      <c r="T298" s="22"/>
      <c r="U298" s="22"/>
      <c r="W298" s="22"/>
      <c r="X298" s="22"/>
      <c r="Y298" s="22"/>
      <c r="AA298" s="22"/>
      <c r="AB298" s="22"/>
      <c r="AC298" s="22"/>
      <c r="AE298" s="24"/>
      <c r="AF298" s="24"/>
      <c r="AG298" s="24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6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4"/>
      <c r="GM298" s="24"/>
      <c r="GN298" s="24"/>
      <c r="GO298" s="24"/>
      <c r="GP298" s="24"/>
      <c r="GQ298" s="24"/>
      <c r="GR298" s="24"/>
    </row>
    <row r="299" spans="1:200" s="23" customFormat="1" ht="14.25" customHeight="1">
      <c r="A299" s="20"/>
      <c r="B299" s="21"/>
      <c r="C299" s="22"/>
      <c r="D299" s="22"/>
      <c r="E299" s="22"/>
      <c r="G299" s="22"/>
      <c r="H299" s="22"/>
      <c r="I299" s="22"/>
      <c r="K299" s="22"/>
      <c r="L299" s="22"/>
      <c r="M299" s="22"/>
      <c r="O299" s="22"/>
      <c r="P299" s="22"/>
      <c r="Q299" s="22"/>
      <c r="S299" s="22"/>
      <c r="T299" s="22"/>
      <c r="U299" s="22"/>
      <c r="W299" s="22"/>
      <c r="X299" s="22"/>
      <c r="Y299" s="22"/>
      <c r="AA299" s="22"/>
      <c r="AB299" s="22"/>
      <c r="AC299" s="22"/>
      <c r="AE299" s="24"/>
      <c r="AF299" s="24"/>
      <c r="AG299" s="24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6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/>
      <c r="EK299" s="24"/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/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  <c r="FZ299" s="24"/>
      <c r="GA299" s="24"/>
      <c r="GB299" s="24"/>
      <c r="GC299" s="24"/>
      <c r="GD299" s="24"/>
      <c r="GE299" s="24"/>
      <c r="GF299" s="24"/>
      <c r="GG299" s="24"/>
      <c r="GH299" s="24"/>
      <c r="GI299" s="24"/>
      <c r="GJ299" s="24"/>
      <c r="GK299" s="24"/>
      <c r="GL299" s="24"/>
      <c r="GM299" s="24"/>
      <c r="GN299" s="24"/>
      <c r="GO299" s="24"/>
      <c r="GP299" s="24"/>
      <c r="GQ299" s="24"/>
      <c r="GR299" s="24"/>
    </row>
    <row r="300" spans="1:200" s="23" customFormat="1" ht="14.25" customHeight="1">
      <c r="A300" s="20"/>
      <c r="B300" s="21"/>
      <c r="C300" s="22"/>
      <c r="D300" s="22"/>
      <c r="E300" s="22"/>
      <c r="G300" s="22"/>
      <c r="H300" s="22"/>
      <c r="I300" s="22"/>
      <c r="K300" s="22"/>
      <c r="L300" s="22"/>
      <c r="M300" s="22"/>
      <c r="O300" s="22"/>
      <c r="P300" s="22"/>
      <c r="Q300" s="22"/>
      <c r="S300" s="22"/>
      <c r="T300" s="22"/>
      <c r="U300" s="22"/>
      <c r="W300" s="22"/>
      <c r="X300" s="22"/>
      <c r="Y300" s="22"/>
      <c r="AA300" s="22"/>
      <c r="AB300" s="22"/>
      <c r="AC300" s="22"/>
      <c r="AE300" s="24"/>
      <c r="AF300" s="24"/>
      <c r="AG300" s="24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6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4"/>
      <c r="CC300" s="24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4"/>
      <c r="CP300" s="24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  <c r="FZ300" s="24"/>
      <c r="GA300" s="24"/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24"/>
      <c r="GQ300" s="24"/>
      <c r="GR300" s="24"/>
    </row>
    <row r="301" spans="1:200" s="23" customFormat="1" ht="14.25" customHeight="1">
      <c r="A301" s="20"/>
      <c r="B301" s="21"/>
      <c r="C301" s="22"/>
      <c r="D301" s="22"/>
      <c r="E301" s="22"/>
      <c r="G301" s="22"/>
      <c r="H301" s="22"/>
      <c r="I301" s="22"/>
      <c r="K301" s="22"/>
      <c r="L301" s="22"/>
      <c r="M301" s="22"/>
      <c r="O301" s="22"/>
      <c r="P301" s="22"/>
      <c r="Q301" s="22"/>
      <c r="S301" s="22"/>
      <c r="T301" s="22"/>
      <c r="U301" s="22"/>
      <c r="W301" s="22"/>
      <c r="X301" s="22"/>
      <c r="Y301" s="22"/>
      <c r="AA301" s="22"/>
      <c r="AB301" s="22"/>
      <c r="AC301" s="22"/>
      <c r="AE301" s="24"/>
      <c r="AF301" s="24"/>
      <c r="AG301" s="24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6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24"/>
      <c r="CB301" s="24"/>
      <c r="CC301" s="24"/>
      <c r="CD301" s="24"/>
      <c r="CE301" s="24"/>
      <c r="CF301" s="24"/>
      <c r="CG301" s="24"/>
      <c r="CH301" s="24"/>
      <c r="CI301" s="24"/>
      <c r="CJ301" s="24"/>
      <c r="CK301" s="24"/>
      <c r="CL301" s="24"/>
      <c r="CM301" s="24"/>
      <c r="CN301" s="24"/>
      <c r="CO301" s="24"/>
      <c r="CP301" s="24"/>
      <c r="CQ301" s="24"/>
      <c r="CR301" s="24"/>
      <c r="CS301" s="24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4"/>
      <c r="GJ301" s="24"/>
      <c r="GK301" s="24"/>
      <c r="GL301" s="24"/>
      <c r="GM301" s="24"/>
      <c r="GN301" s="24"/>
      <c r="GO301" s="24"/>
      <c r="GP301" s="24"/>
      <c r="GQ301" s="24"/>
      <c r="GR301" s="24"/>
    </row>
    <row r="302" spans="1:200" s="23" customFormat="1" ht="14.25" customHeight="1">
      <c r="A302" s="20"/>
      <c r="B302" s="21"/>
      <c r="C302" s="22"/>
      <c r="D302" s="22"/>
      <c r="E302" s="22"/>
      <c r="G302" s="22"/>
      <c r="H302" s="22"/>
      <c r="I302" s="22"/>
      <c r="K302" s="22"/>
      <c r="L302" s="22"/>
      <c r="M302" s="22"/>
      <c r="O302" s="22"/>
      <c r="P302" s="22"/>
      <c r="Q302" s="22"/>
      <c r="S302" s="22"/>
      <c r="T302" s="22"/>
      <c r="U302" s="22"/>
      <c r="W302" s="22"/>
      <c r="X302" s="22"/>
      <c r="Y302" s="22"/>
      <c r="AA302" s="22"/>
      <c r="AB302" s="22"/>
      <c r="AC302" s="22"/>
      <c r="AE302" s="24"/>
      <c r="AF302" s="24"/>
      <c r="AG302" s="24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6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4"/>
      <c r="CC302" s="24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4"/>
      <c r="CP302" s="24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/>
      <c r="GK302" s="24"/>
      <c r="GL302" s="24"/>
      <c r="GM302" s="24"/>
      <c r="GN302" s="24"/>
      <c r="GO302" s="24"/>
      <c r="GP302" s="24"/>
      <c r="GQ302" s="24"/>
      <c r="GR302" s="24"/>
    </row>
    <row r="303" spans="1:200" s="23" customFormat="1" ht="14.25" customHeight="1">
      <c r="A303" s="20"/>
      <c r="B303" s="21"/>
      <c r="C303" s="22"/>
      <c r="D303" s="22"/>
      <c r="E303" s="22"/>
      <c r="G303" s="22"/>
      <c r="H303" s="22"/>
      <c r="I303" s="22"/>
      <c r="K303" s="22"/>
      <c r="L303" s="22"/>
      <c r="M303" s="22"/>
      <c r="O303" s="22"/>
      <c r="P303" s="22"/>
      <c r="Q303" s="22"/>
      <c r="S303" s="22"/>
      <c r="T303" s="22"/>
      <c r="U303" s="22"/>
      <c r="W303" s="22"/>
      <c r="X303" s="22"/>
      <c r="Y303" s="22"/>
      <c r="AA303" s="22"/>
      <c r="AB303" s="22"/>
      <c r="AC303" s="22"/>
      <c r="AE303" s="24"/>
      <c r="AF303" s="24"/>
      <c r="AG303" s="24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6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I303" s="24"/>
      <c r="BJ303" s="24"/>
      <c r="BK303" s="24"/>
      <c r="BL303" s="24"/>
      <c r="BM303" s="24"/>
      <c r="BN303" s="24"/>
      <c r="BO303" s="24"/>
      <c r="BP303" s="24"/>
      <c r="BQ303" s="24"/>
      <c r="BR303" s="24"/>
      <c r="BS303" s="24"/>
      <c r="BT303" s="24"/>
      <c r="BU303" s="24"/>
      <c r="BV303" s="24"/>
      <c r="BW303" s="24"/>
      <c r="BX303" s="24"/>
      <c r="BY303" s="24"/>
      <c r="BZ303" s="24"/>
      <c r="CA303" s="24"/>
      <c r="CB303" s="24"/>
      <c r="CC303" s="24"/>
      <c r="CD303" s="24"/>
      <c r="CE303" s="24"/>
      <c r="CF303" s="24"/>
      <c r="CG303" s="24"/>
      <c r="CH303" s="24"/>
      <c r="CI303" s="24"/>
      <c r="CJ303" s="24"/>
      <c r="CK303" s="24"/>
      <c r="CL303" s="24"/>
      <c r="CM303" s="24"/>
      <c r="CN303" s="24"/>
      <c r="CO303" s="24"/>
      <c r="CP303" s="24"/>
      <c r="CQ303" s="24"/>
      <c r="CR303" s="24"/>
      <c r="CS303" s="24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24"/>
      <c r="GQ303" s="24"/>
      <c r="GR303" s="24"/>
    </row>
    <row r="304" spans="1:200" s="23" customFormat="1" ht="14.25" customHeight="1">
      <c r="A304" s="20"/>
      <c r="B304" s="21"/>
      <c r="C304" s="22"/>
      <c r="D304" s="22"/>
      <c r="E304" s="22"/>
      <c r="G304" s="22"/>
      <c r="H304" s="22"/>
      <c r="I304" s="22"/>
      <c r="K304" s="22"/>
      <c r="L304" s="22"/>
      <c r="M304" s="22"/>
      <c r="O304" s="22"/>
      <c r="P304" s="22"/>
      <c r="Q304" s="22"/>
      <c r="S304" s="22"/>
      <c r="T304" s="22"/>
      <c r="U304" s="22"/>
      <c r="W304" s="22"/>
      <c r="X304" s="22"/>
      <c r="Y304" s="22"/>
      <c r="AA304" s="22"/>
      <c r="AB304" s="22"/>
      <c r="AC304" s="22"/>
      <c r="AE304" s="24"/>
      <c r="AF304" s="24"/>
      <c r="AG304" s="24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6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4"/>
      <c r="BP304" s="24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4"/>
      <c r="CC304" s="24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4"/>
      <c r="CP304" s="24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24"/>
      <c r="GQ304" s="24"/>
      <c r="GR304" s="24"/>
    </row>
    <row r="305" spans="1:200" s="23" customFormat="1" ht="14.25" customHeight="1">
      <c r="A305" s="20"/>
      <c r="B305" s="21"/>
      <c r="C305" s="22"/>
      <c r="D305" s="22"/>
      <c r="E305" s="22"/>
      <c r="G305" s="22"/>
      <c r="H305" s="22"/>
      <c r="I305" s="22"/>
      <c r="K305" s="22"/>
      <c r="L305" s="22"/>
      <c r="M305" s="22"/>
      <c r="O305" s="22"/>
      <c r="P305" s="22"/>
      <c r="Q305" s="22"/>
      <c r="S305" s="22"/>
      <c r="T305" s="22"/>
      <c r="U305" s="22"/>
      <c r="W305" s="22"/>
      <c r="X305" s="22"/>
      <c r="Y305" s="22"/>
      <c r="AA305" s="22"/>
      <c r="AB305" s="22"/>
      <c r="AC305" s="22"/>
      <c r="AE305" s="24"/>
      <c r="AF305" s="24"/>
      <c r="AG305" s="24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6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I305" s="24"/>
      <c r="BJ305" s="24"/>
      <c r="BK305" s="24"/>
      <c r="BL305" s="24"/>
      <c r="BM305" s="24"/>
      <c r="BN305" s="24"/>
      <c r="BO305" s="24"/>
      <c r="BP305" s="24"/>
      <c r="BQ305" s="24"/>
      <c r="BR305" s="24"/>
      <c r="BS305" s="24"/>
      <c r="BT305" s="24"/>
      <c r="BU305" s="24"/>
      <c r="BV305" s="24"/>
      <c r="BW305" s="24"/>
      <c r="BX305" s="24"/>
      <c r="BY305" s="24"/>
      <c r="BZ305" s="24"/>
      <c r="CA305" s="24"/>
      <c r="CB305" s="24"/>
      <c r="CC305" s="24"/>
      <c r="CD305" s="24"/>
      <c r="CE305" s="24"/>
      <c r="CF305" s="24"/>
      <c r="CG305" s="24"/>
      <c r="CH305" s="24"/>
      <c r="CI305" s="24"/>
      <c r="CJ305" s="24"/>
      <c r="CK305" s="24"/>
      <c r="CL305" s="24"/>
      <c r="CM305" s="24"/>
      <c r="CN305" s="24"/>
      <c r="CO305" s="24"/>
      <c r="CP305" s="24"/>
      <c r="CQ305" s="24"/>
      <c r="CR305" s="24"/>
      <c r="CS305" s="24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/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24"/>
      <c r="GQ305" s="24"/>
      <c r="GR305" s="24"/>
    </row>
    <row r="306" spans="1:200" s="23" customFormat="1" ht="14.25" customHeight="1">
      <c r="A306" s="20"/>
      <c r="B306" s="21"/>
      <c r="C306" s="22"/>
      <c r="D306" s="22"/>
      <c r="E306" s="22"/>
      <c r="G306" s="22"/>
      <c r="H306" s="22"/>
      <c r="I306" s="22"/>
      <c r="K306" s="22"/>
      <c r="L306" s="22"/>
      <c r="M306" s="22"/>
      <c r="O306" s="22"/>
      <c r="P306" s="22"/>
      <c r="Q306" s="22"/>
      <c r="S306" s="22"/>
      <c r="T306" s="22"/>
      <c r="U306" s="22"/>
      <c r="W306" s="22"/>
      <c r="X306" s="22"/>
      <c r="Y306" s="22"/>
      <c r="AA306" s="22"/>
      <c r="AB306" s="22"/>
      <c r="AC306" s="22"/>
      <c r="AE306" s="24"/>
      <c r="AF306" s="24"/>
      <c r="AG306" s="24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6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4"/>
      <c r="BP306" s="24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4"/>
      <c r="CC306" s="24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4"/>
      <c r="CP306" s="24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/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24"/>
      <c r="GQ306" s="24"/>
      <c r="GR306" s="24"/>
    </row>
    <row r="307" spans="1:200" s="23" customFormat="1" ht="14.25" customHeight="1">
      <c r="A307" s="20"/>
      <c r="B307" s="21"/>
      <c r="C307" s="22"/>
      <c r="D307" s="22"/>
      <c r="E307" s="22"/>
      <c r="G307" s="22"/>
      <c r="H307" s="22"/>
      <c r="I307" s="22"/>
      <c r="K307" s="22"/>
      <c r="L307" s="22"/>
      <c r="M307" s="22"/>
      <c r="O307" s="22"/>
      <c r="P307" s="22"/>
      <c r="Q307" s="22"/>
      <c r="S307" s="22"/>
      <c r="T307" s="22"/>
      <c r="U307" s="22"/>
      <c r="W307" s="22"/>
      <c r="X307" s="22"/>
      <c r="Y307" s="22"/>
      <c r="AA307" s="22"/>
      <c r="AB307" s="22"/>
      <c r="AC307" s="22"/>
      <c r="AE307" s="24"/>
      <c r="AF307" s="24"/>
      <c r="AG307" s="24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6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I307" s="24"/>
      <c r="BJ307" s="24"/>
      <c r="BK307" s="24"/>
      <c r="BL307" s="24"/>
      <c r="BM307" s="24"/>
      <c r="BN307" s="24"/>
      <c r="BO307" s="24"/>
      <c r="BP307" s="24"/>
      <c r="BQ307" s="24"/>
      <c r="BR307" s="24"/>
      <c r="BS307" s="24"/>
      <c r="BT307" s="24"/>
      <c r="BU307" s="24"/>
      <c r="BV307" s="24"/>
      <c r="BW307" s="24"/>
      <c r="BX307" s="24"/>
      <c r="BY307" s="24"/>
      <c r="BZ307" s="24"/>
      <c r="CA307" s="24"/>
      <c r="CB307" s="24"/>
      <c r="CC307" s="24"/>
      <c r="CD307" s="24"/>
      <c r="CE307" s="24"/>
      <c r="CF307" s="24"/>
      <c r="CG307" s="24"/>
      <c r="CH307" s="24"/>
      <c r="CI307" s="24"/>
      <c r="CJ307" s="24"/>
      <c r="CK307" s="24"/>
      <c r="CL307" s="24"/>
      <c r="CM307" s="24"/>
      <c r="CN307" s="24"/>
      <c r="CO307" s="24"/>
      <c r="CP307" s="24"/>
      <c r="CQ307" s="24"/>
      <c r="CR307" s="24"/>
      <c r="CS307" s="24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24"/>
      <c r="GQ307" s="24"/>
      <c r="GR307" s="24"/>
    </row>
    <row r="308" spans="1:200" s="23" customFormat="1" ht="14.25" customHeight="1">
      <c r="A308" s="20"/>
      <c r="B308" s="21"/>
      <c r="C308" s="22"/>
      <c r="D308" s="22"/>
      <c r="E308" s="22"/>
      <c r="G308" s="22"/>
      <c r="H308" s="22"/>
      <c r="I308" s="22"/>
      <c r="K308" s="22"/>
      <c r="L308" s="22"/>
      <c r="M308" s="22"/>
      <c r="O308" s="22"/>
      <c r="P308" s="22"/>
      <c r="Q308" s="22"/>
      <c r="S308" s="22"/>
      <c r="T308" s="22"/>
      <c r="U308" s="22"/>
      <c r="W308" s="22"/>
      <c r="X308" s="22"/>
      <c r="Y308" s="22"/>
      <c r="AA308" s="22"/>
      <c r="AB308" s="22"/>
      <c r="AC308" s="22"/>
      <c r="AE308" s="24"/>
      <c r="AF308" s="24"/>
      <c r="AG308" s="24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6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4"/>
      <c r="BP308" s="24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4"/>
      <c r="CC308" s="24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4"/>
      <c r="CP308" s="24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24"/>
      <c r="GQ308" s="24"/>
      <c r="GR308" s="24"/>
    </row>
    <row r="309" spans="1:200" s="23" customFormat="1" ht="14.25" customHeight="1">
      <c r="A309" s="20"/>
      <c r="B309" s="21"/>
      <c r="C309" s="22"/>
      <c r="D309" s="22"/>
      <c r="E309" s="22"/>
      <c r="G309" s="22"/>
      <c r="H309" s="22"/>
      <c r="I309" s="22"/>
      <c r="K309" s="22"/>
      <c r="L309" s="22"/>
      <c r="M309" s="22"/>
      <c r="O309" s="22"/>
      <c r="P309" s="22"/>
      <c r="Q309" s="22"/>
      <c r="S309" s="22"/>
      <c r="T309" s="22"/>
      <c r="U309" s="22"/>
      <c r="W309" s="22"/>
      <c r="X309" s="22"/>
      <c r="Y309" s="22"/>
      <c r="AA309" s="22"/>
      <c r="AB309" s="22"/>
      <c r="AC309" s="22"/>
      <c r="AE309" s="24"/>
      <c r="AF309" s="24"/>
      <c r="AG309" s="24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6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I309" s="24"/>
      <c r="BJ309" s="24"/>
      <c r="BK309" s="24"/>
      <c r="BL309" s="24"/>
      <c r="BM309" s="24"/>
      <c r="BN309" s="24"/>
      <c r="BO309" s="24"/>
      <c r="BP309" s="24"/>
      <c r="BQ309" s="24"/>
      <c r="BR309" s="24"/>
      <c r="BS309" s="24"/>
      <c r="BT309" s="24"/>
      <c r="BU309" s="24"/>
      <c r="BV309" s="24"/>
      <c r="BW309" s="24"/>
      <c r="BX309" s="24"/>
      <c r="BY309" s="24"/>
      <c r="BZ309" s="24"/>
      <c r="CA309" s="24"/>
      <c r="CB309" s="24"/>
      <c r="CC309" s="24"/>
      <c r="CD309" s="24"/>
      <c r="CE309" s="24"/>
      <c r="CF309" s="24"/>
      <c r="CG309" s="24"/>
      <c r="CH309" s="24"/>
      <c r="CI309" s="24"/>
      <c r="CJ309" s="24"/>
      <c r="CK309" s="24"/>
      <c r="CL309" s="24"/>
      <c r="CM309" s="24"/>
      <c r="CN309" s="24"/>
      <c r="CO309" s="24"/>
      <c r="CP309" s="24"/>
      <c r="CQ309" s="24"/>
      <c r="CR309" s="24"/>
      <c r="CS309" s="24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/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24"/>
      <c r="GQ309" s="24"/>
      <c r="GR309" s="24"/>
    </row>
    <row r="310" spans="1:200" s="23" customFormat="1" ht="14.25" customHeight="1">
      <c r="A310" s="20"/>
      <c r="B310" s="21"/>
      <c r="C310" s="22"/>
      <c r="D310" s="22"/>
      <c r="E310" s="22"/>
      <c r="G310" s="22"/>
      <c r="H310" s="22"/>
      <c r="I310" s="22"/>
      <c r="K310" s="22"/>
      <c r="L310" s="22"/>
      <c r="M310" s="22"/>
      <c r="O310" s="22"/>
      <c r="P310" s="22"/>
      <c r="Q310" s="22"/>
      <c r="S310" s="22"/>
      <c r="T310" s="22"/>
      <c r="U310" s="22"/>
      <c r="W310" s="22"/>
      <c r="X310" s="22"/>
      <c r="Y310" s="22"/>
      <c r="AA310" s="22"/>
      <c r="AB310" s="22"/>
      <c r="AC310" s="22"/>
      <c r="AE310" s="24"/>
      <c r="AF310" s="24"/>
      <c r="AG310" s="24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6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4"/>
      <c r="BP310" s="24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4"/>
      <c r="CC310" s="24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4"/>
      <c r="CP310" s="24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24"/>
      <c r="GQ310" s="24"/>
      <c r="GR310" s="24"/>
    </row>
    <row r="311" spans="1:200" s="23" customFormat="1" ht="14.25" customHeight="1">
      <c r="A311" s="20"/>
      <c r="B311" s="21"/>
      <c r="C311" s="22"/>
      <c r="D311" s="22"/>
      <c r="E311" s="22"/>
      <c r="G311" s="22"/>
      <c r="H311" s="22"/>
      <c r="I311" s="22"/>
      <c r="K311" s="22"/>
      <c r="L311" s="22"/>
      <c r="M311" s="22"/>
      <c r="O311" s="22"/>
      <c r="P311" s="22"/>
      <c r="Q311" s="22"/>
      <c r="S311" s="22"/>
      <c r="T311" s="22"/>
      <c r="U311" s="22"/>
      <c r="W311" s="22"/>
      <c r="X311" s="22"/>
      <c r="Y311" s="22"/>
      <c r="AA311" s="22"/>
      <c r="AB311" s="22"/>
      <c r="AC311" s="22"/>
      <c r="AE311" s="24"/>
      <c r="AF311" s="24"/>
      <c r="AG311" s="24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6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24"/>
      <c r="BQ311" s="24"/>
      <c r="BR311" s="24"/>
      <c r="BS311" s="24"/>
      <c r="BT311" s="24"/>
      <c r="BU311" s="24"/>
      <c r="BV311" s="24"/>
      <c r="BW311" s="24"/>
      <c r="BX311" s="24"/>
      <c r="BY311" s="24"/>
      <c r="BZ311" s="24"/>
      <c r="CA311" s="24"/>
      <c r="CB311" s="24"/>
      <c r="CC311" s="24"/>
      <c r="CD311" s="24"/>
      <c r="CE311" s="24"/>
      <c r="CF311" s="24"/>
      <c r="CG311" s="24"/>
      <c r="CH311" s="24"/>
      <c r="CI311" s="24"/>
      <c r="CJ311" s="24"/>
      <c r="CK311" s="24"/>
      <c r="CL311" s="24"/>
      <c r="CM311" s="24"/>
      <c r="CN311" s="24"/>
      <c r="CO311" s="24"/>
      <c r="CP311" s="24"/>
      <c r="CQ311" s="24"/>
      <c r="CR311" s="24"/>
      <c r="CS311" s="24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24"/>
      <c r="GQ311" s="24"/>
      <c r="GR311" s="24"/>
    </row>
    <row r="312" spans="1:200" s="23" customFormat="1" ht="14.25" customHeight="1">
      <c r="A312" s="20"/>
      <c r="B312" s="21"/>
      <c r="C312" s="22"/>
      <c r="D312" s="22"/>
      <c r="E312" s="22"/>
      <c r="G312" s="22"/>
      <c r="H312" s="22"/>
      <c r="I312" s="22"/>
      <c r="K312" s="22"/>
      <c r="L312" s="22"/>
      <c r="M312" s="22"/>
      <c r="O312" s="22"/>
      <c r="P312" s="22"/>
      <c r="Q312" s="22"/>
      <c r="S312" s="22"/>
      <c r="T312" s="22"/>
      <c r="U312" s="22"/>
      <c r="W312" s="22"/>
      <c r="X312" s="22"/>
      <c r="Y312" s="22"/>
      <c r="AA312" s="22"/>
      <c r="AB312" s="22"/>
      <c r="AC312" s="22"/>
      <c r="AE312" s="24"/>
      <c r="AF312" s="24"/>
      <c r="AG312" s="24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6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4"/>
      <c r="BP312" s="24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4"/>
      <c r="CC312" s="24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4"/>
      <c r="CP312" s="24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/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24"/>
      <c r="GQ312" s="24"/>
      <c r="GR312" s="24"/>
    </row>
    <row r="313" spans="1:200" s="23" customFormat="1" ht="14.25" customHeight="1">
      <c r="A313" s="20"/>
      <c r="B313" s="21"/>
      <c r="C313" s="22"/>
      <c r="D313" s="22"/>
      <c r="E313" s="22"/>
      <c r="G313" s="22"/>
      <c r="H313" s="22"/>
      <c r="I313" s="22"/>
      <c r="K313" s="22"/>
      <c r="L313" s="22"/>
      <c r="M313" s="22"/>
      <c r="O313" s="22"/>
      <c r="P313" s="22"/>
      <c r="Q313" s="22"/>
      <c r="S313" s="22"/>
      <c r="T313" s="22"/>
      <c r="U313" s="22"/>
      <c r="W313" s="22"/>
      <c r="X313" s="22"/>
      <c r="Y313" s="22"/>
      <c r="AA313" s="22"/>
      <c r="AB313" s="22"/>
      <c r="AC313" s="22"/>
      <c r="AE313" s="24"/>
      <c r="AF313" s="24"/>
      <c r="AG313" s="24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6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24"/>
      <c r="BQ313" s="24"/>
      <c r="BR313" s="24"/>
      <c r="BS313" s="24"/>
      <c r="BT313" s="24"/>
      <c r="BU313" s="24"/>
      <c r="BV313" s="24"/>
      <c r="BW313" s="24"/>
      <c r="BX313" s="24"/>
      <c r="BY313" s="24"/>
      <c r="BZ313" s="24"/>
      <c r="CA313" s="24"/>
      <c r="CB313" s="24"/>
      <c r="CC313" s="24"/>
      <c r="CD313" s="24"/>
      <c r="CE313" s="24"/>
      <c r="CF313" s="24"/>
      <c r="CG313" s="24"/>
      <c r="CH313" s="24"/>
      <c r="CI313" s="24"/>
      <c r="CJ313" s="24"/>
      <c r="CK313" s="24"/>
      <c r="CL313" s="24"/>
      <c r="CM313" s="24"/>
      <c r="CN313" s="24"/>
      <c r="CO313" s="24"/>
      <c r="CP313" s="24"/>
      <c r="CQ313" s="24"/>
      <c r="CR313" s="24"/>
      <c r="CS313" s="24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24"/>
      <c r="GQ313" s="24"/>
      <c r="GR313" s="24"/>
    </row>
    <row r="314" spans="1:200" s="23" customFormat="1" ht="14.25" customHeight="1">
      <c r="A314" s="20"/>
      <c r="B314" s="21"/>
      <c r="C314" s="22"/>
      <c r="D314" s="22"/>
      <c r="E314" s="22"/>
      <c r="G314" s="22"/>
      <c r="H314" s="22"/>
      <c r="I314" s="22"/>
      <c r="K314" s="22"/>
      <c r="L314" s="22"/>
      <c r="M314" s="22"/>
      <c r="O314" s="22"/>
      <c r="P314" s="22"/>
      <c r="Q314" s="22"/>
      <c r="S314" s="22"/>
      <c r="T314" s="22"/>
      <c r="U314" s="22"/>
      <c r="W314" s="22"/>
      <c r="X314" s="22"/>
      <c r="Y314" s="22"/>
      <c r="AA314" s="22"/>
      <c r="AB314" s="22"/>
      <c r="AC314" s="22"/>
      <c r="AE314" s="24"/>
      <c r="AF314" s="24"/>
      <c r="AG314" s="24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6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4"/>
      <c r="BP314" s="24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4"/>
      <c r="CC314" s="24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4"/>
      <c r="CP314" s="24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24"/>
      <c r="GQ314" s="24"/>
      <c r="GR314" s="24"/>
    </row>
    <row r="315" spans="1:200" s="23" customFormat="1" ht="14.25" customHeight="1">
      <c r="A315" s="20"/>
      <c r="B315" s="21"/>
      <c r="C315" s="22"/>
      <c r="D315" s="22"/>
      <c r="E315" s="22"/>
      <c r="G315" s="22"/>
      <c r="H315" s="22"/>
      <c r="I315" s="22"/>
      <c r="K315" s="22"/>
      <c r="L315" s="22"/>
      <c r="M315" s="22"/>
      <c r="O315" s="22"/>
      <c r="P315" s="22"/>
      <c r="Q315" s="22"/>
      <c r="S315" s="22"/>
      <c r="T315" s="22"/>
      <c r="U315" s="22"/>
      <c r="W315" s="22"/>
      <c r="X315" s="22"/>
      <c r="Y315" s="22"/>
      <c r="AA315" s="22"/>
      <c r="AB315" s="22"/>
      <c r="AC315" s="22"/>
      <c r="AE315" s="24"/>
      <c r="AF315" s="24"/>
      <c r="AG315" s="24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6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I315" s="24"/>
      <c r="BJ315" s="24"/>
      <c r="BK315" s="24"/>
      <c r="BL315" s="24"/>
      <c r="BM315" s="24"/>
      <c r="BN315" s="24"/>
      <c r="BO315" s="24"/>
      <c r="BP315" s="24"/>
      <c r="BQ315" s="24"/>
      <c r="BR315" s="24"/>
      <c r="BS315" s="24"/>
      <c r="BT315" s="24"/>
      <c r="BU315" s="24"/>
      <c r="BV315" s="24"/>
      <c r="BW315" s="24"/>
      <c r="BX315" s="24"/>
      <c r="BY315" s="24"/>
      <c r="BZ315" s="24"/>
      <c r="CA315" s="24"/>
      <c r="CB315" s="24"/>
      <c r="CC315" s="24"/>
      <c r="CD315" s="24"/>
      <c r="CE315" s="24"/>
      <c r="CF315" s="24"/>
      <c r="CG315" s="24"/>
      <c r="CH315" s="24"/>
      <c r="CI315" s="24"/>
      <c r="CJ315" s="24"/>
      <c r="CK315" s="24"/>
      <c r="CL315" s="24"/>
      <c r="CM315" s="24"/>
      <c r="CN315" s="24"/>
      <c r="CO315" s="24"/>
      <c r="CP315" s="24"/>
      <c r="CQ315" s="24"/>
      <c r="CR315" s="24"/>
      <c r="CS315" s="24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24"/>
      <c r="GQ315" s="24"/>
      <c r="GR315" s="24"/>
    </row>
    <row r="316" spans="1:200" s="23" customFormat="1" ht="14.25" customHeight="1">
      <c r="A316" s="20"/>
      <c r="B316" s="21"/>
      <c r="C316" s="22"/>
      <c r="D316" s="22"/>
      <c r="E316" s="22"/>
      <c r="G316" s="22"/>
      <c r="H316" s="22"/>
      <c r="I316" s="22"/>
      <c r="K316" s="22"/>
      <c r="L316" s="22"/>
      <c r="M316" s="22"/>
      <c r="O316" s="22"/>
      <c r="P316" s="22"/>
      <c r="Q316" s="22"/>
      <c r="S316" s="22"/>
      <c r="T316" s="22"/>
      <c r="U316" s="22"/>
      <c r="W316" s="22"/>
      <c r="X316" s="22"/>
      <c r="Y316" s="22"/>
      <c r="AA316" s="22"/>
      <c r="AB316" s="22"/>
      <c r="AC316" s="22"/>
      <c r="AE316" s="24"/>
      <c r="AF316" s="24"/>
      <c r="AG316" s="24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6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4"/>
      <c r="BP316" s="24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4"/>
      <c r="CC316" s="24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4"/>
      <c r="CP316" s="24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  <c r="FZ316" s="24"/>
      <c r="GA316" s="24"/>
      <c r="GB316" s="24"/>
      <c r="GC316" s="24"/>
      <c r="GD316" s="24"/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24"/>
      <c r="GQ316" s="24"/>
      <c r="GR316" s="24"/>
    </row>
    <row r="317" spans="1:200" s="23" customFormat="1" ht="14.25" customHeight="1">
      <c r="A317" s="20"/>
      <c r="B317" s="21"/>
      <c r="C317" s="22"/>
      <c r="D317" s="22"/>
      <c r="E317" s="22"/>
      <c r="G317" s="22"/>
      <c r="H317" s="22"/>
      <c r="I317" s="22"/>
      <c r="K317" s="22"/>
      <c r="L317" s="22"/>
      <c r="M317" s="22"/>
      <c r="O317" s="22"/>
      <c r="P317" s="22"/>
      <c r="Q317" s="22"/>
      <c r="S317" s="22"/>
      <c r="T317" s="22"/>
      <c r="U317" s="22"/>
      <c r="W317" s="22"/>
      <c r="X317" s="22"/>
      <c r="Y317" s="22"/>
      <c r="AA317" s="22"/>
      <c r="AB317" s="22"/>
      <c r="AC317" s="22"/>
      <c r="AE317" s="24"/>
      <c r="AF317" s="24"/>
      <c r="AG317" s="24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6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I317" s="24"/>
      <c r="BJ317" s="24"/>
      <c r="BK317" s="24"/>
      <c r="BL317" s="24"/>
      <c r="BM317" s="24"/>
      <c r="BN317" s="24"/>
      <c r="BO317" s="24"/>
      <c r="BP317" s="24"/>
      <c r="BQ317" s="24"/>
      <c r="BR317" s="24"/>
      <c r="BS317" s="24"/>
      <c r="BT317" s="24"/>
      <c r="BU317" s="24"/>
      <c r="BV317" s="24"/>
      <c r="BW317" s="24"/>
      <c r="BX317" s="24"/>
      <c r="BY317" s="24"/>
      <c r="BZ317" s="24"/>
      <c r="CA317" s="24"/>
      <c r="CB317" s="24"/>
      <c r="CC317" s="24"/>
      <c r="CD317" s="24"/>
      <c r="CE317" s="24"/>
      <c r="CF317" s="24"/>
      <c r="CG317" s="24"/>
      <c r="CH317" s="24"/>
      <c r="CI317" s="24"/>
      <c r="CJ317" s="24"/>
      <c r="CK317" s="24"/>
      <c r="CL317" s="24"/>
      <c r="CM317" s="24"/>
      <c r="CN317" s="24"/>
      <c r="CO317" s="24"/>
      <c r="CP317" s="24"/>
      <c r="CQ317" s="24"/>
      <c r="CR317" s="24"/>
      <c r="CS317" s="24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/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4"/>
      <c r="GQ317" s="24"/>
      <c r="GR317" s="24"/>
    </row>
    <row r="318" spans="1:200" s="23" customFormat="1" ht="14.25" customHeight="1">
      <c r="A318" s="20"/>
      <c r="B318" s="21"/>
      <c r="C318" s="22"/>
      <c r="D318" s="22"/>
      <c r="E318" s="22"/>
      <c r="G318" s="22"/>
      <c r="H318" s="22"/>
      <c r="I318" s="22"/>
      <c r="K318" s="22"/>
      <c r="L318" s="22"/>
      <c r="M318" s="22"/>
      <c r="O318" s="22"/>
      <c r="P318" s="22"/>
      <c r="Q318" s="22"/>
      <c r="S318" s="22"/>
      <c r="T318" s="22"/>
      <c r="U318" s="22"/>
      <c r="W318" s="22"/>
      <c r="X318" s="22"/>
      <c r="Y318" s="22"/>
      <c r="AA318" s="22"/>
      <c r="AB318" s="22"/>
      <c r="AC318" s="22"/>
      <c r="AE318" s="24"/>
      <c r="AF318" s="24"/>
      <c r="AG318" s="24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6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4"/>
      <c r="BP318" s="24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4"/>
      <c r="CC318" s="24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4"/>
      <c r="CP318" s="24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24"/>
      <c r="GQ318" s="24"/>
      <c r="GR318" s="24"/>
    </row>
    <row r="319" spans="1:200" s="23" customFormat="1" ht="14.25" customHeight="1">
      <c r="A319" s="20"/>
      <c r="B319" s="21"/>
      <c r="C319" s="22"/>
      <c r="D319" s="22"/>
      <c r="E319" s="22"/>
      <c r="G319" s="22"/>
      <c r="H319" s="22"/>
      <c r="I319" s="22"/>
      <c r="K319" s="22"/>
      <c r="L319" s="22"/>
      <c r="M319" s="22"/>
      <c r="O319" s="22"/>
      <c r="P319" s="22"/>
      <c r="Q319" s="22"/>
      <c r="S319" s="22"/>
      <c r="T319" s="22"/>
      <c r="U319" s="22"/>
      <c r="W319" s="22"/>
      <c r="X319" s="22"/>
      <c r="Y319" s="22"/>
      <c r="AA319" s="22"/>
      <c r="AB319" s="22"/>
      <c r="AC319" s="22"/>
      <c r="AE319" s="24"/>
      <c r="AF319" s="24"/>
      <c r="AG319" s="24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6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I319" s="24"/>
      <c r="BJ319" s="24"/>
      <c r="BK319" s="24"/>
      <c r="BL319" s="24"/>
      <c r="BM319" s="24"/>
      <c r="BN319" s="24"/>
      <c r="BO319" s="24"/>
      <c r="BP319" s="24"/>
      <c r="BQ319" s="24"/>
      <c r="BR319" s="24"/>
      <c r="BS319" s="24"/>
      <c r="BT319" s="24"/>
      <c r="BU319" s="24"/>
      <c r="BV319" s="24"/>
      <c r="BW319" s="24"/>
      <c r="BX319" s="24"/>
      <c r="BY319" s="24"/>
      <c r="BZ319" s="24"/>
      <c r="CA319" s="24"/>
      <c r="CB319" s="24"/>
      <c r="CC319" s="24"/>
      <c r="CD319" s="24"/>
      <c r="CE319" s="24"/>
      <c r="CF319" s="24"/>
      <c r="CG319" s="24"/>
      <c r="CH319" s="24"/>
      <c r="CI319" s="24"/>
      <c r="CJ319" s="24"/>
      <c r="CK319" s="24"/>
      <c r="CL319" s="24"/>
      <c r="CM319" s="24"/>
      <c r="CN319" s="24"/>
      <c r="CO319" s="24"/>
      <c r="CP319" s="24"/>
      <c r="CQ319" s="24"/>
      <c r="CR319" s="24"/>
      <c r="CS319" s="24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24"/>
      <c r="GQ319" s="24"/>
      <c r="GR319" s="24"/>
    </row>
    <row r="320" spans="1:200" s="23" customFormat="1" ht="14.25" customHeight="1">
      <c r="A320" s="20"/>
      <c r="B320" s="21"/>
      <c r="C320" s="22"/>
      <c r="D320" s="22"/>
      <c r="E320" s="22"/>
      <c r="G320" s="22"/>
      <c r="H320" s="22"/>
      <c r="I320" s="22"/>
      <c r="K320" s="22"/>
      <c r="L320" s="22"/>
      <c r="M320" s="22"/>
      <c r="O320" s="22"/>
      <c r="P320" s="22"/>
      <c r="Q320" s="22"/>
      <c r="S320" s="22"/>
      <c r="T320" s="22"/>
      <c r="U320" s="22"/>
      <c r="W320" s="22"/>
      <c r="X320" s="22"/>
      <c r="Y320" s="22"/>
      <c r="AA320" s="22"/>
      <c r="AB320" s="22"/>
      <c r="AC320" s="22"/>
      <c r="AE320" s="24"/>
      <c r="AF320" s="24"/>
      <c r="AG320" s="24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6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4"/>
      <c r="BP320" s="24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4"/>
      <c r="CC320" s="24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4"/>
      <c r="CP320" s="24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24"/>
      <c r="GQ320" s="24"/>
      <c r="GR320" s="24"/>
    </row>
    <row r="321" spans="1:200" s="23" customFormat="1" ht="14.25" customHeight="1">
      <c r="A321" s="20"/>
      <c r="B321" s="21"/>
      <c r="C321" s="22"/>
      <c r="D321" s="22"/>
      <c r="E321" s="22"/>
      <c r="G321" s="22"/>
      <c r="H321" s="22"/>
      <c r="I321" s="22"/>
      <c r="K321" s="22"/>
      <c r="L321" s="22"/>
      <c r="M321" s="22"/>
      <c r="O321" s="22"/>
      <c r="P321" s="22"/>
      <c r="Q321" s="22"/>
      <c r="S321" s="22"/>
      <c r="T321" s="22"/>
      <c r="U321" s="22"/>
      <c r="W321" s="22"/>
      <c r="X321" s="22"/>
      <c r="Y321" s="22"/>
      <c r="AA321" s="22"/>
      <c r="AB321" s="22"/>
      <c r="AC321" s="22"/>
      <c r="AE321" s="24"/>
      <c r="AF321" s="24"/>
      <c r="AG321" s="24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6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I321" s="24"/>
      <c r="BJ321" s="24"/>
      <c r="BK321" s="24"/>
      <c r="BL321" s="24"/>
      <c r="BM321" s="24"/>
      <c r="BN321" s="24"/>
      <c r="BO321" s="24"/>
      <c r="BP321" s="24"/>
      <c r="BQ321" s="24"/>
      <c r="BR321" s="24"/>
      <c r="BS321" s="24"/>
      <c r="BT321" s="24"/>
      <c r="BU321" s="24"/>
      <c r="BV321" s="24"/>
      <c r="BW321" s="24"/>
      <c r="BX321" s="24"/>
      <c r="BY321" s="24"/>
      <c r="BZ321" s="24"/>
      <c r="CA321" s="24"/>
      <c r="CB321" s="24"/>
      <c r="CC321" s="24"/>
      <c r="CD321" s="24"/>
      <c r="CE321" s="24"/>
      <c r="CF321" s="24"/>
      <c r="CG321" s="24"/>
      <c r="CH321" s="24"/>
      <c r="CI321" s="24"/>
      <c r="CJ321" s="24"/>
      <c r="CK321" s="24"/>
      <c r="CL321" s="24"/>
      <c r="CM321" s="24"/>
      <c r="CN321" s="24"/>
      <c r="CO321" s="24"/>
      <c r="CP321" s="24"/>
      <c r="CQ321" s="24"/>
      <c r="CR321" s="24"/>
      <c r="CS321" s="24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/>
      <c r="GE321" s="24"/>
      <c r="GF321" s="24"/>
      <c r="GG321" s="24"/>
      <c r="GH321" s="24"/>
      <c r="GI321" s="24"/>
      <c r="GJ321" s="24"/>
      <c r="GK321" s="24"/>
      <c r="GL321" s="24"/>
      <c r="GM321" s="24"/>
      <c r="GN321" s="24"/>
      <c r="GO321" s="24"/>
      <c r="GP321" s="24"/>
      <c r="GQ321" s="24"/>
      <c r="GR321" s="24"/>
    </row>
    <row r="322" spans="1:200" s="23" customFormat="1" ht="14.25" customHeight="1">
      <c r="A322" s="20"/>
      <c r="B322" s="21"/>
      <c r="C322" s="22"/>
      <c r="D322" s="22"/>
      <c r="E322" s="22"/>
      <c r="G322" s="22"/>
      <c r="H322" s="22"/>
      <c r="I322" s="22"/>
      <c r="K322" s="22"/>
      <c r="L322" s="22"/>
      <c r="M322" s="22"/>
      <c r="O322" s="22"/>
      <c r="P322" s="22"/>
      <c r="Q322" s="22"/>
      <c r="S322" s="22"/>
      <c r="T322" s="22"/>
      <c r="U322" s="22"/>
      <c r="W322" s="22"/>
      <c r="X322" s="22"/>
      <c r="Y322" s="22"/>
      <c r="AA322" s="22"/>
      <c r="AB322" s="22"/>
      <c r="AC322" s="22"/>
      <c r="AE322" s="24"/>
      <c r="AF322" s="24"/>
      <c r="AG322" s="24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6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4"/>
      <c r="BP322" s="24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4"/>
      <c r="CC322" s="24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4"/>
      <c r="CP322" s="24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24"/>
      <c r="GQ322" s="24"/>
      <c r="GR322" s="24"/>
    </row>
    <row r="323" spans="1:200" s="23" customFormat="1" ht="14.25" customHeight="1">
      <c r="A323" s="20"/>
      <c r="B323" s="21"/>
      <c r="C323" s="22"/>
      <c r="D323" s="22"/>
      <c r="E323" s="22"/>
      <c r="G323" s="22"/>
      <c r="H323" s="22"/>
      <c r="I323" s="22"/>
      <c r="K323" s="22"/>
      <c r="L323" s="22"/>
      <c r="M323" s="22"/>
      <c r="O323" s="22"/>
      <c r="P323" s="22"/>
      <c r="Q323" s="22"/>
      <c r="S323" s="22"/>
      <c r="T323" s="22"/>
      <c r="U323" s="22"/>
      <c r="W323" s="22"/>
      <c r="X323" s="22"/>
      <c r="Y323" s="22"/>
      <c r="AA323" s="22"/>
      <c r="AB323" s="22"/>
      <c r="AC323" s="22"/>
      <c r="AE323" s="24"/>
      <c r="AF323" s="24"/>
      <c r="AG323" s="24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6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I323" s="24"/>
      <c r="BJ323" s="24"/>
      <c r="BK323" s="24"/>
      <c r="BL323" s="24"/>
      <c r="BM323" s="24"/>
      <c r="BN323" s="24"/>
      <c r="BO323" s="24"/>
      <c r="BP323" s="24"/>
      <c r="BQ323" s="24"/>
      <c r="BR323" s="24"/>
      <c r="BS323" s="24"/>
      <c r="BT323" s="24"/>
      <c r="BU323" s="24"/>
      <c r="BV323" s="24"/>
      <c r="BW323" s="24"/>
      <c r="BX323" s="24"/>
      <c r="BY323" s="24"/>
      <c r="BZ323" s="24"/>
      <c r="CA323" s="24"/>
      <c r="CB323" s="24"/>
      <c r="CC323" s="24"/>
      <c r="CD323" s="24"/>
      <c r="CE323" s="24"/>
      <c r="CF323" s="24"/>
      <c r="CG323" s="24"/>
      <c r="CH323" s="24"/>
      <c r="CI323" s="24"/>
      <c r="CJ323" s="24"/>
      <c r="CK323" s="24"/>
      <c r="CL323" s="24"/>
      <c r="CM323" s="24"/>
      <c r="CN323" s="24"/>
      <c r="CO323" s="24"/>
      <c r="CP323" s="24"/>
      <c r="CQ323" s="24"/>
      <c r="CR323" s="24"/>
      <c r="CS323" s="24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24"/>
      <c r="GQ323" s="24"/>
      <c r="GR323" s="24"/>
    </row>
    <row r="324" spans="1:200" s="23" customFormat="1" ht="14.25" customHeight="1">
      <c r="A324" s="20"/>
      <c r="B324" s="21"/>
      <c r="C324" s="22"/>
      <c r="D324" s="22"/>
      <c r="E324" s="22"/>
      <c r="G324" s="22"/>
      <c r="H324" s="22"/>
      <c r="I324" s="22"/>
      <c r="K324" s="22"/>
      <c r="L324" s="22"/>
      <c r="M324" s="22"/>
      <c r="O324" s="22"/>
      <c r="P324" s="22"/>
      <c r="Q324" s="22"/>
      <c r="S324" s="22"/>
      <c r="T324" s="22"/>
      <c r="U324" s="22"/>
      <c r="W324" s="22"/>
      <c r="X324" s="22"/>
      <c r="Y324" s="22"/>
      <c r="AA324" s="22"/>
      <c r="AB324" s="22"/>
      <c r="AC324" s="22"/>
      <c r="AE324" s="24"/>
      <c r="AF324" s="24"/>
      <c r="AG324" s="24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6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4"/>
      <c r="BP324" s="24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4"/>
      <c r="CC324" s="24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4"/>
      <c r="CP324" s="24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</row>
    <row r="325" spans="1:200" s="23" customFormat="1" ht="14.25" customHeight="1">
      <c r="A325" s="20"/>
      <c r="B325" s="21"/>
      <c r="C325" s="22"/>
      <c r="D325" s="22"/>
      <c r="E325" s="22"/>
      <c r="G325" s="22"/>
      <c r="H325" s="22"/>
      <c r="I325" s="22"/>
      <c r="K325" s="22"/>
      <c r="L325" s="22"/>
      <c r="M325" s="22"/>
      <c r="O325" s="22"/>
      <c r="P325" s="22"/>
      <c r="Q325" s="22"/>
      <c r="S325" s="22"/>
      <c r="T325" s="22"/>
      <c r="U325" s="22"/>
      <c r="W325" s="22"/>
      <c r="X325" s="22"/>
      <c r="Y325" s="22"/>
      <c r="AA325" s="22"/>
      <c r="AB325" s="22"/>
      <c r="AC325" s="22"/>
      <c r="AE325" s="24"/>
      <c r="AF325" s="24"/>
      <c r="AG325" s="24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6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  <c r="BK325" s="24"/>
      <c r="BL325" s="24"/>
      <c r="BM325" s="24"/>
      <c r="BN325" s="24"/>
      <c r="BO325" s="24"/>
      <c r="BP325" s="24"/>
      <c r="BQ325" s="24"/>
      <c r="BR325" s="24"/>
      <c r="BS325" s="24"/>
      <c r="BT325" s="24"/>
      <c r="BU325" s="24"/>
      <c r="BV325" s="24"/>
      <c r="BW325" s="24"/>
      <c r="BX325" s="24"/>
      <c r="BY325" s="24"/>
      <c r="BZ325" s="24"/>
      <c r="CA325" s="24"/>
      <c r="CB325" s="24"/>
      <c r="CC325" s="24"/>
      <c r="CD325" s="24"/>
      <c r="CE325" s="24"/>
      <c r="CF325" s="24"/>
      <c r="CG325" s="24"/>
      <c r="CH325" s="24"/>
      <c r="CI325" s="24"/>
      <c r="CJ325" s="24"/>
      <c r="CK325" s="24"/>
      <c r="CL325" s="24"/>
      <c r="CM325" s="24"/>
      <c r="CN325" s="24"/>
      <c r="CO325" s="24"/>
      <c r="CP325" s="24"/>
      <c r="CQ325" s="24"/>
      <c r="CR325" s="24"/>
      <c r="CS325" s="24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24"/>
      <c r="GQ325" s="24"/>
      <c r="GR325" s="24"/>
    </row>
    <row r="326" spans="1:200" s="23" customFormat="1" ht="14.25" customHeight="1">
      <c r="A326" s="20"/>
      <c r="B326" s="21"/>
      <c r="C326" s="22"/>
      <c r="D326" s="22"/>
      <c r="E326" s="22"/>
      <c r="G326" s="22"/>
      <c r="H326" s="22"/>
      <c r="I326" s="22"/>
      <c r="K326" s="22"/>
      <c r="L326" s="22"/>
      <c r="M326" s="22"/>
      <c r="O326" s="22"/>
      <c r="P326" s="22"/>
      <c r="Q326" s="22"/>
      <c r="S326" s="22"/>
      <c r="T326" s="22"/>
      <c r="U326" s="22"/>
      <c r="W326" s="22"/>
      <c r="X326" s="22"/>
      <c r="Y326" s="22"/>
      <c r="AA326" s="22"/>
      <c r="AB326" s="22"/>
      <c r="AC326" s="22"/>
      <c r="AE326" s="24"/>
      <c r="AF326" s="24"/>
      <c r="AG326" s="24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6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4"/>
      <c r="BP326" s="24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4"/>
      <c r="CC326" s="24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4"/>
      <c r="CP326" s="24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24"/>
      <c r="GQ326" s="24"/>
      <c r="GR326" s="24"/>
    </row>
    <row r="327" spans="1:200" s="23" customFormat="1" ht="14.25" customHeight="1">
      <c r="A327" s="20"/>
      <c r="B327" s="21"/>
      <c r="C327" s="22"/>
      <c r="D327" s="22"/>
      <c r="E327" s="22"/>
      <c r="G327" s="22"/>
      <c r="H327" s="22"/>
      <c r="I327" s="22"/>
      <c r="K327" s="22"/>
      <c r="L327" s="22"/>
      <c r="M327" s="22"/>
      <c r="O327" s="22"/>
      <c r="P327" s="22"/>
      <c r="Q327" s="22"/>
      <c r="S327" s="22"/>
      <c r="T327" s="22"/>
      <c r="U327" s="22"/>
      <c r="W327" s="22"/>
      <c r="X327" s="22"/>
      <c r="Y327" s="22"/>
      <c r="AA327" s="22"/>
      <c r="AB327" s="22"/>
      <c r="AC327" s="22"/>
      <c r="AE327" s="24"/>
      <c r="AF327" s="24"/>
      <c r="AG327" s="24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6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I327" s="24"/>
      <c r="BJ327" s="24"/>
      <c r="BK327" s="24"/>
      <c r="BL327" s="24"/>
      <c r="BM327" s="24"/>
      <c r="BN327" s="24"/>
      <c r="BO327" s="24"/>
      <c r="BP327" s="24"/>
      <c r="BQ327" s="24"/>
      <c r="BR327" s="24"/>
      <c r="BS327" s="24"/>
      <c r="BT327" s="24"/>
      <c r="BU327" s="24"/>
      <c r="BV327" s="24"/>
      <c r="BW327" s="24"/>
      <c r="BX327" s="24"/>
      <c r="BY327" s="24"/>
      <c r="BZ327" s="24"/>
      <c r="CA327" s="24"/>
      <c r="CB327" s="24"/>
      <c r="CC327" s="24"/>
      <c r="CD327" s="24"/>
      <c r="CE327" s="24"/>
      <c r="CF327" s="24"/>
      <c r="CG327" s="24"/>
      <c r="CH327" s="24"/>
      <c r="CI327" s="24"/>
      <c r="CJ327" s="24"/>
      <c r="CK327" s="24"/>
      <c r="CL327" s="24"/>
      <c r="CM327" s="24"/>
      <c r="CN327" s="24"/>
      <c r="CO327" s="24"/>
      <c r="CP327" s="24"/>
      <c r="CQ327" s="24"/>
      <c r="CR327" s="24"/>
      <c r="CS327" s="24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4"/>
      <c r="GQ327" s="24"/>
      <c r="GR327" s="24"/>
    </row>
    <row r="328" spans="1:200" s="23" customFormat="1" ht="14.25" customHeight="1">
      <c r="A328" s="20"/>
      <c r="B328" s="21"/>
      <c r="C328" s="22"/>
      <c r="D328" s="22"/>
      <c r="E328" s="22"/>
      <c r="G328" s="22"/>
      <c r="H328" s="22"/>
      <c r="I328" s="22"/>
      <c r="K328" s="22"/>
      <c r="L328" s="22"/>
      <c r="M328" s="22"/>
      <c r="O328" s="22"/>
      <c r="P328" s="22"/>
      <c r="Q328" s="22"/>
      <c r="S328" s="22"/>
      <c r="T328" s="22"/>
      <c r="U328" s="22"/>
      <c r="W328" s="22"/>
      <c r="X328" s="22"/>
      <c r="Y328" s="22"/>
      <c r="AA328" s="22"/>
      <c r="AB328" s="22"/>
      <c r="AC328" s="22"/>
      <c r="AE328" s="24"/>
      <c r="AF328" s="24"/>
      <c r="AG328" s="24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6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4"/>
      <c r="BP328" s="24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4"/>
      <c r="CC328" s="24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4"/>
      <c r="CP328" s="24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/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24"/>
      <c r="GQ328" s="24"/>
      <c r="GR328" s="24"/>
    </row>
    <row r="329" spans="1:200" s="23" customFormat="1" ht="14.25" customHeight="1">
      <c r="A329" s="20"/>
      <c r="B329" s="21"/>
      <c r="C329" s="22"/>
      <c r="D329" s="22"/>
      <c r="E329" s="22"/>
      <c r="G329" s="22"/>
      <c r="H329" s="22"/>
      <c r="I329" s="22"/>
      <c r="K329" s="22"/>
      <c r="L329" s="22"/>
      <c r="M329" s="22"/>
      <c r="O329" s="22"/>
      <c r="P329" s="22"/>
      <c r="Q329" s="22"/>
      <c r="S329" s="22"/>
      <c r="T329" s="22"/>
      <c r="U329" s="22"/>
      <c r="W329" s="22"/>
      <c r="X329" s="22"/>
      <c r="Y329" s="22"/>
      <c r="AA329" s="22"/>
      <c r="AB329" s="22"/>
      <c r="AC329" s="22"/>
      <c r="AE329" s="24"/>
      <c r="AF329" s="24"/>
      <c r="AG329" s="24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6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I329" s="24"/>
      <c r="BJ329" s="24"/>
      <c r="BK329" s="24"/>
      <c r="BL329" s="24"/>
      <c r="BM329" s="24"/>
      <c r="BN329" s="24"/>
      <c r="BO329" s="24"/>
      <c r="BP329" s="24"/>
      <c r="BQ329" s="24"/>
      <c r="BR329" s="24"/>
      <c r="BS329" s="24"/>
      <c r="BT329" s="24"/>
      <c r="BU329" s="24"/>
      <c r="BV329" s="24"/>
      <c r="BW329" s="24"/>
      <c r="BX329" s="24"/>
      <c r="BY329" s="24"/>
      <c r="BZ329" s="24"/>
      <c r="CA329" s="24"/>
      <c r="CB329" s="24"/>
      <c r="CC329" s="24"/>
      <c r="CD329" s="24"/>
      <c r="CE329" s="24"/>
      <c r="CF329" s="24"/>
      <c r="CG329" s="24"/>
      <c r="CH329" s="24"/>
      <c r="CI329" s="24"/>
      <c r="CJ329" s="24"/>
      <c r="CK329" s="24"/>
      <c r="CL329" s="24"/>
      <c r="CM329" s="24"/>
      <c r="CN329" s="24"/>
      <c r="CO329" s="24"/>
      <c r="CP329" s="24"/>
      <c r="CQ329" s="24"/>
      <c r="CR329" s="24"/>
      <c r="CS329" s="24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24"/>
      <c r="GQ329" s="24"/>
      <c r="GR329" s="24"/>
    </row>
    <row r="330" spans="1:200" s="23" customFormat="1" ht="14.25" customHeight="1">
      <c r="A330" s="20"/>
      <c r="B330" s="21"/>
      <c r="C330" s="22"/>
      <c r="D330" s="22"/>
      <c r="E330" s="22"/>
      <c r="G330" s="22"/>
      <c r="H330" s="22"/>
      <c r="I330" s="22"/>
      <c r="K330" s="22"/>
      <c r="L330" s="22"/>
      <c r="M330" s="22"/>
      <c r="O330" s="22"/>
      <c r="P330" s="22"/>
      <c r="Q330" s="22"/>
      <c r="S330" s="22"/>
      <c r="T330" s="22"/>
      <c r="U330" s="22"/>
      <c r="W330" s="22"/>
      <c r="X330" s="22"/>
      <c r="Y330" s="22"/>
      <c r="AA330" s="22"/>
      <c r="AB330" s="22"/>
      <c r="AC330" s="22"/>
      <c r="AE330" s="24"/>
      <c r="AF330" s="24"/>
      <c r="AG330" s="24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6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4"/>
      <c r="BP330" s="24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4"/>
      <c r="CC330" s="24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4"/>
      <c r="CP330" s="24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  <c r="FZ330" s="24"/>
      <c r="GA330" s="24"/>
      <c r="GB330" s="24"/>
      <c r="GC330" s="24"/>
      <c r="GD330" s="24"/>
      <c r="GE330" s="24"/>
      <c r="GF330" s="24"/>
      <c r="GG330" s="24"/>
      <c r="GH330" s="24"/>
      <c r="GI330" s="24"/>
      <c r="GJ330" s="24"/>
      <c r="GK330" s="24"/>
      <c r="GL330" s="24"/>
      <c r="GM330" s="24"/>
      <c r="GN330" s="24"/>
      <c r="GO330" s="24"/>
      <c r="GP330" s="24"/>
      <c r="GQ330" s="24"/>
      <c r="GR330" s="24"/>
    </row>
    <row r="331" spans="1:200" s="23" customFormat="1" ht="14.25" customHeight="1">
      <c r="A331" s="20"/>
      <c r="B331" s="21"/>
      <c r="C331" s="22"/>
      <c r="D331" s="22"/>
      <c r="E331" s="22"/>
      <c r="G331" s="22"/>
      <c r="H331" s="22"/>
      <c r="I331" s="22"/>
      <c r="K331" s="22"/>
      <c r="L331" s="22"/>
      <c r="M331" s="22"/>
      <c r="O331" s="22"/>
      <c r="P331" s="22"/>
      <c r="Q331" s="22"/>
      <c r="S331" s="22"/>
      <c r="T331" s="22"/>
      <c r="U331" s="22"/>
      <c r="W331" s="22"/>
      <c r="X331" s="22"/>
      <c r="Y331" s="22"/>
      <c r="AA331" s="22"/>
      <c r="AB331" s="22"/>
      <c r="AC331" s="22"/>
      <c r="AE331" s="24"/>
      <c r="AF331" s="24"/>
      <c r="AG331" s="24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6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  <c r="BN331" s="24"/>
      <c r="BO331" s="24"/>
      <c r="BP331" s="24"/>
      <c r="BQ331" s="24"/>
      <c r="BR331" s="24"/>
      <c r="BS331" s="24"/>
      <c r="BT331" s="24"/>
      <c r="BU331" s="24"/>
      <c r="BV331" s="24"/>
      <c r="BW331" s="24"/>
      <c r="BX331" s="24"/>
      <c r="BY331" s="24"/>
      <c r="BZ331" s="24"/>
      <c r="CA331" s="24"/>
      <c r="CB331" s="24"/>
      <c r="CC331" s="24"/>
      <c r="CD331" s="24"/>
      <c r="CE331" s="24"/>
      <c r="CF331" s="24"/>
      <c r="CG331" s="24"/>
      <c r="CH331" s="24"/>
      <c r="CI331" s="24"/>
      <c r="CJ331" s="24"/>
      <c r="CK331" s="24"/>
      <c r="CL331" s="24"/>
      <c r="CM331" s="24"/>
      <c r="CN331" s="24"/>
      <c r="CO331" s="24"/>
      <c r="CP331" s="24"/>
      <c r="CQ331" s="24"/>
      <c r="CR331" s="24"/>
      <c r="CS331" s="24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/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4"/>
      <c r="GJ331" s="24"/>
      <c r="GK331" s="24"/>
      <c r="GL331" s="24"/>
      <c r="GM331" s="24"/>
      <c r="GN331" s="24"/>
      <c r="GO331" s="24"/>
      <c r="GP331" s="24"/>
      <c r="GQ331" s="24"/>
      <c r="GR331" s="24"/>
    </row>
    <row r="332" spans="1:200" s="23" customFormat="1" ht="14.25" customHeight="1">
      <c r="A332" s="20"/>
      <c r="B332" s="21"/>
      <c r="C332" s="22"/>
      <c r="D332" s="22"/>
      <c r="E332" s="22"/>
      <c r="G332" s="22"/>
      <c r="H332" s="22"/>
      <c r="I332" s="22"/>
      <c r="K332" s="22"/>
      <c r="L332" s="22"/>
      <c r="M332" s="22"/>
      <c r="O332" s="22"/>
      <c r="P332" s="22"/>
      <c r="Q332" s="22"/>
      <c r="S332" s="22"/>
      <c r="T332" s="22"/>
      <c r="U332" s="22"/>
      <c r="W332" s="22"/>
      <c r="X332" s="22"/>
      <c r="Y332" s="22"/>
      <c r="AA332" s="22"/>
      <c r="AB332" s="22"/>
      <c r="AC332" s="22"/>
      <c r="AE332" s="24"/>
      <c r="AF332" s="24"/>
      <c r="AG332" s="24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6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4"/>
      <c r="BP332" s="24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4"/>
      <c r="CC332" s="24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4"/>
      <c r="CP332" s="24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/>
      <c r="GD332" s="24"/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24"/>
      <c r="GQ332" s="24"/>
      <c r="GR332" s="24"/>
    </row>
    <row r="333" spans="1:200" s="23" customFormat="1" ht="14.25" customHeight="1">
      <c r="A333" s="20"/>
      <c r="B333" s="21"/>
      <c r="C333" s="22"/>
      <c r="D333" s="22"/>
      <c r="E333" s="22"/>
      <c r="G333" s="22"/>
      <c r="H333" s="22"/>
      <c r="I333" s="22"/>
      <c r="K333" s="22"/>
      <c r="L333" s="22"/>
      <c r="M333" s="22"/>
      <c r="O333" s="22"/>
      <c r="P333" s="22"/>
      <c r="Q333" s="22"/>
      <c r="S333" s="22"/>
      <c r="T333" s="22"/>
      <c r="U333" s="22"/>
      <c r="W333" s="22"/>
      <c r="X333" s="22"/>
      <c r="Y333" s="22"/>
      <c r="AA333" s="22"/>
      <c r="AB333" s="22"/>
      <c r="AC333" s="22"/>
      <c r="AE333" s="24"/>
      <c r="AF333" s="24"/>
      <c r="AG333" s="24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6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  <c r="BN333" s="24"/>
      <c r="BO333" s="24"/>
      <c r="BP333" s="24"/>
      <c r="BQ333" s="24"/>
      <c r="BR333" s="24"/>
      <c r="BS333" s="24"/>
      <c r="BT333" s="24"/>
      <c r="BU333" s="24"/>
      <c r="BV333" s="24"/>
      <c r="BW333" s="24"/>
      <c r="BX333" s="24"/>
      <c r="BY333" s="24"/>
      <c r="BZ333" s="24"/>
      <c r="CA333" s="24"/>
      <c r="CB333" s="24"/>
      <c r="CC333" s="24"/>
      <c r="CD333" s="24"/>
      <c r="CE333" s="24"/>
      <c r="CF333" s="24"/>
      <c r="CG333" s="24"/>
      <c r="CH333" s="24"/>
      <c r="CI333" s="24"/>
      <c r="CJ333" s="24"/>
      <c r="CK333" s="24"/>
      <c r="CL333" s="24"/>
      <c r="CM333" s="24"/>
      <c r="CN333" s="24"/>
      <c r="CO333" s="24"/>
      <c r="CP333" s="24"/>
      <c r="CQ333" s="24"/>
      <c r="CR333" s="24"/>
      <c r="CS333" s="24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  <c r="FZ333" s="24"/>
      <c r="GA333" s="24"/>
      <c r="GB333" s="24"/>
      <c r="GC333" s="24"/>
      <c r="GD333" s="24"/>
      <c r="GE333" s="24"/>
      <c r="GF333" s="24"/>
      <c r="GG333" s="24"/>
      <c r="GH333" s="24"/>
      <c r="GI333" s="24"/>
      <c r="GJ333" s="24"/>
      <c r="GK333" s="24"/>
      <c r="GL333" s="24"/>
      <c r="GM333" s="24"/>
      <c r="GN333" s="24"/>
      <c r="GO333" s="24"/>
      <c r="GP333" s="24"/>
      <c r="GQ333" s="24"/>
      <c r="GR333" s="24"/>
    </row>
    <row r="334" spans="1:200" s="23" customFormat="1" ht="14.25" customHeight="1">
      <c r="A334" s="20"/>
      <c r="B334" s="21"/>
      <c r="C334" s="22"/>
      <c r="D334" s="22"/>
      <c r="E334" s="22"/>
      <c r="G334" s="22"/>
      <c r="H334" s="22"/>
      <c r="I334" s="22"/>
      <c r="K334" s="22"/>
      <c r="L334" s="22"/>
      <c r="M334" s="22"/>
      <c r="O334" s="22"/>
      <c r="P334" s="22"/>
      <c r="Q334" s="22"/>
      <c r="S334" s="22"/>
      <c r="T334" s="22"/>
      <c r="U334" s="22"/>
      <c r="W334" s="22"/>
      <c r="X334" s="22"/>
      <c r="Y334" s="22"/>
      <c r="AA334" s="22"/>
      <c r="AB334" s="22"/>
      <c r="AC334" s="22"/>
      <c r="AE334" s="24"/>
      <c r="AF334" s="24"/>
      <c r="AG334" s="24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6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4"/>
      <c r="BP334" s="24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4"/>
      <c r="CC334" s="24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4"/>
      <c r="CP334" s="24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/>
      <c r="FT334" s="24"/>
      <c r="FU334" s="24"/>
      <c r="FV334" s="24"/>
      <c r="FW334" s="24"/>
      <c r="FX334" s="24"/>
      <c r="FY334" s="24"/>
      <c r="FZ334" s="24"/>
      <c r="GA334" s="24"/>
      <c r="GB334" s="24"/>
      <c r="GC334" s="24"/>
      <c r="GD334" s="24"/>
      <c r="GE334" s="24"/>
      <c r="GF334" s="24"/>
      <c r="GG334" s="24"/>
      <c r="GH334" s="24"/>
      <c r="GI334" s="24"/>
      <c r="GJ334" s="24"/>
      <c r="GK334" s="24"/>
      <c r="GL334" s="24"/>
      <c r="GM334" s="24"/>
      <c r="GN334" s="24"/>
      <c r="GO334" s="24"/>
      <c r="GP334" s="24"/>
      <c r="GQ334" s="24"/>
      <c r="GR334" s="24"/>
    </row>
    <row r="335" spans="1:200" s="23" customFormat="1" ht="14.25" customHeight="1">
      <c r="A335" s="20"/>
      <c r="B335" s="21"/>
      <c r="C335" s="22"/>
      <c r="D335" s="22"/>
      <c r="E335" s="22"/>
      <c r="G335" s="22"/>
      <c r="H335" s="22"/>
      <c r="I335" s="22"/>
      <c r="K335" s="22"/>
      <c r="L335" s="22"/>
      <c r="M335" s="22"/>
      <c r="O335" s="22"/>
      <c r="P335" s="22"/>
      <c r="Q335" s="22"/>
      <c r="S335" s="22"/>
      <c r="T335" s="22"/>
      <c r="U335" s="22"/>
      <c r="W335" s="22"/>
      <c r="X335" s="22"/>
      <c r="Y335" s="22"/>
      <c r="AA335" s="22"/>
      <c r="AB335" s="22"/>
      <c r="AC335" s="22"/>
      <c r="AE335" s="24"/>
      <c r="AF335" s="24"/>
      <c r="AG335" s="24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6"/>
      <c r="AW335" s="24"/>
      <c r="AX335" s="24"/>
      <c r="AY335" s="24"/>
      <c r="AZ335" s="24"/>
      <c r="BA335" s="24"/>
      <c r="BB335" s="24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  <c r="BN335" s="24"/>
      <c r="BO335" s="24"/>
      <c r="BP335" s="24"/>
      <c r="BQ335" s="24"/>
      <c r="BR335" s="24"/>
      <c r="BS335" s="24"/>
      <c r="BT335" s="24"/>
      <c r="BU335" s="24"/>
      <c r="BV335" s="24"/>
      <c r="BW335" s="24"/>
      <c r="BX335" s="24"/>
      <c r="BY335" s="24"/>
      <c r="BZ335" s="24"/>
      <c r="CA335" s="24"/>
      <c r="CB335" s="24"/>
      <c r="CC335" s="24"/>
      <c r="CD335" s="24"/>
      <c r="CE335" s="24"/>
      <c r="CF335" s="24"/>
      <c r="CG335" s="24"/>
      <c r="CH335" s="24"/>
      <c r="CI335" s="24"/>
      <c r="CJ335" s="24"/>
      <c r="CK335" s="24"/>
      <c r="CL335" s="24"/>
      <c r="CM335" s="24"/>
      <c r="CN335" s="24"/>
      <c r="CO335" s="24"/>
      <c r="CP335" s="24"/>
      <c r="CQ335" s="24"/>
      <c r="CR335" s="24"/>
      <c r="CS335" s="24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/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/>
      <c r="FN335" s="24"/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  <c r="FZ335" s="24"/>
      <c r="GA335" s="24"/>
      <c r="GB335" s="24"/>
      <c r="GC335" s="24"/>
      <c r="GD335" s="24"/>
      <c r="GE335" s="24"/>
      <c r="GF335" s="24"/>
      <c r="GG335" s="24"/>
      <c r="GH335" s="24"/>
      <c r="GI335" s="24"/>
      <c r="GJ335" s="24"/>
      <c r="GK335" s="24"/>
      <c r="GL335" s="24"/>
      <c r="GM335" s="24"/>
      <c r="GN335" s="24"/>
      <c r="GO335" s="24"/>
      <c r="GP335" s="24"/>
      <c r="GQ335" s="24"/>
      <c r="GR335" s="24"/>
    </row>
    <row r="336" spans="1:200" s="23" customFormat="1" ht="14.25" customHeight="1">
      <c r="A336" s="20"/>
      <c r="B336" s="21"/>
      <c r="C336" s="22"/>
      <c r="D336" s="22"/>
      <c r="E336" s="22"/>
      <c r="G336" s="22"/>
      <c r="H336" s="22"/>
      <c r="I336" s="22"/>
      <c r="K336" s="22"/>
      <c r="L336" s="22"/>
      <c r="M336" s="22"/>
      <c r="O336" s="22"/>
      <c r="P336" s="22"/>
      <c r="Q336" s="22"/>
      <c r="S336" s="22"/>
      <c r="T336" s="22"/>
      <c r="U336" s="22"/>
      <c r="W336" s="22"/>
      <c r="X336" s="22"/>
      <c r="Y336" s="22"/>
      <c r="AA336" s="22"/>
      <c r="AB336" s="22"/>
      <c r="AC336" s="22"/>
      <c r="AE336" s="24"/>
      <c r="AF336" s="24"/>
      <c r="AG336" s="24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6"/>
      <c r="AW336" s="24"/>
      <c r="AX336" s="24"/>
      <c r="AY336" s="24"/>
      <c r="AZ336" s="24"/>
      <c r="BA336" s="24"/>
      <c r="BB336" s="24"/>
      <c r="BC336" s="24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4"/>
      <c r="BP336" s="24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4"/>
      <c r="CC336" s="24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4"/>
      <c r="CP336" s="24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4"/>
      <c r="EP336" s="24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4"/>
      <c r="FC336" s="24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/>
      <c r="FU336" s="24"/>
      <c r="FV336" s="24"/>
      <c r="FW336" s="24"/>
      <c r="FX336" s="24"/>
      <c r="FY336" s="24"/>
      <c r="FZ336" s="24"/>
      <c r="GA336" s="24"/>
      <c r="GB336" s="24"/>
      <c r="GC336" s="24"/>
      <c r="GD336" s="24"/>
      <c r="GE336" s="24"/>
      <c r="GF336" s="24"/>
      <c r="GG336" s="24"/>
      <c r="GH336" s="24"/>
      <c r="GI336" s="24"/>
      <c r="GJ336" s="24"/>
      <c r="GK336" s="24"/>
      <c r="GL336" s="24"/>
      <c r="GM336" s="24"/>
      <c r="GN336" s="24"/>
      <c r="GO336" s="24"/>
      <c r="GP336" s="24"/>
      <c r="GQ336" s="24"/>
      <c r="GR336" s="24"/>
    </row>
    <row r="337" spans="1:200" s="23" customFormat="1" ht="14.25" customHeight="1">
      <c r="A337" s="20"/>
      <c r="B337" s="21"/>
      <c r="C337" s="22"/>
      <c r="D337" s="22"/>
      <c r="E337" s="22"/>
      <c r="G337" s="22"/>
      <c r="H337" s="22"/>
      <c r="I337" s="22"/>
      <c r="K337" s="22"/>
      <c r="L337" s="22"/>
      <c r="M337" s="22"/>
      <c r="O337" s="22"/>
      <c r="P337" s="22"/>
      <c r="Q337" s="22"/>
      <c r="S337" s="22"/>
      <c r="T337" s="22"/>
      <c r="U337" s="22"/>
      <c r="W337" s="22"/>
      <c r="X337" s="22"/>
      <c r="Y337" s="22"/>
      <c r="AA337" s="22"/>
      <c r="AB337" s="22"/>
      <c r="AC337" s="22"/>
      <c r="AE337" s="24"/>
      <c r="AF337" s="24"/>
      <c r="AG337" s="24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6"/>
      <c r="AW337" s="24"/>
      <c r="AX337" s="24"/>
      <c r="AY337" s="24"/>
      <c r="AZ337" s="24"/>
      <c r="BA337" s="24"/>
      <c r="BB337" s="24"/>
      <c r="BC337" s="24"/>
      <c r="BD337" s="24"/>
      <c r="BE337" s="24"/>
      <c r="BF337" s="24"/>
      <c r="BG337" s="24"/>
      <c r="BH337" s="24"/>
      <c r="BI337" s="24"/>
      <c r="BJ337" s="24"/>
      <c r="BK337" s="24"/>
      <c r="BL337" s="24"/>
      <c r="BM337" s="24"/>
      <c r="BN337" s="24"/>
      <c r="BO337" s="24"/>
      <c r="BP337" s="24"/>
      <c r="BQ337" s="24"/>
      <c r="BR337" s="24"/>
      <c r="BS337" s="24"/>
      <c r="BT337" s="24"/>
      <c r="BU337" s="24"/>
      <c r="BV337" s="24"/>
      <c r="BW337" s="24"/>
      <c r="BX337" s="24"/>
      <c r="BY337" s="24"/>
      <c r="BZ337" s="24"/>
      <c r="CA337" s="24"/>
      <c r="CB337" s="24"/>
      <c r="CC337" s="24"/>
      <c r="CD337" s="24"/>
      <c r="CE337" s="24"/>
      <c r="CF337" s="24"/>
      <c r="CG337" s="24"/>
      <c r="CH337" s="24"/>
      <c r="CI337" s="24"/>
      <c r="CJ337" s="24"/>
      <c r="CK337" s="24"/>
      <c r="CL337" s="24"/>
      <c r="CM337" s="24"/>
      <c r="CN337" s="24"/>
      <c r="CO337" s="24"/>
      <c r="CP337" s="24"/>
      <c r="CQ337" s="24"/>
      <c r="CR337" s="24"/>
      <c r="CS337" s="24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  <c r="FZ337" s="24"/>
      <c r="GA337" s="24"/>
      <c r="GB337" s="24"/>
      <c r="GC337" s="24"/>
      <c r="GD337" s="24"/>
      <c r="GE337" s="24"/>
      <c r="GF337" s="24"/>
      <c r="GG337" s="24"/>
      <c r="GH337" s="24"/>
      <c r="GI337" s="24"/>
      <c r="GJ337" s="24"/>
      <c r="GK337" s="24"/>
      <c r="GL337" s="24"/>
      <c r="GM337" s="24"/>
      <c r="GN337" s="24"/>
      <c r="GO337" s="24"/>
      <c r="GP337" s="24"/>
      <c r="GQ337" s="24"/>
      <c r="GR337" s="24"/>
    </row>
    <row r="338" spans="1:200" s="23" customFormat="1" ht="14.25" customHeight="1">
      <c r="A338" s="20"/>
      <c r="B338" s="21"/>
      <c r="C338" s="22"/>
      <c r="D338" s="22"/>
      <c r="E338" s="22"/>
      <c r="G338" s="22"/>
      <c r="H338" s="22"/>
      <c r="I338" s="22"/>
      <c r="K338" s="22"/>
      <c r="L338" s="22"/>
      <c r="M338" s="22"/>
      <c r="O338" s="22"/>
      <c r="P338" s="22"/>
      <c r="Q338" s="22"/>
      <c r="S338" s="22"/>
      <c r="T338" s="22"/>
      <c r="U338" s="22"/>
      <c r="W338" s="22"/>
      <c r="X338" s="22"/>
      <c r="Y338" s="22"/>
      <c r="AA338" s="22"/>
      <c r="AB338" s="22"/>
      <c r="AC338" s="22"/>
      <c r="AE338" s="24"/>
      <c r="AF338" s="24"/>
      <c r="AG338" s="24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6"/>
      <c r="AW338" s="24"/>
      <c r="AX338" s="24"/>
      <c r="AY338" s="24"/>
      <c r="AZ338" s="24"/>
      <c r="BA338" s="24"/>
      <c r="BB338" s="24"/>
      <c r="BC338" s="24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4"/>
      <c r="BP338" s="24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4"/>
      <c r="CC338" s="24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4"/>
      <c r="CP338" s="24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4"/>
      <c r="EP338" s="24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  <c r="FZ338" s="24"/>
      <c r="GA338" s="24"/>
      <c r="GB338" s="24"/>
      <c r="GC338" s="24"/>
      <c r="GD338" s="24"/>
      <c r="GE338" s="24"/>
      <c r="GF338" s="24"/>
      <c r="GG338" s="24"/>
      <c r="GH338" s="24"/>
      <c r="GI338" s="24"/>
      <c r="GJ338" s="24"/>
      <c r="GK338" s="24"/>
      <c r="GL338" s="24"/>
      <c r="GM338" s="24"/>
      <c r="GN338" s="24"/>
      <c r="GO338" s="24"/>
      <c r="GP338" s="24"/>
      <c r="GQ338" s="24"/>
      <c r="GR338" s="24"/>
    </row>
    <row r="339" spans="1:200" s="23" customFormat="1" ht="14.25" customHeight="1">
      <c r="A339" s="20"/>
      <c r="B339" s="21"/>
      <c r="C339" s="22"/>
      <c r="D339" s="22"/>
      <c r="E339" s="22"/>
      <c r="G339" s="22"/>
      <c r="H339" s="22"/>
      <c r="I339" s="22"/>
      <c r="K339" s="22"/>
      <c r="L339" s="22"/>
      <c r="M339" s="22"/>
      <c r="O339" s="22"/>
      <c r="P339" s="22"/>
      <c r="Q339" s="22"/>
      <c r="S339" s="22"/>
      <c r="T339" s="22"/>
      <c r="U339" s="22"/>
      <c r="W339" s="22"/>
      <c r="X339" s="22"/>
      <c r="Y339" s="22"/>
      <c r="AA339" s="22"/>
      <c r="AB339" s="22"/>
      <c r="AC339" s="22"/>
      <c r="AE339" s="24"/>
      <c r="AF339" s="24"/>
      <c r="AG339" s="24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6"/>
      <c r="AW339" s="24"/>
      <c r="AX339" s="24"/>
      <c r="AY339" s="24"/>
      <c r="AZ339" s="24"/>
      <c r="BA339" s="24"/>
      <c r="BB339" s="24"/>
      <c r="BC339" s="24"/>
      <c r="BD339" s="24"/>
      <c r="BE339" s="24"/>
      <c r="BF339" s="24"/>
      <c r="BG339" s="24"/>
      <c r="BH339" s="24"/>
      <c r="BI339" s="24"/>
      <c r="BJ339" s="24"/>
      <c r="BK339" s="24"/>
      <c r="BL339" s="24"/>
      <c r="BM339" s="24"/>
      <c r="BN339" s="24"/>
      <c r="BO339" s="24"/>
      <c r="BP339" s="24"/>
      <c r="BQ339" s="24"/>
      <c r="BR339" s="24"/>
      <c r="BS339" s="24"/>
      <c r="BT339" s="24"/>
      <c r="BU339" s="24"/>
      <c r="BV339" s="24"/>
      <c r="BW339" s="24"/>
      <c r="BX339" s="24"/>
      <c r="BY339" s="24"/>
      <c r="BZ339" s="24"/>
      <c r="CA339" s="24"/>
      <c r="CB339" s="24"/>
      <c r="CC339" s="24"/>
      <c r="CD339" s="24"/>
      <c r="CE339" s="24"/>
      <c r="CF339" s="24"/>
      <c r="CG339" s="24"/>
      <c r="CH339" s="24"/>
      <c r="CI339" s="24"/>
      <c r="CJ339" s="24"/>
      <c r="CK339" s="24"/>
      <c r="CL339" s="24"/>
      <c r="CM339" s="24"/>
      <c r="CN339" s="24"/>
      <c r="CO339" s="24"/>
      <c r="CP339" s="24"/>
      <c r="CQ339" s="24"/>
      <c r="CR339" s="24"/>
      <c r="CS339" s="24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/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/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  <c r="FZ339" s="24"/>
      <c r="GA339" s="24"/>
      <c r="GB339" s="24"/>
      <c r="GC339" s="24"/>
      <c r="GD339" s="24"/>
      <c r="GE339" s="24"/>
      <c r="GF339" s="24"/>
      <c r="GG339" s="24"/>
      <c r="GH339" s="24"/>
      <c r="GI339" s="24"/>
      <c r="GJ339" s="24"/>
      <c r="GK339" s="24"/>
      <c r="GL339" s="24"/>
      <c r="GM339" s="24"/>
      <c r="GN339" s="24"/>
      <c r="GO339" s="24"/>
      <c r="GP339" s="24"/>
      <c r="GQ339" s="24"/>
      <c r="GR339" s="24"/>
    </row>
    <row r="340" spans="1:200" s="23" customFormat="1" ht="14.25" customHeight="1">
      <c r="A340" s="20"/>
      <c r="B340" s="21"/>
      <c r="C340" s="22"/>
      <c r="D340" s="22"/>
      <c r="E340" s="22"/>
      <c r="G340" s="22"/>
      <c r="H340" s="22"/>
      <c r="I340" s="22"/>
      <c r="K340" s="22"/>
      <c r="L340" s="22"/>
      <c r="M340" s="22"/>
      <c r="O340" s="22"/>
      <c r="P340" s="22"/>
      <c r="Q340" s="22"/>
      <c r="S340" s="22"/>
      <c r="T340" s="22"/>
      <c r="U340" s="22"/>
      <c r="W340" s="22"/>
      <c r="X340" s="22"/>
      <c r="Y340" s="22"/>
      <c r="AA340" s="22"/>
      <c r="AB340" s="22"/>
      <c r="AC340" s="22"/>
      <c r="AE340" s="24"/>
      <c r="AF340" s="24"/>
      <c r="AG340" s="24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6"/>
      <c r="AW340" s="24"/>
      <c r="AX340" s="24"/>
      <c r="AY340" s="24"/>
      <c r="AZ340" s="24"/>
      <c r="BA340" s="24"/>
      <c r="BB340" s="24"/>
      <c r="BC340" s="24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4"/>
      <c r="BP340" s="24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4"/>
      <c r="CC340" s="24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4"/>
      <c r="CP340" s="24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/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  <c r="FZ340" s="24"/>
      <c r="GA340" s="24"/>
      <c r="GB340" s="24"/>
      <c r="GC340" s="24"/>
      <c r="GD340" s="24"/>
      <c r="GE340" s="24"/>
      <c r="GF340" s="24"/>
      <c r="GG340" s="24"/>
      <c r="GH340" s="24"/>
      <c r="GI340" s="24"/>
      <c r="GJ340" s="24"/>
      <c r="GK340" s="24"/>
      <c r="GL340" s="24"/>
      <c r="GM340" s="24"/>
      <c r="GN340" s="24"/>
      <c r="GO340" s="24"/>
      <c r="GP340" s="24"/>
      <c r="GQ340" s="24"/>
      <c r="GR340" s="24"/>
    </row>
    <row r="341" spans="1:200" s="23" customFormat="1" ht="14.25" customHeight="1">
      <c r="A341" s="20"/>
      <c r="B341" s="21"/>
      <c r="C341" s="22"/>
      <c r="D341" s="22"/>
      <c r="E341" s="22"/>
      <c r="G341" s="22"/>
      <c r="H341" s="22"/>
      <c r="I341" s="22"/>
      <c r="K341" s="22"/>
      <c r="L341" s="22"/>
      <c r="M341" s="22"/>
      <c r="O341" s="22"/>
      <c r="P341" s="22"/>
      <c r="Q341" s="22"/>
      <c r="S341" s="22"/>
      <c r="T341" s="22"/>
      <c r="U341" s="22"/>
      <c r="W341" s="22"/>
      <c r="X341" s="22"/>
      <c r="Y341" s="22"/>
      <c r="AA341" s="22"/>
      <c r="AB341" s="22"/>
      <c r="AC341" s="22"/>
      <c r="AE341" s="24"/>
      <c r="AF341" s="24"/>
      <c r="AG341" s="24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6"/>
      <c r="AW341" s="24"/>
      <c r="AX341" s="24"/>
      <c r="AY341" s="24"/>
      <c r="AZ341" s="24"/>
      <c r="BA341" s="24"/>
      <c r="BB341" s="24"/>
      <c r="BC341" s="24"/>
      <c r="BD341" s="24"/>
      <c r="BE341" s="24"/>
      <c r="BF341" s="24"/>
      <c r="BG341" s="24"/>
      <c r="BH341" s="24"/>
      <c r="BI341" s="24"/>
      <c r="BJ341" s="24"/>
      <c r="BK341" s="24"/>
      <c r="BL341" s="24"/>
      <c r="BM341" s="24"/>
      <c r="BN341" s="24"/>
      <c r="BO341" s="24"/>
      <c r="BP341" s="24"/>
      <c r="BQ341" s="24"/>
      <c r="BR341" s="24"/>
      <c r="BS341" s="24"/>
      <c r="BT341" s="24"/>
      <c r="BU341" s="24"/>
      <c r="BV341" s="24"/>
      <c r="BW341" s="24"/>
      <c r="BX341" s="24"/>
      <c r="BY341" s="24"/>
      <c r="BZ341" s="24"/>
      <c r="CA341" s="24"/>
      <c r="CB341" s="24"/>
      <c r="CC341" s="24"/>
      <c r="CD341" s="24"/>
      <c r="CE341" s="24"/>
      <c r="CF341" s="24"/>
      <c r="CG341" s="24"/>
      <c r="CH341" s="24"/>
      <c r="CI341" s="24"/>
      <c r="CJ341" s="24"/>
      <c r="CK341" s="24"/>
      <c r="CL341" s="24"/>
      <c r="CM341" s="24"/>
      <c r="CN341" s="24"/>
      <c r="CO341" s="24"/>
      <c r="CP341" s="24"/>
      <c r="CQ341" s="24"/>
      <c r="CR341" s="24"/>
      <c r="CS341" s="24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  <c r="FZ341" s="24"/>
      <c r="GA341" s="24"/>
      <c r="GB341" s="24"/>
      <c r="GC341" s="24"/>
      <c r="GD341" s="24"/>
      <c r="GE341" s="24"/>
      <c r="GF341" s="24"/>
      <c r="GG341" s="24"/>
      <c r="GH341" s="24"/>
      <c r="GI341" s="24"/>
      <c r="GJ341" s="24"/>
      <c r="GK341" s="24"/>
      <c r="GL341" s="24"/>
      <c r="GM341" s="24"/>
      <c r="GN341" s="24"/>
      <c r="GO341" s="24"/>
      <c r="GP341" s="24"/>
      <c r="GQ341" s="24"/>
      <c r="GR341" s="24"/>
    </row>
    <row r="342" spans="1:200" s="23" customFormat="1" ht="14.25" customHeight="1">
      <c r="A342" s="20"/>
      <c r="B342" s="21"/>
      <c r="C342" s="22"/>
      <c r="D342" s="22"/>
      <c r="E342" s="22"/>
      <c r="G342" s="22"/>
      <c r="H342" s="22"/>
      <c r="I342" s="22"/>
      <c r="K342" s="22"/>
      <c r="L342" s="22"/>
      <c r="M342" s="22"/>
      <c r="O342" s="22"/>
      <c r="P342" s="22"/>
      <c r="Q342" s="22"/>
      <c r="S342" s="22"/>
      <c r="T342" s="22"/>
      <c r="U342" s="22"/>
      <c r="W342" s="22"/>
      <c r="X342" s="22"/>
      <c r="Y342" s="22"/>
      <c r="AA342" s="22"/>
      <c r="AB342" s="22"/>
      <c r="AC342" s="22"/>
      <c r="AE342" s="24"/>
      <c r="AF342" s="24"/>
      <c r="AG342" s="24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6"/>
      <c r="AW342" s="24"/>
      <c r="AX342" s="24"/>
      <c r="AY342" s="24"/>
      <c r="AZ342" s="24"/>
      <c r="BA342" s="24"/>
      <c r="BB342" s="24"/>
      <c r="BC342" s="24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4"/>
      <c r="BP342" s="24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4"/>
      <c r="CC342" s="24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4"/>
      <c r="CP342" s="24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24"/>
      <c r="GQ342" s="24"/>
      <c r="GR342" s="24"/>
    </row>
    <row r="343" spans="1:200" s="23" customFormat="1" ht="14.25" customHeight="1">
      <c r="A343" s="20"/>
      <c r="B343" s="21"/>
      <c r="C343" s="22"/>
      <c r="D343" s="22"/>
      <c r="E343" s="22"/>
      <c r="G343" s="22"/>
      <c r="H343" s="22"/>
      <c r="I343" s="22"/>
      <c r="K343" s="22"/>
      <c r="L343" s="22"/>
      <c r="M343" s="22"/>
      <c r="O343" s="22"/>
      <c r="P343" s="22"/>
      <c r="Q343" s="22"/>
      <c r="S343" s="22"/>
      <c r="T343" s="22"/>
      <c r="U343" s="22"/>
      <c r="W343" s="22"/>
      <c r="X343" s="22"/>
      <c r="Y343" s="22"/>
      <c r="AA343" s="22"/>
      <c r="AB343" s="22"/>
      <c r="AC343" s="22"/>
      <c r="AE343" s="24"/>
      <c r="AF343" s="24"/>
      <c r="AG343" s="24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6"/>
      <c r="AW343" s="24"/>
      <c r="AX343" s="24"/>
      <c r="AY343" s="24"/>
      <c r="AZ343" s="24"/>
      <c r="BA343" s="24"/>
      <c r="BB343" s="24"/>
      <c r="BC343" s="24"/>
      <c r="BD343" s="24"/>
      <c r="BE343" s="24"/>
      <c r="BF343" s="24"/>
      <c r="BG343" s="24"/>
      <c r="BH343" s="24"/>
      <c r="BI343" s="24"/>
      <c r="BJ343" s="24"/>
      <c r="BK343" s="24"/>
      <c r="BL343" s="24"/>
      <c r="BM343" s="24"/>
      <c r="BN343" s="24"/>
      <c r="BO343" s="24"/>
      <c r="BP343" s="24"/>
      <c r="BQ343" s="24"/>
      <c r="BR343" s="24"/>
      <c r="BS343" s="24"/>
      <c r="BT343" s="24"/>
      <c r="BU343" s="24"/>
      <c r="BV343" s="24"/>
      <c r="BW343" s="24"/>
      <c r="BX343" s="24"/>
      <c r="BY343" s="24"/>
      <c r="BZ343" s="24"/>
      <c r="CA343" s="24"/>
      <c r="CB343" s="24"/>
      <c r="CC343" s="24"/>
      <c r="CD343" s="24"/>
      <c r="CE343" s="24"/>
      <c r="CF343" s="24"/>
      <c r="CG343" s="24"/>
      <c r="CH343" s="24"/>
      <c r="CI343" s="24"/>
      <c r="CJ343" s="24"/>
      <c r="CK343" s="24"/>
      <c r="CL343" s="24"/>
      <c r="CM343" s="24"/>
      <c r="CN343" s="24"/>
      <c r="CO343" s="24"/>
      <c r="CP343" s="24"/>
      <c r="CQ343" s="24"/>
      <c r="CR343" s="24"/>
      <c r="CS343" s="24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  <c r="EH343" s="24"/>
      <c r="EI343" s="24"/>
      <c r="EJ343" s="24"/>
      <c r="EK343" s="24"/>
      <c r="EL343" s="24"/>
      <c r="EM343" s="24"/>
      <c r="EN343" s="24"/>
      <c r="EO343" s="24"/>
      <c r="EP343" s="24"/>
      <c r="EQ343" s="24"/>
      <c r="ER343" s="24"/>
      <c r="ES343" s="24"/>
      <c r="ET343" s="24"/>
      <c r="EU343" s="24"/>
      <c r="EV343" s="24"/>
      <c r="EW343" s="24"/>
      <c r="EX343" s="24"/>
      <c r="EY343" s="24"/>
      <c r="EZ343" s="24"/>
      <c r="FA343" s="24"/>
      <c r="FB343" s="24"/>
      <c r="FC343" s="24"/>
      <c r="FD343" s="24"/>
      <c r="FE343" s="24"/>
      <c r="FF343" s="24"/>
      <c r="FG343" s="24"/>
      <c r="FH343" s="24"/>
      <c r="FI343" s="24"/>
      <c r="FJ343" s="24"/>
      <c r="FK343" s="24"/>
      <c r="FL343" s="24"/>
      <c r="FM343" s="24"/>
      <c r="FN343" s="24"/>
      <c r="FO343" s="24"/>
      <c r="FP343" s="24"/>
      <c r="FQ343" s="24"/>
      <c r="FR343" s="24"/>
      <c r="FS343" s="24"/>
      <c r="FT343" s="24"/>
      <c r="FU343" s="24"/>
      <c r="FV343" s="24"/>
      <c r="FW343" s="24"/>
      <c r="FX343" s="24"/>
      <c r="FY343" s="24"/>
      <c r="FZ343" s="24"/>
      <c r="GA343" s="24"/>
      <c r="GB343" s="24"/>
      <c r="GC343" s="24"/>
      <c r="GD343" s="24"/>
      <c r="GE343" s="24"/>
      <c r="GF343" s="24"/>
      <c r="GG343" s="24"/>
      <c r="GH343" s="24"/>
      <c r="GI343" s="24"/>
      <c r="GJ343" s="24"/>
      <c r="GK343" s="24"/>
      <c r="GL343" s="24"/>
      <c r="GM343" s="24"/>
      <c r="GN343" s="24"/>
      <c r="GO343" s="24"/>
      <c r="GP343" s="24"/>
      <c r="GQ343" s="24"/>
      <c r="GR343" s="24"/>
    </row>
    <row r="344" spans="1:200" s="23" customFormat="1" ht="14.25" customHeight="1">
      <c r="A344" s="20"/>
      <c r="B344" s="21"/>
      <c r="C344" s="22"/>
      <c r="D344" s="22"/>
      <c r="E344" s="22"/>
      <c r="G344" s="22"/>
      <c r="H344" s="22"/>
      <c r="I344" s="22"/>
      <c r="K344" s="22"/>
      <c r="L344" s="22"/>
      <c r="M344" s="22"/>
      <c r="O344" s="22"/>
      <c r="P344" s="22"/>
      <c r="Q344" s="22"/>
      <c r="S344" s="22"/>
      <c r="T344" s="22"/>
      <c r="U344" s="22"/>
      <c r="W344" s="22"/>
      <c r="X344" s="22"/>
      <c r="Y344" s="22"/>
      <c r="AA344" s="22"/>
      <c r="AB344" s="22"/>
      <c r="AC344" s="22"/>
      <c r="AE344" s="24"/>
      <c r="AF344" s="24"/>
      <c r="AG344" s="24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6"/>
      <c r="AW344" s="24"/>
      <c r="AX344" s="24"/>
      <c r="AY344" s="24"/>
      <c r="AZ344" s="24"/>
      <c r="BA344" s="24"/>
      <c r="BB344" s="24"/>
      <c r="BC344" s="24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4"/>
      <c r="BP344" s="24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4"/>
      <c r="CC344" s="24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4"/>
      <c r="CP344" s="24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4"/>
      <c r="EC344" s="24"/>
      <c r="ED344" s="24"/>
      <c r="EE344" s="24"/>
      <c r="EF344" s="24"/>
      <c r="EG344" s="24"/>
      <c r="EH344" s="24"/>
      <c r="EI344" s="24"/>
      <c r="EJ344" s="24"/>
      <c r="EK344" s="24"/>
      <c r="EL344" s="24"/>
      <c r="EM344" s="24"/>
      <c r="EN344" s="24"/>
      <c r="EO344" s="24"/>
      <c r="EP344" s="24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4"/>
      <c r="FC344" s="24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4"/>
      <c r="FP344" s="24"/>
      <c r="FQ344" s="24"/>
      <c r="FR344" s="24"/>
      <c r="FS344" s="24"/>
      <c r="FT344" s="24"/>
      <c r="FU344" s="24"/>
      <c r="FV344" s="24"/>
      <c r="FW344" s="24"/>
      <c r="FX344" s="24"/>
      <c r="FY344" s="24"/>
      <c r="FZ344" s="24"/>
      <c r="GA344" s="24"/>
      <c r="GB344" s="24"/>
      <c r="GC344" s="24"/>
      <c r="GD344" s="24"/>
      <c r="GE344" s="24"/>
      <c r="GF344" s="24"/>
      <c r="GG344" s="24"/>
      <c r="GH344" s="24"/>
      <c r="GI344" s="24"/>
      <c r="GJ344" s="24"/>
      <c r="GK344" s="24"/>
      <c r="GL344" s="24"/>
      <c r="GM344" s="24"/>
      <c r="GN344" s="24"/>
      <c r="GO344" s="24"/>
      <c r="GP344" s="24"/>
      <c r="GQ344" s="24"/>
      <c r="GR344" s="24"/>
    </row>
    <row r="345" spans="1:200" s="23" customFormat="1" ht="14.25" customHeight="1">
      <c r="A345" s="20"/>
      <c r="B345" s="21"/>
      <c r="C345" s="22"/>
      <c r="D345" s="22"/>
      <c r="E345" s="22"/>
      <c r="G345" s="22"/>
      <c r="H345" s="22"/>
      <c r="I345" s="22"/>
      <c r="K345" s="22"/>
      <c r="L345" s="22"/>
      <c r="M345" s="22"/>
      <c r="O345" s="22"/>
      <c r="P345" s="22"/>
      <c r="Q345" s="22"/>
      <c r="S345" s="22"/>
      <c r="T345" s="22"/>
      <c r="U345" s="22"/>
      <c r="W345" s="22"/>
      <c r="X345" s="22"/>
      <c r="Y345" s="22"/>
      <c r="AA345" s="22"/>
      <c r="AB345" s="22"/>
      <c r="AC345" s="22"/>
      <c r="AE345" s="24"/>
      <c r="AF345" s="24"/>
      <c r="AG345" s="24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6"/>
      <c r="AW345" s="24"/>
      <c r="AX345" s="24"/>
      <c r="AY345" s="24"/>
      <c r="AZ345" s="24"/>
      <c r="BA345" s="24"/>
      <c r="BB345" s="24"/>
      <c r="BC345" s="24"/>
      <c r="BD345" s="24"/>
      <c r="BE345" s="24"/>
      <c r="BF345" s="24"/>
      <c r="BG345" s="24"/>
      <c r="BH345" s="24"/>
      <c r="BI345" s="24"/>
      <c r="BJ345" s="24"/>
      <c r="BK345" s="24"/>
      <c r="BL345" s="24"/>
      <c r="BM345" s="24"/>
      <c r="BN345" s="24"/>
      <c r="BO345" s="24"/>
      <c r="BP345" s="24"/>
      <c r="BQ345" s="24"/>
      <c r="BR345" s="24"/>
      <c r="BS345" s="24"/>
      <c r="BT345" s="24"/>
      <c r="BU345" s="24"/>
      <c r="BV345" s="24"/>
      <c r="BW345" s="24"/>
      <c r="BX345" s="24"/>
      <c r="BY345" s="24"/>
      <c r="BZ345" s="24"/>
      <c r="CA345" s="24"/>
      <c r="CB345" s="24"/>
      <c r="CC345" s="24"/>
      <c r="CD345" s="24"/>
      <c r="CE345" s="24"/>
      <c r="CF345" s="24"/>
      <c r="CG345" s="24"/>
      <c r="CH345" s="24"/>
      <c r="CI345" s="24"/>
      <c r="CJ345" s="24"/>
      <c r="CK345" s="24"/>
      <c r="CL345" s="24"/>
      <c r="CM345" s="24"/>
      <c r="CN345" s="24"/>
      <c r="CO345" s="24"/>
      <c r="CP345" s="24"/>
      <c r="CQ345" s="24"/>
      <c r="CR345" s="24"/>
      <c r="CS345" s="24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  <c r="EH345" s="24"/>
      <c r="EI345" s="24"/>
      <c r="EJ345" s="24"/>
      <c r="EK345" s="24"/>
      <c r="EL345" s="24"/>
      <c r="EM345" s="24"/>
      <c r="EN345" s="24"/>
      <c r="EO345" s="24"/>
      <c r="EP345" s="24"/>
      <c r="EQ345" s="24"/>
      <c r="ER345" s="24"/>
      <c r="ES345" s="24"/>
      <c r="ET345" s="24"/>
      <c r="EU345" s="24"/>
      <c r="EV345" s="24"/>
      <c r="EW345" s="24"/>
      <c r="EX345" s="24"/>
      <c r="EY345" s="24"/>
      <c r="EZ345" s="24"/>
      <c r="FA345" s="24"/>
      <c r="FB345" s="24"/>
      <c r="FC345" s="24"/>
      <c r="FD345" s="24"/>
      <c r="FE345" s="24"/>
      <c r="FF345" s="24"/>
      <c r="FG345" s="24"/>
      <c r="FH345" s="24"/>
      <c r="FI345" s="24"/>
      <c r="FJ345" s="24"/>
      <c r="FK345" s="24"/>
      <c r="FL345" s="24"/>
      <c r="FM345" s="24"/>
      <c r="FN345" s="24"/>
      <c r="FO345" s="24"/>
      <c r="FP345" s="24"/>
      <c r="FQ345" s="24"/>
      <c r="FR345" s="24"/>
      <c r="FS345" s="24"/>
      <c r="FT345" s="24"/>
      <c r="FU345" s="24"/>
      <c r="FV345" s="24"/>
      <c r="FW345" s="24"/>
      <c r="FX345" s="24"/>
      <c r="FY345" s="24"/>
      <c r="FZ345" s="24"/>
      <c r="GA345" s="24"/>
      <c r="GB345" s="24"/>
      <c r="GC345" s="24"/>
      <c r="GD345" s="24"/>
      <c r="GE345" s="24"/>
      <c r="GF345" s="24"/>
      <c r="GG345" s="24"/>
      <c r="GH345" s="24"/>
      <c r="GI345" s="24"/>
      <c r="GJ345" s="24"/>
      <c r="GK345" s="24"/>
      <c r="GL345" s="24"/>
      <c r="GM345" s="24"/>
      <c r="GN345" s="24"/>
      <c r="GO345" s="24"/>
      <c r="GP345" s="24"/>
      <c r="GQ345" s="24"/>
      <c r="GR345" s="24"/>
    </row>
    <row r="346" spans="1:200" s="23" customFormat="1" ht="14.25" customHeight="1">
      <c r="A346" s="20"/>
      <c r="B346" s="21"/>
      <c r="C346" s="22"/>
      <c r="D346" s="22"/>
      <c r="E346" s="22"/>
      <c r="G346" s="22"/>
      <c r="H346" s="22"/>
      <c r="I346" s="22"/>
      <c r="K346" s="22"/>
      <c r="L346" s="22"/>
      <c r="M346" s="22"/>
      <c r="O346" s="22"/>
      <c r="P346" s="22"/>
      <c r="Q346" s="22"/>
      <c r="S346" s="22"/>
      <c r="T346" s="22"/>
      <c r="U346" s="22"/>
      <c r="W346" s="22"/>
      <c r="X346" s="22"/>
      <c r="Y346" s="22"/>
      <c r="AA346" s="22"/>
      <c r="AB346" s="22"/>
      <c r="AC346" s="22"/>
      <c r="AE346" s="24"/>
      <c r="AF346" s="24"/>
      <c r="AG346" s="24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6"/>
      <c r="AW346" s="24"/>
      <c r="AX346" s="24"/>
      <c r="AY346" s="24"/>
      <c r="AZ346" s="24"/>
      <c r="BA346" s="24"/>
      <c r="BB346" s="24"/>
      <c r="BC346" s="24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4"/>
      <c r="BP346" s="24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4"/>
      <c r="CC346" s="24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4"/>
      <c r="CP346" s="24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4"/>
      <c r="EP346" s="24"/>
      <c r="EQ346" s="24"/>
      <c r="ER346" s="24"/>
      <c r="ES346" s="24"/>
      <c r="ET346" s="24"/>
      <c r="EU346" s="24"/>
      <c r="EV346" s="24"/>
      <c r="EW346" s="24"/>
      <c r="EX346" s="24"/>
      <c r="EY346" s="24"/>
      <c r="EZ346" s="24"/>
      <c r="FA346" s="24"/>
      <c r="FB346" s="24"/>
      <c r="FC346" s="24"/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4"/>
      <c r="FP346" s="24"/>
      <c r="FQ346" s="24"/>
      <c r="FR346" s="24"/>
      <c r="FS346" s="24"/>
      <c r="FT346" s="24"/>
      <c r="FU346" s="24"/>
      <c r="FV346" s="24"/>
      <c r="FW346" s="24"/>
      <c r="FX346" s="24"/>
      <c r="FY346" s="24"/>
      <c r="FZ346" s="24"/>
      <c r="GA346" s="24"/>
      <c r="GB346" s="24"/>
      <c r="GC346" s="24"/>
      <c r="GD346" s="24"/>
      <c r="GE346" s="24"/>
      <c r="GF346" s="24"/>
      <c r="GG346" s="24"/>
      <c r="GH346" s="24"/>
      <c r="GI346" s="24"/>
      <c r="GJ346" s="24"/>
      <c r="GK346" s="24"/>
      <c r="GL346" s="24"/>
      <c r="GM346" s="24"/>
      <c r="GN346" s="24"/>
      <c r="GO346" s="24"/>
      <c r="GP346" s="24"/>
      <c r="GQ346" s="24"/>
      <c r="GR346" s="24"/>
    </row>
    <row r="347" spans="1:200" s="23" customFormat="1" ht="14.25" customHeight="1">
      <c r="A347" s="20"/>
      <c r="B347" s="21"/>
      <c r="C347" s="22"/>
      <c r="D347" s="22"/>
      <c r="E347" s="22"/>
      <c r="G347" s="22"/>
      <c r="H347" s="22"/>
      <c r="I347" s="22"/>
      <c r="K347" s="22"/>
      <c r="L347" s="22"/>
      <c r="M347" s="22"/>
      <c r="O347" s="22"/>
      <c r="P347" s="22"/>
      <c r="Q347" s="22"/>
      <c r="S347" s="22"/>
      <c r="T347" s="22"/>
      <c r="U347" s="22"/>
      <c r="W347" s="22"/>
      <c r="X347" s="22"/>
      <c r="Y347" s="22"/>
      <c r="AA347" s="22"/>
      <c r="AB347" s="22"/>
      <c r="AC347" s="22"/>
      <c r="AE347" s="24"/>
      <c r="AF347" s="24"/>
      <c r="AG347" s="24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6"/>
      <c r="AW347" s="24"/>
      <c r="AX347" s="24"/>
      <c r="AY347" s="24"/>
      <c r="AZ347" s="24"/>
      <c r="BA347" s="24"/>
      <c r="BB347" s="24"/>
      <c r="BC347" s="24"/>
      <c r="BD347" s="24"/>
      <c r="BE347" s="24"/>
      <c r="BF347" s="24"/>
      <c r="BG347" s="24"/>
      <c r="BH347" s="24"/>
      <c r="BI347" s="24"/>
      <c r="BJ347" s="24"/>
      <c r="BK347" s="24"/>
      <c r="BL347" s="24"/>
      <c r="BM347" s="24"/>
      <c r="BN347" s="24"/>
      <c r="BO347" s="24"/>
      <c r="BP347" s="24"/>
      <c r="BQ347" s="24"/>
      <c r="BR347" s="24"/>
      <c r="BS347" s="24"/>
      <c r="BT347" s="24"/>
      <c r="BU347" s="24"/>
      <c r="BV347" s="24"/>
      <c r="BW347" s="24"/>
      <c r="BX347" s="24"/>
      <c r="BY347" s="24"/>
      <c r="BZ347" s="24"/>
      <c r="CA347" s="24"/>
      <c r="CB347" s="24"/>
      <c r="CC347" s="24"/>
      <c r="CD347" s="24"/>
      <c r="CE347" s="24"/>
      <c r="CF347" s="24"/>
      <c r="CG347" s="24"/>
      <c r="CH347" s="24"/>
      <c r="CI347" s="24"/>
      <c r="CJ347" s="24"/>
      <c r="CK347" s="24"/>
      <c r="CL347" s="24"/>
      <c r="CM347" s="24"/>
      <c r="CN347" s="24"/>
      <c r="CO347" s="24"/>
      <c r="CP347" s="24"/>
      <c r="CQ347" s="24"/>
      <c r="CR347" s="24"/>
      <c r="CS347" s="24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4"/>
      <c r="EF347" s="24"/>
      <c r="EG347" s="24"/>
      <c r="EH347" s="24"/>
      <c r="EI347" s="24"/>
      <c r="EJ347" s="24"/>
      <c r="EK347" s="24"/>
      <c r="EL347" s="24"/>
      <c r="EM347" s="24"/>
      <c r="EN347" s="24"/>
      <c r="EO347" s="24"/>
      <c r="EP347" s="24"/>
      <c r="EQ347" s="24"/>
      <c r="ER347" s="24"/>
      <c r="ES347" s="24"/>
      <c r="ET347" s="24"/>
      <c r="EU347" s="24"/>
      <c r="EV347" s="24"/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4"/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  <c r="FZ347" s="24"/>
      <c r="GA347" s="24"/>
      <c r="GB347" s="24"/>
      <c r="GC347" s="24"/>
      <c r="GD347" s="24"/>
      <c r="GE347" s="24"/>
      <c r="GF347" s="24"/>
      <c r="GG347" s="24"/>
      <c r="GH347" s="24"/>
      <c r="GI347" s="24"/>
      <c r="GJ347" s="24"/>
      <c r="GK347" s="24"/>
      <c r="GL347" s="24"/>
      <c r="GM347" s="24"/>
      <c r="GN347" s="24"/>
      <c r="GO347" s="24"/>
      <c r="GP347" s="24"/>
      <c r="GQ347" s="24"/>
      <c r="GR347" s="24"/>
    </row>
    <row r="348" spans="1:200" s="23" customFormat="1" ht="14.25" customHeight="1">
      <c r="A348" s="20"/>
      <c r="B348" s="21"/>
      <c r="C348" s="22"/>
      <c r="D348" s="22"/>
      <c r="E348" s="22"/>
      <c r="G348" s="22"/>
      <c r="H348" s="22"/>
      <c r="I348" s="22"/>
      <c r="K348" s="22"/>
      <c r="L348" s="22"/>
      <c r="M348" s="22"/>
      <c r="O348" s="22"/>
      <c r="P348" s="22"/>
      <c r="Q348" s="22"/>
      <c r="S348" s="22"/>
      <c r="T348" s="22"/>
      <c r="U348" s="22"/>
      <c r="W348" s="22"/>
      <c r="X348" s="22"/>
      <c r="Y348" s="22"/>
      <c r="AA348" s="22"/>
      <c r="AB348" s="22"/>
      <c r="AC348" s="22"/>
      <c r="AE348" s="24"/>
      <c r="AF348" s="24"/>
      <c r="AG348" s="24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6"/>
      <c r="AW348" s="24"/>
      <c r="AX348" s="24"/>
      <c r="AY348" s="24"/>
      <c r="AZ348" s="24"/>
      <c r="BA348" s="24"/>
      <c r="BB348" s="24"/>
      <c r="BC348" s="24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4"/>
      <c r="BP348" s="24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4"/>
      <c r="CC348" s="24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4"/>
      <c r="CP348" s="24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24"/>
      <c r="DJ348" s="24"/>
      <c r="DK348" s="24"/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4"/>
      <c r="EP348" s="24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4"/>
      <c r="FC348" s="24"/>
      <c r="FD348" s="24"/>
      <c r="FE348" s="24"/>
      <c r="FF348" s="24"/>
      <c r="FG348" s="24"/>
      <c r="FH348" s="24"/>
      <c r="FI348" s="24"/>
      <c r="FJ348" s="24"/>
      <c r="FK348" s="24"/>
      <c r="FL348" s="24"/>
      <c r="FM348" s="24"/>
      <c r="FN348" s="24"/>
      <c r="FO348" s="24"/>
      <c r="FP348" s="24"/>
      <c r="FQ348" s="24"/>
      <c r="FR348" s="24"/>
      <c r="FS348" s="24"/>
      <c r="FT348" s="24"/>
      <c r="FU348" s="24"/>
      <c r="FV348" s="24"/>
      <c r="FW348" s="24"/>
      <c r="FX348" s="24"/>
      <c r="FY348" s="24"/>
      <c r="FZ348" s="24"/>
      <c r="GA348" s="24"/>
      <c r="GB348" s="24"/>
      <c r="GC348" s="24"/>
      <c r="GD348" s="24"/>
      <c r="GE348" s="24"/>
      <c r="GF348" s="24"/>
      <c r="GG348" s="24"/>
      <c r="GH348" s="24"/>
      <c r="GI348" s="24"/>
      <c r="GJ348" s="24"/>
      <c r="GK348" s="24"/>
      <c r="GL348" s="24"/>
      <c r="GM348" s="24"/>
      <c r="GN348" s="24"/>
      <c r="GO348" s="24"/>
      <c r="GP348" s="24"/>
      <c r="GQ348" s="24"/>
      <c r="GR348" s="24"/>
    </row>
    <row r="349" spans="1:200" s="23" customFormat="1" ht="14.25" customHeight="1">
      <c r="A349" s="20"/>
      <c r="B349" s="21"/>
      <c r="C349" s="22"/>
      <c r="D349" s="22"/>
      <c r="E349" s="22"/>
      <c r="G349" s="22"/>
      <c r="H349" s="22"/>
      <c r="I349" s="22"/>
      <c r="K349" s="22"/>
      <c r="L349" s="22"/>
      <c r="M349" s="22"/>
      <c r="O349" s="22"/>
      <c r="P349" s="22"/>
      <c r="Q349" s="22"/>
      <c r="S349" s="22"/>
      <c r="T349" s="22"/>
      <c r="U349" s="22"/>
      <c r="W349" s="22"/>
      <c r="X349" s="22"/>
      <c r="Y349" s="22"/>
      <c r="AA349" s="22"/>
      <c r="AB349" s="22"/>
      <c r="AC349" s="22"/>
      <c r="AE349" s="24"/>
      <c r="AF349" s="24"/>
      <c r="AG349" s="24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6"/>
      <c r="AW349" s="24"/>
      <c r="AX349" s="24"/>
      <c r="AY349" s="24"/>
      <c r="AZ349" s="24"/>
      <c r="BA349" s="24"/>
      <c r="BB349" s="24"/>
      <c r="BC349" s="24"/>
      <c r="BD349" s="24"/>
      <c r="BE349" s="24"/>
      <c r="BF349" s="24"/>
      <c r="BG349" s="24"/>
      <c r="BH349" s="24"/>
      <c r="BI349" s="24"/>
      <c r="BJ349" s="24"/>
      <c r="BK349" s="24"/>
      <c r="BL349" s="24"/>
      <c r="BM349" s="24"/>
      <c r="BN349" s="24"/>
      <c r="BO349" s="24"/>
      <c r="BP349" s="24"/>
      <c r="BQ349" s="24"/>
      <c r="BR349" s="24"/>
      <c r="BS349" s="24"/>
      <c r="BT349" s="24"/>
      <c r="BU349" s="24"/>
      <c r="BV349" s="24"/>
      <c r="BW349" s="24"/>
      <c r="BX349" s="24"/>
      <c r="BY349" s="24"/>
      <c r="BZ349" s="24"/>
      <c r="CA349" s="24"/>
      <c r="CB349" s="24"/>
      <c r="CC349" s="24"/>
      <c r="CD349" s="24"/>
      <c r="CE349" s="24"/>
      <c r="CF349" s="24"/>
      <c r="CG349" s="24"/>
      <c r="CH349" s="24"/>
      <c r="CI349" s="24"/>
      <c r="CJ349" s="24"/>
      <c r="CK349" s="24"/>
      <c r="CL349" s="24"/>
      <c r="CM349" s="24"/>
      <c r="CN349" s="24"/>
      <c r="CO349" s="24"/>
      <c r="CP349" s="24"/>
      <c r="CQ349" s="24"/>
      <c r="CR349" s="24"/>
      <c r="CS349" s="24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24"/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/>
      <c r="ED349" s="24"/>
      <c r="EE349" s="24"/>
      <c r="EF349" s="24"/>
      <c r="EG349" s="24"/>
      <c r="EH349" s="24"/>
      <c r="EI349" s="24"/>
      <c r="EJ349" s="24"/>
      <c r="EK349" s="24"/>
      <c r="EL349" s="24"/>
      <c r="EM349" s="24"/>
      <c r="EN349" s="24"/>
      <c r="EO349" s="24"/>
      <c r="EP349" s="24"/>
      <c r="EQ349" s="24"/>
      <c r="ER349" s="24"/>
      <c r="ES349" s="24"/>
      <c r="ET349" s="24"/>
      <c r="EU349" s="24"/>
      <c r="EV349" s="24"/>
      <c r="EW349" s="24"/>
      <c r="EX349" s="24"/>
      <c r="EY349" s="24"/>
      <c r="EZ349" s="24"/>
      <c r="FA349" s="24"/>
      <c r="FB349" s="24"/>
      <c r="FC349" s="24"/>
      <c r="FD349" s="24"/>
      <c r="FE349" s="24"/>
      <c r="FF349" s="24"/>
      <c r="FG349" s="24"/>
      <c r="FH349" s="24"/>
      <c r="FI349" s="24"/>
      <c r="FJ349" s="24"/>
      <c r="FK349" s="24"/>
      <c r="FL349" s="24"/>
      <c r="FM349" s="24"/>
      <c r="FN349" s="24"/>
      <c r="FO349" s="24"/>
      <c r="FP349" s="24"/>
      <c r="FQ349" s="24"/>
      <c r="FR349" s="24"/>
      <c r="FS349" s="24"/>
      <c r="FT349" s="24"/>
      <c r="FU349" s="24"/>
      <c r="FV349" s="24"/>
      <c r="FW349" s="24"/>
      <c r="FX349" s="24"/>
      <c r="FY349" s="24"/>
      <c r="FZ349" s="24"/>
      <c r="GA349" s="24"/>
      <c r="GB349" s="24"/>
      <c r="GC349" s="24"/>
      <c r="GD349" s="24"/>
      <c r="GE349" s="24"/>
      <c r="GF349" s="24"/>
      <c r="GG349" s="24"/>
      <c r="GH349" s="24"/>
      <c r="GI349" s="24"/>
      <c r="GJ349" s="24"/>
      <c r="GK349" s="24"/>
      <c r="GL349" s="24"/>
      <c r="GM349" s="24"/>
      <c r="GN349" s="24"/>
      <c r="GO349" s="24"/>
      <c r="GP349" s="24"/>
      <c r="GQ349" s="24"/>
      <c r="GR349" s="24"/>
    </row>
    <row r="350" spans="1:200" s="23" customFormat="1" ht="14.25" customHeight="1">
      <c r="A350" s="20"/>
      <c r="B350" s="21"/>
      <c r="C350" s="22"/>
      <c r="D350" s="22"/>
      <c r="E350" s="22"/>
      <c r="G350" s="22"/>
      <c r="H350" s="22"/>
      <c r="I350" s="22"/>
      <c r="K350" s="22"/>
      <c r="L350" s="22"/>
      <c r="M350" s="22"/>
      <c r="O350" s="22"/>
      <c r="P350" s="22"/>
      <c r="Q350" s="22"/>
      <c r="S350" s="22"/>
      <c r="T350" s="22"/>
      <c r="U350" s="22"/>
      <c r="W350" s="22"/>
      <c r="X350" s="22"/>
      <c r="Y350" s="22"/>
      <c r="AA350" s="22"/>
      <c r="AB350" s="22"/>
      <c r="AC350" s="22"/>
      <c r="AE350" s="24"/>
      <c r="AF350" s="24"/>
      <c r="AG350" s="24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6"/>
      <c r="AW350" s="24"/>
      <c r="AX350" s="24"/>
      <c r="AY350" s="24"/>
      <c r="AZ350" s="24"/>
      <c r="BA350" s="24"/>
      <c r="BB350" s="24"/>
      <c r="BC350" s="24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4"/>
      <c r="BP350" s="24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4"/>
      <c r="CC350" s="24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4"/>
      <c r="CP350" s="24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4"/>
      <c r="EP350" s="24"/>
      <c r="EQ350" s="24"/>
      <c r="ER350" s="24"/>
      <c r="ES350" s="24"/>
      <c r="ET350" s="24"/>
      <c r="EU350" s="24"/>
      <c r="EV350" s="24"/>
      <c r="EW350" s="24"/>
      <c r="EX350" s="24"/>
      <c r="EY350" s="24"/>
      <c r="EZ350" s="24"/>
      <c r="FA350" s="24"/>
      <c r="FB350" s="24"/>
      <c r="FC350" s="24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4"/>
      <c r="FP350" s="24"/>
      <c r="FQ350" s="24"/>
      <c r="FR350" s="24"/>
      <c r="FS350" s="24"/>
      <c r="FT350" s="24"/>
      <c r="FU350" s="24"/>
      <c r="FV350" s="24"/>
      <c r="FW350" s="24"/>
      <c r="FX350" s="24"/>
      <c r="FY350" s="24"/>
      <c r="FZ350" s="24"/>
      <c r="GA350" s="24"/>
      <c r="GB350" s="24"/>
      <c r="GC350" s="24"/>
      <c r="GD350" s="24"/>
      <c r="GE350" s="24"/>
      <c r="GF350" s="24"/>
      <c r="GG350" s="24"/>
      <c r="GH350" s="24"/>
      <c r="GI350" s="24"/>
      <c r="GJ350" s="24"/>
      <c r="GK350" s="24"/>
      <c r="GL350" s="24"/>
      <c r="GM350" s="24"/>
      <c r="GN350" s="24"/>
      <c r="GO350" s="24"/>
      <c r="GP350" s="24"/>
      <c r="GQ350" s="24"/>
      <c r="GR350" s="24"/>
    </row>
    <row r="351" spans="1:200" s="23" customFormat="1" ht="14.25" customHeight="1">
      <c r="A351" s="20"/>
      <c r="B351" s="21"/>
      <c r="C351" s="22"/>
      <c r="D351" s="22"/>
      <c r="E351" s="22"/>
      <c r="G351" s="22"/>
      <c r="H351" s="22"/>
      <c r="I351" s="22"/>
      <c r="K351" s="22"/>
      <c r="L351" s="22"/>
      <c r="M351" s="22"/>
      <c r="O351" s="22"/>
      <c r="P351" s="22"/>
      <c r="Q351" s="22"/>
      <c r="S351" s="22"/>
      <c r="T351" s="22"/>
      <c r="U351" s="22"/>
      <c r="W351" s="22"/>
      <c r="X351" s="22"/>
      <c r="Y351" s="22"/>
      <c r="AA351" s="22"/>
      <c r="AB351" s="22"/>
      <c r="AC351" s="22"/>
      <c r="AE351" s="24"/>
      <c r="AF351" s="24"/>
      <c r="AG351" s="24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6"/>
      <c r="AW351" s="24"/>
      <c r="AX351" s="24"/>
      <c r="AY351" s="24"/>
      <c r="AZ351" s="24"/>
      <c r="BA351" s="24"/>
      <c r="BB351" s="24"/>
      <c r="BC351" s="24"/>
      <c r="BD351" s="24"/>
      <c r="BE351" s="24"/>
      <c r="BF351" s="24"/>
      <c r="BG351" s="24"/>
      <c r="BH351" s="24"/>
      <c r="BI351" s="24"/>
      <c r="BJ351" s="24"/>
      <c r="BK351" s="24"/>
      <c r="BL351" s="24"/>
      <c r="BM351" s="24"/>
      <c r="BN351" s="24"/>
      <c r="BO351" s="24"/>
      <c r="BP351" s="24"/>
      <c r="BQ351" s="24"/>
      <c r="BR351" s="24"/>
      <c r="BS351" s="24"/>
      <c r="BT351" s="24"/>
      <c r="BU351" s="24"/>
      <c r="BV351" s="24"/>
      <c r="BW351" s="24"/>
      <c r="BX351" s="24"/>
      <c r="BY351" s="24"/>
      <c r="BZ351" s="24"/>
      <c r="CA351" s="24"/>
      <c r="CB351" s="24"/>
      <c r="CC351" s="24"/>
      <c r="CD351" s="24"/>
      <c r="CE351" s="24"/>
      <c r="CF351" s="24"/>
      <c r="CG351" s="24"/>
      <c r="CH351" s="24"/>
      <c r="CI351" s="24"/>
      <c r="CJ351" s="24"/>
      <c r="CK351" s="24"/>
      <c r="CL351" s="24"/>
      <c r="CM351" s="24"/>
      <c r="CN351" s="24"/>
      <c r="CO351" s="24"/>
      <c r="CP351" s="24"/>
      <c r="CQ351" s="24"/>
      <c r="CR351" s="24"/>
      <c r="CS351" s="24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  <c r="EH351" s="24"/>
      <c r="EI351" s="24"/>
      <c r="EJ351" s="24"/>
      <c r="EK351" s="24"/>
      <c r="EL351" s="24"/>
      <c r="EM351" s="24"/>
      <c r="EN351" s="24"/>
      <c r="EO351" s="24"/>
      <c r="EP351" s="24"/>
      <c r="EQ351" s="24"/>
      <c r="ER351" s="24"/>
      <c r="ES351" s="24"/>
      <c r="ET351" s="24"/>
      <c r="EU351" s="24"/>
      <c r="EV351" s="24"/>
      <c r="EW351" s="24"/>
      <c r="EX351" s="24"/>
      <c r="EY351" s="24"/>
      <c r="EZ351" s="24"/>
      <c r="FA351" s="24"/>
      <c r="FB351" s="24"/>
      <c r="FC351" s="24"/>
      <c r="FD351" s="24"/>
      <c r="FE351" s="24"/>
      <c r="FF351" s="24"/>
      <c r="FG351" s="24"/>
      <c r="FH351" s="24"/>
      <c r="FI351" s="24"/>
      <c r="FJ351" s="24"/>
      <c r="FK351" s="24"/>
      <c r="FL351" s="24"/>
      <c r="FM351" s="24"/>
      <c r="FN351" s="24"/>
      <c r="FO351" s="24"/>
      <c r="FP351" s="24"/>
      <c r="FQ351" s="24"/>
      <c r="FR351" s="24"/>
      <c r="FS351" s="24"/>
      <c r="FT351" s="24"/>
      <c r="FU351" s="24"/>
      <c r="FV351" s="24"/>
      <c r="FW351" s="24"/>
      <c r="FX351" s="24"/>
      <c r="FY351" s="24"/>
      <c r="FZ351" s="24"/>
      <c r="GA351" s="24"/>
      <c r="GB351" s="24"/>
      <c r="GC351" s="24"/>
      <c r="GD351" s="24"/>
      <c r="GE351" s="24"/>
      <c r="GF351" s="24"/>
      <c r="GG351" s="24"/>
      <c r="GH351" s="24"/>
      <c r="GI351" s="24"/>
      <c r="GJ351" s="24"/>
      <c r="GK351" s="24"/>
      <c r="GL351" s="24"/>
      <c r="GM351" s="24"/>
      <c r="GN351" s="24"/>
      <c r="GO351" s="24"/>
      <c r="GP351" s="24"/>
      <c r="GQ351" s="24"/>
      <c r="GR351" s="24"/>
    </row>
    <row r="352" spans="1:200" s="23" customFormat="1" ht="14.25" customHeight="1">
      <c r="A352" s="20"/>
      <c r="B352" s="21"/>
      <c r="C352" s="22"/>
      <c r="D352" s="22"/>
      <c r="E352" s="22"/>
      <c r="G352" s="22"/>
      <c r="H352" s="22"/>
      <c r="I352" s="22"/>
      <c r="K352" s="22"/>
      <c r="L352" s="22"/>
      <c r="M352" s="22"/>
      <c r="O352" s="22"/>
      <c r="P352" s="22"/>
      <c r="Q352" s="22"/>
      <c r="S352" s="22"/>
      <c r="T352" s="22"/>
      <c r="U352" s="22"/>
      <c r="W352" s="22"/>
      <c r="X352" s="22"/>
      <c r="Y352" s="22"/>
      <c r="AA352" s="22"/>
      <c r="AB352" s="22"/>
      <c r="AC352" s="22"/>
      <c r="AE352" s="24"/>
      <c r="AF352" s="24"/>
      <c r="AG352" s="24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6"/>
      <c r="AW352" s="24"/>
      <c r="AX352" s="24"/>
      <c r="AY352" s="24"/>
      <c r="AZ352" s="24"/>
      <c r="BA352" s="24"/>
      <c r="BB352" s="24"/>
      <c r="BC352" s="24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4"/>
      <c r="BP352" s="24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4"/>
      <c r="CC352" s="24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4"/>
      <c r="CP352" s="24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  <c r="FZ352" s="24"/>
      <c r="GA352" s="24"/>
      <c r="GB352" s="24"/>
      <c r="GC352" s="24"/>
      <c r="GD352" s="24"/>
      <c r="GE352" s="24"/>
      <c r="GF352" s="24"/>
      <c r="GG352" s="24"/>
      <c r="GH352" s="24"/>
      <c r="GI352" s="24"/>
      <c r="GJ352" s="24"/>
      <c r="GK352" s="24"/>
      <c r="GL352" s="24"/>
      <c r="GM352" s="24"/>
      <c r="GN352" s="24"/>
      <c r="GO352" s="24"/>
      <c r="GP352" s="24"/>
      <c r="GQ352" s="24"/>
      <c r="GR352" s="24"/>
    </row>
    <row r="353" spans="1:200" s="23" customFormat="1" ht="14.25" customHeight="1">
      <c r="A353" s="20"/>
      <c r="B353" s="21"/>
      <c r="C353" s="22"/>
      <c r="D353" s="22"/>
      <c r="E353" s="22"/>
      <c r="G353" s="22"/>
      <c r="H353" s="22"/>
      <c r="I353" s="22"/>
      <c r="K353" s="22"/>
      <c r="L353" s="22"/>
      <c r="M353" s="22"/>
      <c r="O353" s="22"/>
      <c r="P353" s="22"/>
      <c r="Q353" s="22"/>
      <c r="S353" s="22"/>
      <c r="T353" s="22"/>
      <c r="U353" s="22"/>
      <c r="W353" s="22"/>
      <c r="X353" s="22"/>
      <c r="Y353" s="22"/>
      <c r="AA353" s="22"/>
      <c r="AB353" s="22"/>
      <c r="AC353" s="22"/>
      <c r="AE353" s="24"/>
      <c r="AF353" s="24"/>
      <c r="AG353" s="24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6"/>
      <c r="AW353" s="24"/>
      <c r="AX353" s="24"/>
      <c r="AY353" s="24"/>
      <c r="AZ353" s="24"/>
      <c r="BA353" s="24"/>
      <c r="BB353" s="24"/>
      <c r="BC353" s="24"/>
      <c r="BD353" s="24"/>
      <c r="BE353" s="24"/>
      <c r="BF353" s="24"/>
      <c r="BG353" s="24"/>
      <c r="BH353" s="24"/>
      <c r="BI353" s="24"/>
      <c r="BJ353" s="24"/>
      <c r="BK353" s="24"/>
      <c r="BL353" s="24"/>
      <c r="BM353" s="24"/>
      <c r="BN353" s="24"/>
      <c r="BO353" s="24"/>
      <c r="BP353" s="24"/>
      <c r="BQ353" s="24"/>
      <c r="BR353" s="24"/>
      <c r="BS353" s="24"/>
      <c r="BT353" s="24"/>
      <c r="BU353" s="24"/>
      <c r="BV353" s="24"/>
      <c r="BW353" s="24"/>
      <c r="BX353" s="24"/>
      <c r="BY353" s="24"/>
      <c r="BZ353" s="24"/>
      <c r="CA353" s="24"/>
      <c r="CB353" s="24"/>
      <c r="CC353" s="24"/>
      <c r="CD353" s="24"/>
      <c r="CE353" s="24"/>
      <c r="CF353" s="24"/>
      <c r="CG353" s="24"/>
      <c r="CH353" s="24"/>
      <c r="CI353" s="24"/>
      <c r="CJ353" s="24"/>
      <c r="CK353" s="24"/>
      <c r="CL353" s="24"/>
      <c r="CM353" s="24"/>
      <c r="CN353" s="24"/>
      <c r="CO353" s="24"/>
      <c r="CP353" s="24"/>
      <c r="CQ353" s="24"/>
      <c r="CR353" s="24"/>
      <c r="CS353" s="24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  <c r="EH353" s="24"/>
      <c r="EI353" s="24"/>
      <c r="EJ353" s="24"/>
      <c r="EK353" s="24"/>
      <c r="EL353" s="24"/>
      <c r="EM353" s="24"/>
      <c r="EN353" s="24"/>
      <c r="EO353" s="24"/>
      <c r="EP353" s="24"/>
      <c r="EQ353" s="24"/>
      <c r="ER353" s="24"/>
      <c r="ES353" s="24"/>
      <c r="ET353" s="24"/>
      <c r="EU353" s="24"/>
      <c r="EV353" s="24"/>
      <c r="EW353" s="24"/>
      <c r="EX353" s="24"/>
      <c r="EY353" s="24"/>
      <c r="EZ353" s="24"/>
      <c r="FA353" s="24"/>
      <c r="FB353" s="24"/>
      <c r="FC353" s="24"/>
      <c r="FD353" s="24"/>
      <c r="FE353" s="24"/>
      <c r="FF353" s="24"/>
      <c r="FG353" s="24"/>
      <c r="FH353" s="24"/>
      <c r="FI353" s="24"/>
      <c r="FJ353" s="24"/>
      <c r="FK353" s="24"/>
      <c r="FL353" s="24"/>
      <c r="FM353" s="24"/>
      <c r="FN353" s="24"/>
      <c r="FO353" s="24"/>
      <c r="FP353" s="24"/>
      <c r="FQ353" s="24"/>
      <c r="FR353" s="24"/>
      <c r="FS353" s="24"/>
      <c r="FT353" s="24"/>
      <c r="FU353" s="24"/>
      <c r="FV353" s="24"/>
      <c r="FW353" s="24"/>
      <c r="FX353" s="24"/>
      <c r="FY353" s="24"/>
      <c r="FZ353" s="24"/>
      <c r="GA353" s="24"/>
      <c r="GB353" s="24"/>
      <c r="GC353" s="24"/>
      <c r="GD353" s="24"/>
      <c r="GE353" s="24"/>
      <c r="GF353" s="24"/>
      <c r="GG353" s="24"/>
      <c r="GH353" s="24"/>
      <c r="GI353" s="24"/>
      <c r="GJ353" s="24"/>
      <c r="GK353" s="24"/>
      <c r="GL353" s="24"/>
      <c r="GM353" s="24"/>
      <c r="GN353" s="24"/>
      <c r="GO353" s="24"/>
      <c r="GP353" s="24"/>
      <c r="GQ353" s="24"/>
      <c r="GR353" s="24"/>
    </row>
    <row r="354" spans="1:200" s="23" customFormat="1" ht="14.25" customHeight="1">
      <c r="A354" s="20"/>
      <c r="B354" s="21"/>
      <c r="C354" s="22"/>
      <c r="D354" s="22"/>
      <c r="E354" s="22"/>
      <c r="G354" s="22"/>
      <c r="H354" s="22"/>
      <c r="I354" s="22"/>
      <c r="K354" s="22"/>
      <c r="L354" s="22"/>
      <c r="M354" s="22"/>
      <c r="O354" s="22"/>
      <c r="P354" s="22"/>
      <c r="Q354" s="22"/>
      <c r="S354" s="22"/>
      <c r="T354" s="22"/>
      <c r="U354" s="22"/>
      <c r="W354" s="22"/>
      <c r="X354" s="22"/>
      <c r="Y354" s="22"/>
      <c r="AA354" s="22"/>
      <c r="AB354" s="22"/>
      <c r="AC354" s="22"/>
      <c r="AE354" s="24"/>
      <c r="AF354" s="24"/>
      <c r="AG354" s="24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6"/>
      <c r="AW354" s="24"/>
      <c r="AX354" s="24"/>
      <c r="AY354" s="24"/>
      <c r="AZ354" s="24"/>
      <c r="BA354" s="24"/>
      <c r="BB354" s="24"/>
      <c r="BC354" s="24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4"/>
      <c r="BP354" s="24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4"/>
      <c r="CC354" s="24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4"/>
      <c r="CP354" s="24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24"/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4"/>
      <c r="EC354" s="24"/>
      <c r="ED354" s="24"/>
      <c r="EE354" s="24"/>
      <c r="EF354" s="24"/>
      <c r="EG354" s="24"/>
      <c r="EH354" s="24"/>
      <c r="EI354" s="24"/>
      <c r="EJ354" s="24"/>
      <c r="EK354" s="24"/>
      <c r="EL354" s="24"/>
      <c r="EM354" s="24"/>
      <c r="EN354" s="24"/>
      <c r="EO354" s="24"/>
      <c r="EP354" s="24"/>
      <c r="EQ354" s="24"/>
      <c r="ER354" s="24"/>
      <c r="ES354" s="24"/>
      <c r="ET354" s="24"/>
      <c r="EU354" s="24"/>
      <c r="EV354" s="24"/>
      <c r="EW354" s="24"/>
      <c r="EX354" s="24"/>
      <c r="EY354" s="24"/>
      <c r="EZ354" s="24"/>
      <c r="FA354" s="24"/>
      <c r="FB354" s="24"/>
      <c r="FC354" s="24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4"/>
      <c r="FP354" s="24"/>
      <c r="FQ354" s="24"/>
      <c r="FR354" s="24"/>
      <c r="FS354" s="24"/>
      <c r="FT354" s="24"/>
      <c r="FU354" s="24"/>
      <c r="FV354" s="24"/>
      <c r="FW354" s="24"/>
      <c r="FX354" s="24"/>
      <c r="FY354" s="24"/>
      <c r="FZ354" s="24"/>
      <c r="GA354" s="24"/>
      <c r="GB354" s="24"/>
      <c r="GC354" s="24"/>
      <c r="GD354" s="24"/>
      <c r="GE354" s="24"/>
      <c r="GF354" s="24"/>
      <c r="GG354" s="24"/>
      <c r="GH354" s="24"/>
      <c r="GI354" s="24"/>
      <c r="GJ354" s="24"/>
      <c r="GK354" s="24"/>
      <c r="GL354" s="24"/>
      <c r="GM354" s="24"/>
      <c r="GN354" s="24"/>
      <c r="GO354" s="24"/>
      <c r="GP354" s="24"/>
      <c r="GQ354" s="24"/>
      <c r="GR354" s="24"/>
    </row>
    <row r="355" spans="1:200" s="23" customFormat="1" ht="14.25" customHeight="1">
      <c r="A355" s="20"/>
      <c r="B355" s="21"/>
      <c r="C355" s="22"/>
      <c r="D355" s="22"/>
      <c r="E355" s="22"/>
      <c r="G355" s="22"/>
      <c r="H355" s="22"/>
      <c r="I355" s="22"/>
      <c r="K355" s="22"/>
      <c r="L355" s="22"/>
      <c r="M355" s="22"/>
      <c r="O355" s="22"/>
      <c r="P355" s="22"/>
      <c r="Q355" s="22"/>
      <c r="S355" s="22"/>
      <c r="T355" s="22"/>
      <c r="U355" s="22"/>
      <c r="W355" s="22"/>
      <c r="X355" s="22"/>
      <c r="Y355" s="22"/>
      <c r="AA355" s="22"/>
      <c r="AB355" s="22"/>
      <c r="AC355" s="22"/>
      <c r="AE355" s="24"/>
      <c r="AF355" s="24"/>
      <c r="AG355" s="24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6"/>
      <c r="AW355" s="24"/>
      <c r="AX355" s="24"/>
      <c r="AY355" s="24"/>
      <c r="AZ355" s="24"/>
      <c r="BA355" s="24"/>
      <c r="BB355" s="24"/>
      <c r="BC355" s="24"/>
      <c r="BD355" s="24"/>
      <c r="BE355" s="24"/>
      <c r="BF355" s="24"/>
      <c r="BG355" s="24"/>
      <c r="BH355" s="24"/>
      <c r="BI355" s="24"/>
      <c r="BJ355" s="24"/>
      <c r="BK355" s="24"/>
      <c r="BL355" s="24"/>
      <c r="BM355" s="24"/>
      <c r="BN355" s="24"/>
      <c r="BO355" s="24"/>
      <c r="BP355" s="24"/>
      <c r="BQ355" s="24"/>
      <c r="BR355" s="24"/>
      <c r="BS355" s="24"/>
      <c r="BT355" s="24"/>
      <c r="BU355" s="24"/>
      <c r="BV355" s="24"/>
      <c r="BW355" s="24"/>
      <c r="BX355" s="24"/>
      <c r="BY355" s="24"/>
      <c r="BZ355" s="24"/>
      <c r="CA355" s="24"/>
      <c r="CB355" s="24"/>
      <c r="CC355" s="24"/>
      <c r="CD355" s="24"/>
      <c r="CE355" s="24"/>
      <c r="CF355" s="24"/>
      <c r="CG355" s="24"/>
      <c r="CH355" s="24"/>
      <c r="CI355" s="24"/>
      <c r="CJ355" s="24"/>
      <c r="CK355" s="24"/>
      <c r="CL355" s="24"/>
      <c r="CM355" s="24"/>
      <c r="CN355" s="24"/>
      <c r="CO355" s="24"/>
      <c r="CP355" s="24"/>
      <c r="CQ355" s="24"/>
      <c r="CR355" s="24"/>
      <c r="CS355" s="24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24"/>
      <c r="DJ355" s="24"/>
      <c r="DK355" s="24"/>
      <c r="DL355" s="24"/>
      <c r="DM355" s="24"/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  <c r="EH355" s="24"/>
      <c r="EI355" s="24"/>
      <c r="EJ355" s="24"/>
      <c r="EK355" s="24"/>
      <c r="EL355" s="24"/>
      <c r="EM355" s="24"/>
      <c r="EN355" s="24"/>
      <c r="EO355" s="24"/>
      <c r="EP355" s="24"/>
      <c r="EQ355" s="24"/>
      <c r="ER355" s="24"/>
      <c r="ES355" s="24"/>
      <c r="ET355" s="24"/>
      <c r="EU355" s="24"/>
      <c r="EV355" s="24"/>
      <c r="EW355" s="24"/>
      <c r="EX355" s="24"/>
      <c r="EY355" s="24"/>
      <c r="EZ355" s="24"/>
      <c r="FA355" s="24"/>
      <c r="FB355" s="24"/>
      <c r="FC355" s="24"/>
      <c r="FD355" s="24"/>
      <c r="FE355" s="24"/>
      <c r="FF355" s="24"/>
      <c r="FG355" s="24"/>
      <c r="FH355" s="24"/>
      <c r="FI355" s="24"/>
      <c r="FJ355" s="24"/>
      <c r="FK355" s="24"/>
      <c r="FL355" s="24"/>
      <c r="FM355" s="24"/>
      <c r="FN355" s="24"/>
      <c r="FO355" s="24"/>
      <c r="FP355" s="24"/>
      <c r="FQ355" s="24"/>
      <c r="FR355" s="24"/>
      <c r="FS355" s="24"/>
      <c r="FT355" s="24"/>
      <c r="FU355" s="24"/>
      <c r="FV355" s="24"/>
      <c r="FW355" s="24"/>
      <c r="FX355" s="24"/>
      <c r="FY355" s="24"/>
      <c r="FZ355" s="24"/>
      <c r="GA355" s="24"/>
      <c r="GB355" s="24"/>
      <c r="GC355" s="24"/>
      <c r="GD355" s="24"/>
      <c r="GE355" s="24"/>
      <c r="GF355" s="24"/>
      <c r="GG355" s="24"/>
      <c r="GH355" s="24"/>
      <c r="GI355" s="24"/>
      <c r="GJ355" s="24"/>
      <c r="GK355" s="24"/>
      <c r="GL355" s="24"/>
      <c r="GM355" s="24"/>
      <c r="GN355" s="24"/>
      <c r="GO355" s="24"/>
      <c r="GP355" s="24"/>
      <c r="GQ355" s="24"/>
      <c r="GR355" s="24"/>
    </row>
    <row r="356" spans="1:200" s="23" customFormat="1" ht="14.25" customHeight="1">
      <c r="A356" s="20"/>
      <c r="B356" s="21"/>
      <c r="C356" s="22"/>
      <c r="D356" s="22"/>
      <c r="E356" s="22"/>
      <c r="G356" s="22"/>
      <c r="H356" s="22"/>
      <c r="I356" s="22"/>
      <c r="K356" s="22"/>
      <c r="L356" s="22"/>
      <c r="M356" s="22"/>
      <c r="O356" s="22"/>
      <c r="P356" s="22"/>
      <c r="Q356" s="22"/>
      <c r="S356" s="22"/>
      <c r="T356" s="22"/>
      <c r="U356" s="22"/>
      <c r="W356" s="22"/>
      <c r="X356" s="22"/>
      <c r="Y356" s="22"/>
      <c r="AA356" s="22"/>
      <c r="AB356" s="22"/>
      <c r="AC356" s="22"/>
      <c r="AE356" s="24"/>
      <c r="AF356" s="24"/>
      <c r="AG356" s="24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6"/>
      <c r="AW356" s="24"/>
      <c r="AX356" s="24"/>
      <c r="AY356" s="24"/>
      <c r="AZ356" s="24"/>
      <c r="BA356" s="24"/>
      <c r="BB356" s="24"/>
      <c r="BC356" s="24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4"/>
      <c r="BP356" s="24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4"/>
      <c r="CC356" s="24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4"/>
      <c r="CP356" s="24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4"/>
      <c r="EP356" s="24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/>
      <c r="FA356" s="24"/>
      <c r="FB356" s="24"/>
      <c r="FC356" s="24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4"/>
      <c r="FP356" s="24"/>
      <c r="FQ356" s="24"/>
      <c r="FR356" s="24"/>
      <c r="FS356" s="24"/>
      <c r="FT356" s="24"/>
      <c r="FU356" s="24"/>
      <c r="FV356" s="24"/>
      <c r="FW356" s="24"/>
      <c r="FX356" s="24"/>
      <c r="FY356" s="24"/>
      <c r="FZ356" s="24"/>
      <c r="GA356" s="24"/>
      <c r="GB356" s="24"/>
      <c r="GC356" s="24"/>
      <c r="GD356" s="24"/>
      <c r="GE356" s="24"/>
      <c r="GF356" s="24"/>
      <c r="GG356" s="24"/>
      <c r="GH356" s="24"/>
      <c r="GI356" s="24"/>
      <c r="GJ356" s="24"/>
      <c r="GK356" s="24"/>
      <c r="GL356" s="24"/>
      <c r="GM356" s="24"/>
      <c r="GN356" s="24"/>
      <c r="GO356" s="24"/>
      <c r="GP356" s="24"/>
      <c r="GQ356" s="24"/>
      <c r="GR356" s="24"/>
    </row>
    <row r="357" spans="1:200" s="23" customFormat="1" ht="14.25" customHeight="1">
      <c r="A357" s="20"/>
      <c r="B357" s="21"/>
      <c r="C357" s="22"/>
      <c r="D357" s="22"/>
      <c r="E357" s="22"/>
      <c r="G357" s="22"/>
      <c r="H357" s="22"/>
      <c r="I357" s="22"/>
      <c r="K357" s="22"/>
      <c r="L357" s="22"/>
      <c r="M357" s="22"/>
      <c r="O357" s="22"/>
      <c r="P357" s="22"/>
      <c r="Q357" s="22"/>
      <c r="S357" s="22"/>
      <c r="T357" s="22"/>
      <c r="U357" s="22"/>
      <c r="W357" s="22"/>
      <c r="X357" s="22"/>
      <c r="Y357" s="22"/>
      <c r="AA357" s="22"/>
      <c r="AB357" s="22"/>
      <c r="AC357" s="22"/>
      <c r="AE357" s="24"/>
      <c r="AF357" s="24"/>
      <c r="AG357" s="24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6"/>
      <c r="AW357" s="24"/>
      <c r="AX357" s="24"/>
      <c r="AY357" s="24"/>
      <c r="AZ357" s="24"/>
      <c r="BA357" s="24"/>
      <c r="BB357" s="24"/>
      <c r="BC357" s="24"/>
      <c r="BD357" s="24"/>
      <c r="BE357" s="24"/>
      <c r="BF357" s="24"/>
      <c r="BG357" s="24"/>
      <c r="BH357" s="24"/>
      <c r="BI357" s="24"/>
      <c r="BJ357" s="24"/>
      <c r="BK357" s="24"/>
      <c r="BL357" s="24"/>
      <c r="BM357" s="24"/>
      <c r="BN357" s="24"/>
      <c r="BO357" s="24"/>
      <c r="BP357" s="24"/>
      <c r="BQ357" s="24"/>
      <c r="BR357" s="24"/>
      <c r="BS357" s="24"/>
      <c r="BT357" s="24"/>
      <c r="BU357" s="24"/>
      <c r="BV357" s="24"/>
      <c r="BW357" s="24"/>
      <c r="BX357" s="24"/>
      <c r="BY357" s="24"/>
      <c r="BZ357" s="24"/>
      <c r="CA357" s="24"/>
      <c r="CB357" s="24"/>
      <c r="CC357" s="24"/>
      <c r="CD357" s="24"/>
      <c r="CE357" s="24"/>
      <c r="CF357" s="24"/>
      <c r="CG357" s="24"/>
      <c r="CH357" s="24"/>
      <c r="CI357" s="24"/>
      <c r="CJ357" s="24"/>
      <c r="CK357" s="24"/>
      <c r="CL357" s="24"/>
      <c r="CM357" s="24"/>
      <c r="CN357" s="24"/>
      <c r="CO357" s="24"/>
      <c r="CP357" s="24"/>
      <c r="CQ357" s="24"/>
      <c r="CR357" s="24"/>
      <c r="CS357" s="24"/>
      <c r="CT357" s="24"/>
      <c r="CU357" s="24"/>
      <c r="CV357" s="24"/>
      <c r="CW357" s="24"/>
      <c r="CX357" s="24"/>
      <c r="CY357" s="24"/>
      <c r="CZ357" s="24"/>
      <c r="DA357" s="24"/>
      <c r="DB357" s="24"/>
      <c r="DC357" s="24"/>
      <c r="DD357" s="24"/>
      <c r="DE357" s="24"/>
      <c r="DF357" s="24"/>
      <c r="DG357" s="24"/>
      <c r="DH357" s="24"/>
      <c r="DI357" s="24"/>
      <c r="DJ357" s="24"/>
      <c r="DK357" s="24"/>
      <c r="DL357" s="24"/>
      <c r="DM357" s="24"/>
      <c r="DN357" s="24"/>
      <c r="DO357" s="24"/>
      <c r="DP357" s="24"/>
      <c r="DQ357" s="24"/>
      <c r="DR357" s="24"/>
      <c r="DS357" s="24"/>
      <c r="DT357" s="24"/>
      <c r="DU357" s="24"/>
      <c r="DV357" s="24"/>
      <c r="DW357" s="24"/>
      <c r="DX357" s="24"/>
      <c r="DY357" s="24"/>
      <c r="DZ357" s="24"/>
      <c r="EA357" s="24"/>
      <c r="EB357" s="24"/>
      <c r="EC357" s="24"/>
      <c r="ED357" s="24"/>
      <c r="EE357" s="24"/>
      <c r="EF357" s="24"/>
      <c r="EG357" s="24"/>
      <c r="EH357" s="24"/>
      <c r="EI357" s="24"/>
      <c r="EJ357" s="24"/>
      <c r="EK357" s="24"/>
      <c r="EL357" s="24"/>
      <c r="EM357" s="24"/>
      <c r="EN357" s="24"/>
      <c r="EO357" s="24"/>
      <c r="EP357" s="24"/>
      <c r="EQ357" s="24"/>
      <c r="ER357" s="24"/>
      <c r="ES357" s="24"/>
      <c r="ET357" s="24"/>
      <c r="EU357" s="24"/>
      <c r="EV357" s="24"/>
      <c r="EW357" s="24"/>
      <c r="EX357" s="24"/>
      <c r="EY357" s="24"/>
      <c r="EZ357" s="24"/>
      <c r="FA357" s="24"/>
      <c r="FB357" s="24"/>
      <c r="FC357" s="24"/>
      <c r="FD357" s="24"/>
      <c r="FE357" s="24"/>
      <c r="FF357" s="24"/>
      <c r="FG357" s="24"/>
      <c r="FH357" s="24"/>
      <c r="FI357" s="24"/>
      <c r="FJ357" s="24"/>
      <c r="FK357" s="24"/>
      <c r="FL357" s="24"/>
      <c r="FM357" s="24"/>
      <c r="FN357" s="24"/>
      <c r="FO357" s="24"/>
      <c r="FP357" s="24"/>
      <c r="FQ357" s="24"/>
      <c r="FR357" s="24"/>
      <c r="FS357" s="24"/>
      <c r="FT357" s="24"/>
      <c r="FU357" s="24"/>
      <c r="FV357" s="24"/>
      <c r="FW357" s="24"/>
      <c r="FX357" s="24"/>
      <c r="FY357" s="24"/>
      <c r="FZ357" s="24"/>
      <c r="GA357" s="24"/>
      <c r="GB357" s="24"/>
      <c r="GC357" s="24"/>
      <c r="GD357" s="24"/>
      <c r="GE357" s="24"/>
      <c r="GF357" s="24"/>
      <c r="GG357" s="24"/>
      <c r="GH357" s="24"/>
      <c r="GI357" s="24"/>
      <c r="GJ357" s="24"/>
      <c r="GK357" s="24"/>
      <c r="GL357" s="24"/>
      <c r="GM357" s="24"/>
      <c r="GN357" s="24"/>
      <c r="GO357" s="24"/>
      <c r="GP357" s="24"/>
      <c r="GQ357" s="24"/>
      <c r="GR357" s="24"/>
    </row>
    <row r="358" spans="1:200" s="23" customFormat="1" ht="14.25" customHeight="1">
      <c r="A358" s="20"/>
      <c r="B358" s="21"/>
      <c r="C358" s="22"/>
      <c r="D358" s="22"/>
      <c r="E358" s="22"/>
      <c r="G358" s="22"/>
      <c r="H358" s="22"/>
      <c r="I358" s="22"/>
      <c r="K358" s="22"/>
      <c r="L358" s="22"/>
      <c r="M358" s="22"/>
      <c r="O358" s="22"/>
      <c r="P358" s="22"/>
      <c r="Q358" s="22"/>
      <c r="S358" s="22"/>
      <c r="T358" s="22"/>
      <c r="U358" s="22"/>
      <c r="W358" s="22"/>
      <c r="X358" s="22"/>
      <c r="Y358" s="22"/>
      <c r="AA358" s="22"/>
      <c r="AB358" s="22"/>
      <c r="AC358" s="22"/>
      <c r="AE358" s="24"/>
      <c r="AF358" s="24"/>
      <c r="AG358" s="24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6"/>
      <c r="AW358" s="24"/>
      <c r="AX358" s="24"/>
      <c r="AY358" s="24"/>
      <c r="AZ358" s="24"/>
      <c r="BA358" s="24"/>
      <c r="BB358" s="24"/>
      <c r="BC358" s="24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4"/>
      <c r="BP358" s="24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4"/>
      <c r="CC358" s="24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4"/>
      <c r="CP358" s="24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4"/>
      <c r="DC358" s="24"/>
      <c r="DD358" s="24"/>
      <c r="DE358" s="24"/>
      <c r="DF358" s="24"/>
      <c r="DG358" s="24"/>
      <c r="DH358" s="24"/>
      <c r="DI358" s="24"/>
      <c r="DJ358" s="24"/>
      <c r="DK358" s="24"/>
      <c r="DL358" s="24"/>
      <c r="DM358" s="24"/>
      <c r="DN358" s="24"/>
      <c r="DO358" s="24"/>
      <c r="DP358" s="24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24"/>
      <c r="EC358" s="24"/>
      <c r="ED358" s="24"/>
      <c r="EE358" s="24"/>
      <c r="EF358" s="24"/>
      <c r="EG358" s="24"/>
      <c r="EH358" s="24"/>
      <c r="EI358" s="24"/>
      <c r="EJ358" s="24"/>
      <c r="EK358" s="24"/>
      <c r="EL358" s="24"/>
      <c r="EM358" s="24"/>
      <c r="EN358" s="24"/>
      <c r="EO358" s="24"/>
      <c r="EP358" s="24"/>
      <c r="EQ358" s="24"/>
      <c r="ER358" s="24"/>
      <c r="ES358" s="24"/>
      <c r="ET358" s="24"/>
      <c r="EU358" s="24"/>
      <c r="EV358" s="24"/>
      <c r="EW358" s="24"/>
      <c r="EX358" s="24"/>
      <c r="EY358" s="24"/>
      <c r="EZ358" s="24"/>
      <c r="FA358" s="24"/>
      <c r="FB358" s="24"/>
      <c r="FC358" s="24"/>
      <c r="FD358" s="24"/>
      <c r="FE358" s="24"/>
      <c r="FF358" s="24"/>
      <c r="FG358" s="24"/>
      <c r="FH358" s="24"/>
      <c r="FI358" s="24"/>
      <c r="FJ358" s="24"/>
      <c r="FK358" s="24"/>
      <c r="FL358" s="24"/>
      <c r="FM358" s="24"/>
      <c r="FN358" s="24"/>
      <c r="FO358" s="24"/>
      <c r="FP358" s="24"/>
      <c r="FQ358" s="24"/>
      <c r="FR358" s="24"/>
      <c r="FS358" s="24"/>
      <c r="FT358" s="24"/>
      <c r="FU358" s="24"/>
      <c r="FV358" s="24"/>
      <c r="FW358" s="24"/>
      <c r="FX358" s="24"/>
      <c r="FY358" s="24"/>
      <c r="FZ358" s="24"/>
      <c r="GA358" s="24"/>
      <c r="GB358" s="24"/>
      <c r="GC358" s="24"/>
      <c r="GD358" s="24"/>
      <c r="GE358" s="24"/>
      <c r="GF358" s="24"/>
      <c r="GG358" s="24"/>
      <c r="GH358" s="24"/>
      <c r="GI358" s="24"/>
      <c r="GJ358" s="24"/>
      <c r="GK358" s="24"/>
      <c r="GL358" s="24"/>
      <c r="GM358" s="24"/>
      <c r="GN358" s="24"/>
      <c r="GO358" s="24"/>
      <c r="GP358" s="24"/>
      <c r="GQ358" s="24"/>
      <c r="GR358" s="24"/>
    </row>
    <row r="359" spans="1:200" s="23" customFormat="1" ht="14.25" customHeight="1">
      <c r="A359" s="20"/>
      <c r="B359" s="21"/>
      <c r="C359" s="22"/>
      <c r="D359" s="22"/>
      <c r="E359" s="22"/>
      <c r="G359" s="22"/>
      <c r="H359" s="22"/>
      <c r="I359" s="22"/>
      <c r="K359" s="22"/>
      <c r="L359" s="22"/>
      <c r="M359" s="22"/>
      <c r="O359" s="22"/>
      <c r="P359" s="22"/>
      <c r="Q359" s="22"/>
      <c r="S359" s="22"/>
      <c r="T359" s="22"/>
      <c r="U359" s="22"/>
      <c r="W359" s="22"/>
      <c r="X359" s="22"/>
      <c r="Y359" s="22"/>
      <c r="AA359" s="22"/>
      <c r="AB359" s="22"/>
      <c r="AC359" s="22"/>
      <c r="AE359" s="24"/>
      <c r="AF359" s="24"/>
      <c r="AG359" s="24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6"/>
      <c r="AW359" s="24"/>
      <c r="AX359" s="24"/>
      <c r="AY359" s="24"/>
      <c r="AZ359" s="24"/>
      <c r="BA359" s="24"/>
      <c r="BB359" s="24"/>
      <c r="BC359" s="24"/>
      <c r="BD359" s="24"/>
      <c r="BE359" s="24"/>
      <c r="BF359" s="24"/>
      <c r="BG359" s="24"/>
      <c r="BH359" s="24"/>
      <c r="BI359" s="24"/>
      <c r="BJ359" s="24"/>
      <c r="BK359" s="24"/>
      <c r="BL359" s="24"/>
      <c r="BM359" s="24"/>
      <c r="BN359" s="24"/>
      <c r="BO359" s="24"/>
      <c r="BP359" s="24"/>
      <c r="BQ359" s="24"/>
      <c r="BR359" s="24"/>
      <c r="BS359" s="24"/>
      <c r="BT359" s="24"/>
      <c r="BU359" s="24"/>
      <c r="BV359" s="24"/>
      <c r="BW359" s="24"/>
      <c r="BX359" s="24"/>
      <c r="BY359" s="24"/>
      <c r="BZ359" s="24"/>
      <c r="CA359" s="24"/>
      <c r="CB359" s="24"/>
      <c r="CC359" s="24"/>
      <c r="CD359" s="24"/>
      <c r="CE359" s="24"/>
      <c r="CF359" s="24"/>
      <c r="CG359" s="24"/>
      <c r="CH359" s="24"/>
      <c r="CI359" s="24"/>
      <c r="CJ359" s="24"/>
      <c r="CK359" s="24"/>
      <c r="CL359" s="24"/>
      <c r="CM359" s="24"/>
      <c r="CN359" s="24"/>
      <c r="CO359" s="24"/>
      <c r="CP359" s="24"/>
      <c r="CQ359" s="24"/>
      <c r="CR359" s="24"/>
      <c r="CS359" s="24"/>
      <c r="CT359" s="24"/>
      <c r="CU359" s="24"/>
      <c r="CV359" s="24"/>
      <c r="CW359" s="24"/>
      <c r="CX359" s="24"/>
      <c r="CY359" s="24"/>
      <c r="CZ359" s="24"/>
      <c r="DA359" s="24"/>
      <c r="DB359" s="24"/>
      <c r="DC359" s="24"/>
      <c r="DD359" s="24"/>
      <c r="DE359" s="24"/>
      <c r="DF359" s="24"/>
      <c r="DG359" s="24"/>
      <c r="DH359" s="24"/>
      <c r="DI359" s="24"/>
      <c r="DJ359" s="24"/>
      <c r="DK359" s="24"/>
      <c r="DL359" s="24"/>
      <c r="DM359" s="24"/>
      <c r="DN359" s="24"/>
      <c r="DO359" s="24"/>
      <c r="DP359" s="24"/>
      <c r="DQ359" s="24"/>
      <c r="DR359" s="24"/>
      <c r="DS359" s="24"/>
      <c r="DT359" s="24"/>
      <c r="DU359" s="24"/>
      <c r="DV359" s="24"/>
      <c r="DW359" s="24"/>
      <c r="DX359" s="24"/>
      <c r="DY359" s="24"/>
      <c r="DZ359" s="24"/>
      <c r="EA359" s="24"/>
      <c r="EB359" s="24"/>
      <c r="EC359" s="24"/>
      <c r="ED359" s="24"/>
      <c r="EE359" s="24"/>
      <c r="EF359" s="24"/>
      <c r="EG359" s="24"/>
      <c r="EH359" s="24"/>
      <c r="EI359" s="24"/>
      <c r="EJ359" s="24"/>
      <c r="EK359" s="24"/>
      <c r="EL359" s="24"/>
      <c r="EM359" s="24"/>
      <c r="EN359" s="24"/>
      <c r="EO359" s="24"/>
      <c r="EP359" s="24"/>
      <c r="EQ359" s="24"/>
      <c r="ER359" s="24"/>
      <c r="ES359" s="24"/>
      <c r="ET359" s="24"/>
      <c r="EU359" s="24"/>
      <c r="EV359" s="24"/>
      <c r="EW359" s="24"/>
      <c r="EX359" s="24"/>
      <c r="EY359" s="24"/>
      <c r="EZ359" s="24"/>
      <c r="FA359" s="24"/>
      <c r="FB359" s="24"/>
      <c r="FC359" s="24"/>
      <c r="FD359" s="24"/>
      <c r="FE359" s="24"/>
      <c r="FF359" s="24"/>
      <c r="FG359" s="24"/>
      <c r="FH359" s="24"/>
      <c r="FI359" s="24"/>
      <c r="FJ359" s="24"/>
      <c r="FK359" s="24"/>
      <c r="FL359" s="24"/>
      <c r="FM359" s="24"/>
      <c r="FN359" s="24"/>
      <c r="FO359" s="24"/>
      <c r="FP359" s="24"/>
      <c r="FQ359" s="24"/>
      <c r="FR359" s="24"/>
      <c r="FS359" s="24"/>
      <c r="FT359" s="24"/>
      <c r="FU359" s="24"/>
      <c r="FV359" s="24"/>
      <c r="FW359" s="24"/>
      <c r="FX359" s="24"/>
      <c r="FY359" s="24"/>
      <c r="FZ359" s="24"/>
      <c r="GA359" s="24"/>
      <c r="GB359" s="24"/>
      <c r="GC359" s="24"/>
      <c r="GD359" s="24"/>
      <c r="GE359" s="24"/>
      <c r="GF359" s="24"/>
      <c r="GG359" s="24"/>
      <c r="GH359" s="24"/>
      <c r="GI359" s="24"/>
      <c r="GJ359" s="24"/>
      <c r="GK359" s="24"/>
      <c r="GL359" s="24"/>
      <c r="GM359" s="24"/>
      <c r="GN359" s="24"/>
      <c r="GO359" s="24"/>
      <c r="GP359" s="24"/>
      <c r="GQ359" s="24"/>
      <c r="GR359" s="24"/>
    </row>
    <row r="360" spans="1:200" s="23" customFormat="1" ht="14.25" customHeight="1">
      <c r="A360" s="20"/>
      <c r="B360" s="21"/>
      <c r="C360" s="22"/>
      <c r="D360" s="22"/>
      <c r="E360" s="22"/>
      <c r="G360" s="22"/>
      <c r="H360" s="22"/>
      <c r="I360" s="22"/>
      <c r="K360" s="22"/>
      <c r="L360" s="22"/>
      <c r="M360" s="22"/>
      <c r="O360" s="22"/>
      <c r="P360" s="22"/>
      <c r="Q360" s="22"/>
      <c r="S360" s="22"/>
      <c r="T360" s="22"/>
      <c r="U360" s="22"/>
      <c r="W360" s="22"/>
      <c r="X360" s="22"/>
      <c r="Y360" s="22"/>
      <c r="AA360" s="22"/>
      <c r="AB360" s="22"/>
      <c r="AC360" s="22"/>
      <c r="AE360" s="24"/>
      <c r="AF360" s="24"/>
      <c r="AG360" s="24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6"/>
      <c r="AW360" s="24"/>
      <c r="AX360" s="24"/>
      <c r="AY360" s="24"/>
      <c r="AZ360" s="24"/>
      <c r="BA360" s="24"/>
      <c r="BB360" s="24"/>
      <c r="BC360" s="24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4"/>
      <c r="CC360" s="24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4"/>
      <c r="CP360" s="24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4"/>
      <c r="DC360" s="24"/>
      <c r="DD360" s="24"/>
      <c r="DE360" s="24"/>
      <c r="DF360" s="24"/>
      <c r="DG360" s="24"/>
      <c r="DH360" s="24"/>
      <c r="DI360" s="24"/>
      <c r="DJ360" s="24"/>
      <c r="DK360" s="24"/>
      <c r="DL360" s="24"/>
      <c r="DM360" s="24"/>
      <c r="DN360" s="24"/>
      <c r="DO360" s="24"/>
      <c r="DP360" s="24"/>
      <c r="DQ360" s="24"/>
      <c r="DR360" s="24"/>
      <c r="DS360" s="24"/>
      <c r="DT360" s="24"/>
      <c r="DU360" s="24"/>
      <c r="DV360" s="24"/>
      <c r="DW360" s="24"/>
      <c r="DX360" s="24"/>
      <c r="DY360" s="24"/>
      <c r="DZ360" s="24"/>
      <c r="EA360" s="24"/>
      <c r="EB360" s="24"/>
      <c r="EC360" s="24"/>
      <c r="ED360" s="24"/>
      <c r="EE360" s="24"/>
      <c r="EF360" s="24"/>
      <c r="EG360" s="24"/>
      <c r="EH360" s="24"/>
      <c r="EI360" s="24"/>
      <c r="EJ360" s="24"/>
      <c r="EK360" s="24"/>
      <c r="EL360" s="24"/>
      <c r="EM360" s="24"/>
      <c r="EN360" s="24"/>
      <c r="EO360" s="24"/>
      <c r="EP360" s="24"/>
      <c r="EQ360" s="24"/>
      <c r="ER360" s="24"/>
      <c r="ES360" s="24"/>
      <c r="ET360" s="24"/>
      <c r="EU360" s="24"/>
      <c r="EV360" s="24"/>
      <c r="EW360" s="24"/>
      <c r="EX360" s="24"/>
      <c r="EY360" s="24"/>
      <c r="EZ360" s="24"/>
      <c r="FA360" s="24"/>
      <c r="FB360" s="24"/>
      <c r="FC360" s="24"/>
      <c r="FD360" s="24"/>
      <c r="FE360" s="24"/>
      <c r="FF360" s="24"/>
      <c r="FG360" s="24"/>
      <c r="FH360" s="24"/>
      <c r="FI360" s="24"/>
      <c r="FJ360" s="24"/>
      <c r="FK360" s="24"/>
      <c r="FL360" s="24"/>
      <c r="FM360" s="24"/>
      <c r="FN360" s="24"/>
      <c r="FO360" s="24"/>
      <c r="FP360" s="24"/>
      <c r="FQ360" s="24"/>
      <c r="FR360" s="24"/>
      <c r="FS360" s="24"/>
      <c r="FT360" s="24"/>
      <c r="FU360" s="24"/>
      <c r="FV360" s="24"/>
      <c r="FW360" s="24"/>
      <c r="FX360" s="24"/>
      <c r="FY360" s="24"/>
      <c r="FZ360" s="24"/>
      <c r="GA360" s="24"/>
      <c r="GB360" s="24"/>
      <c r="GC360" s="24"/>
      <c r="GD360" s="24"/>
      <c r="GE360" s="24"/>
      <c r="GF360" s="24"/>
      <c r="GG360" s="24"/>
      <c r="GH360" s="24"/>
      <c r="GI360" s="24"/>
      <c r="GJ360" s="24"/>
      <c r="GK360" s="24"/>
      <c r="GL360" s="24"/>
      <c r="GM360" s="24"/>
      <c r="GN360" s="24"/>
      <c r="GO360" s="24"/>
      <c r="GP360" s="24"/>
      <c r="GQ360" s="24"/>
      <c r="GR360" s="24"/>
    </row>
    <row r="361" spans="1:200" s="23" customFormat="1" ht="14.25" customHeight="1">
      <c r="A361" s="20"/>
      <c r="B361" s="21"/>
      <c r="C361" s="22"/>
      <c r="D361" s="22"/>
      <c r="E361" s="22"/>
      <c r="G361" s="22"/>
      <c r="H361" s="22"/>
      <c r="I361" s="22"/>
      <c r="K361" s="22"/>
      <c r="L361" s="22"/>
      <c r="M361" s="22"/>
      <c r="O361" s="22"/>
      <c r="P361" s="22"/>
      <c r="Q361" s="22"/>
      <c r="S361" s="22"/>
      <c r="T361" s="22"/>
      <c r="U361" s="22"/>
      <c r="W361" s="22"/>
      <c r="X361" s="22"/>
      <c r="Y361" s="22"/>
      <c r="AA361" s="22"/>
      <c r="AB361" s="22"/>
      <c r="AC361" s="22"/>
      <c r="AE361" s="24"/>
      <c r="AF361" s="24"/>
      <c r="AG361" s="24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6"/>
      <c r="AW361" s="24"/>
      <c r="AX361" s="24"/>
      <c r="AY361" s="24"/>
      <c r="AZ361" s="24"/>
      <c r="BA361" s="24"/>
      <c r="BB361" s="24"/>
      <c r="BC361" s="24"/>
      <c r="BD361" s="24"/>
      <c r="BE361" s="24"/>
      <c r="BF361" s="24"/>
      <c r="BG361" s="24"/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BZ361" s="24"/>
      <c r="CA361" s="24"/>
      <c r="CB361" s="24"/>
      <c r="CC361" s="24"/>
      <c r="CD361" s="24"/>
      <c r="CE361" s="24"/>
      <c r="CF361" s="24"/>
      <c r="CG361" s="24"/>
      <c r="CH361" s="24"/>
      <c r="CI361" s="24"/>
      <c r="CJ361" s="24"/>
      <c r="CK361" s="24"/>
      <c r="CL361" s="24"/>
      <c r="CM361" s="24"/>
      <c r="CN361" s="24"/>
      <c r="CO361" s="24"/>
      <c r="CP361" s="24"/>
      <c r="CQ361" s="24"/>
      <c r="CR361" s="24"/>
      <c r="CS361" s="24"/>
      <c r="CT361" s="24"/>
      <c r="CU361" s="24"/>
      <c r="CV361" s="24"/>
      <c r="CW361" s="24"/>
      <c r="CX361" s="24"/>
      <c r="CY361" s="24"/>
      <c r="CZ361" s="24"/>
      <c r="DA361" s="24"/>
      <c r="DB361" s="24"/>
      <c r="DC361" s="24"/>
      <c r="DD361" s="24"/>
      <c r="DE361" s="24"/>
      <c r="DF361" s="24"/>
      <c r="DG361" s="24"/>
      <c r="DH361" s="24"/>
      <c r="DI361" s="24"/>
      <c r="DJ361" s="24"/>
      <c r="DK361" s="24"/>
      <c r="DL361" s="24"/>
      <c r="DM361" s="24"/>
      <c r="DN361" s="24"/>
      <c r="DO361" s="24"/>
      <c r="DP361" s="24"/>
      <c r="DQ361" s="24"/>
      <c r="DR361" s="24"/>
      <c r="DS361" s="24"/>
      <c r="DT361" s="24"/>
      <c r="DU361" s="24"/>
      <c r="DV361" s="24"/>
      <c r="DW361" s="24"/>
      <c r="DX361" s="24"/>
      <c r="DY361" s="24"/>
      <c r="DZ361" s="24"/>
      <c r="EA361" s="24"/>
      <c r="EB361" s="24"/>
      <c r="EC361" s="24"/>
      <c r="ED361" s="24"/>
      <c r="EE361" s="24"/>
      <c r="EF361" s="24"/>
      <c r="EG361" s="24"/>
      <c r="EH361" s="24"/>
      <c r="EI361" s="24"/>
      <c r="EJ361" s="24"/>
      <c r="EK361" s="24"/>
      <c r="EL361" s="24"/>
      <c r="EM361" s="24"/>
      <c r="EN361" s="24"/>
      <c r="EO361" s="24"/>
      <c r="EP361" s="24"/>
      <c r="EQ361" s="24"/>
      <c r="ER361" s="24"/>
      <c r="ES361" s="24"/>
      <c r="ET361" s="24"/>
      <c r="EU361" s="24"/>
      <c r="EV361" s="24"/>
      <c r="EW361" s="24"/>
      <c r="EX361" s="24"/>
      <c r="EY361" s="24"/>
      <c r="EZ361" s="24"/>
      <c r="FA361" s="24"/>
      <c r="FB361" s="24"/>
      <c r="FC361" s="24"/>
      <c r="FD361" s="24"/>
      <c r="FE361" s="24"/>
      <c r="FF361" s="24"/>
      <c r="FG361" s="24"/>
      <c r="FH361" s="24"/>
      <c r="FI361" s="24"/>
      <c r="FJ361" s="24"/>
      <c r="FK361" s="24"/>
      <c r="FL361" s="24"/>
      <c r="FM361" s="24"/>
      <c r="FN361" s="24"/>
      <c r="FO361" s="24"/>
      <c r="FP361" s="24"/>
      <c r="FQ361" s="24"/>
      <c r="FR361" s="24"/>
      <c r="FS361" s="24"/>
      <c r="FT361" s="24"/>
      <c r="FU361" s="24"/>
      <c r="FV361" s="24"/>
      <c r="FW361" s="24"/>
      <c r="FX361" s="24"/>
      <c r="FY361" s="24"/>
      <c r="FZ361" s="24"/>
      <c r="GA361" s="24"/>
      <c r="GB361" s="24"/>
      <c r="GC361" s="24"/>
      <c r="GD361" s="24"/>
      <c r="GE361" s="24"/>
      <c r="GF361" s="24"/>
      <c r="GG361" s="24"/>
      <c r="GH361" s="24"/>
      <c r="GI361" s="24"/>
      <c r="GJ361" s="24"/>
      <c r="GK361" s="24"/>
      <c r="GL361" s="24"/>
      <c r="GM361" s="24"/>
      <c r="GN361" s="24"/>
      <c r="GO361" s="24"/>
      <c r="GP361" s="24"/>
      <c r="GQ361" s="24"/>
      <c r="GR361" s="24"/>
    </row>
    <row r="362" spans="1:200" s="23" customFormat="1" ht="14.25" customHeight="1">
      <c r="A362" s="20"/>
      <c r="B362" s="21"/>
      <c r="C362" s="22"/>
      <c r="D362" s="22"/>
      <c r="E362" s="22"/>
      <c r="G362" s="22"/>
      <c r="H362" s="22"/>
      <c r="I362" s="22"/>
      <c r="K362" s="22"/>
      <c r="L362" s="22"/>
      <c r="M362" s="22"/>
      <c r="O362" s="22"/>
      <c r="P362" s="22"/>
      <c r="Q362" s="22"/>
      <c r="S362" s="22"/>
      <c r="T362" s="22"/>
      <c r="U362" s="22"/>
      <c r="W362" s="22"/>
      <c r="X362" s="22"/>
      <c r="Y362" s="22"/>
      <c r="AA362" s="22"/>
      <c r="AB362" s="22"/>
      <c r="AC362" s="22"/>
      <c r="AE362" s="24"/>
      <c r="AF362" s="24"/>
      <c r="AG362" s="24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6"/>
      <c r="AW362" s="24"/>
      <c r="AX362" s="24"/>
      <c r="AY362" s="24"/>
      <c r="AZ362" s="24"/>
      <c r="BA362" s="24"/>
      <c r="BB362" s="24"/>
      <c r="BC362" s="24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4"/>
      <c r="CC362" s="24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4"/>
      <c r="CP362" s="24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4"/>
      <c r="DC362" s="24"/>
      <c r="DD362" s="24"/>
      <c r="DE362" s="24"/>
      <c r="DF362" s="24"/>
      <c r="DG362" s="24"/>
      <c r="DH362" s="24"/>
      <c r="DI362" s="24"/>
      <c r="DJ362" s="24"/>
      <c r="DK362" s="24"/>
      <c r="DL362" s="24"/>
      <c r="DM362" s="24"/>
      <c r="DN362" s="24"/>
      <c r="DO362" s="24"/>
      <c r="DP362" s="24"/>
      <c r="DQ362" s="24"/>
      <c r="DR362" s="24"/>
      <c r="DS362" s="24"/>
      <c r="DT362" s="24"/>
      <c r="DU362" s="24"/>
      <c r="DV362" s="24"/>
      <c r="DW362" s="24"/>
      <c r="DX362" s="24"/>
      <c r="DY362" s="24"/>
      <c r="DZ362" s="24"/>
      <c r="EA362" s="24"/>
      <c r="EB362" s="24"/>
      <c r="EC362" s="24"/>
      <c r="ED362" s="24"/>
      <c r="EE362" s="24"/>
      <c r="EF362" s="24"/>
      <c r="EG362" s="24"/>
      <c r="EH362" s="24"/>
      <c r="EI362" s="24"/>
      <c r="EJ362" s="24"/>
      <c r="EK362" s="24"/>
      <c r="EL362" s="24"/>
      <c r="EM362" s="24"/>
      <c r="EN362" s="24"/>
      <c r="EO362" s="24"/>
      <c r="EP362" s="24"/>
      <c r="EQ362" s="24"/>
      <c r="ER362" s="24"/>
      <c r="ES362" s="24"/>
      <c r="ET362" s="24"/>
      <c r="EU362" s="24"/>
      <c r="EV362" s="24"/>
      <c r="EW362" s="24"/>
      <c r="EX362" s="24"/>
      <c r="EY362" s="24"/>
      <c r="EZ362" s="24"/>
      <c r="FA362" s="24"/>
      <c r="FB362" s="24"/>
      <c r="FC362" s="24"/>
      <c r="FD362" s="24"/>
      <c r="FE362" s="24"/>
      <c r="FF362" s="24"/>
      <c r="FG362" s="24"/>
      <c r="FH362" s="24"/>
      <c r="FI362" s="24"/>
      <c r="FJ362" s="24"/>
      <c r="FK362" s="24"/>
      <c r="FL362" s="24"/>
      <c r="FM362" s="24"/>
      <c r="FN362" s="24"/>
      <c r="FO362" s="24"/>
      <c r="FP362" s="24"/>
      <c r="FQ362" s="24"/>
      <c r="FR362" s="24"/>
      <c r="FS362" s="24"/>
      <c r="FT362" s="24"/>
      <c r="FU362" s="24"/>
      <c r="FV362" s="24"/>
      <c r="FW362" s="24"/>
      <c r="FX362" s="24"/>
      <c r="FY362" s="24"/>
      <c r="FZ362" s="24"/>
      <c r="GA362" s="24"/>
      <c r="GB362" s="24"/>
      <c r="GC362" s="24"/>
      <c r="GD362" s="24"/>
      <c r="GE362" s="24"/>
      <c r="GF362" s="24"/>
      <c r="GG362" s="24"/>
      <c r="GH362" s="24"/>
      <c r="GI362" s="24"/>
      <c r="GJ362" s="24"/>
      <c r="GK362" s="24"/>
      <c r="GL362" s="24"/>
      <c r="GM362" s="24"/>
      <c r="GN362" s="24"/>
      <c r="GO362" s="24"/>
      <c r="GP362" s="24"/>
      <c r="GQ362" s="24"/>
      <c r="GR362" s="24"/>
    </row>
    <row r="363" spans="1:200" s="23" customFormat="1" ht="14.25" customHeight="1">
      <c r="A363" s="20"/>
      <c r="B363" s="21"/>
      <c r="C363" s="22"/>
      <c r="D363" s="22"/>
      <c r="E363" s="22"/>
      <c r="G363" s="22"/>
      <c r="H363" s="22"/>
      <c r="I363" s="22"/>
      <c r="K363" s="22"/>
      <c r="L363" s="22"/>
      <c r="M363" s="22"/>
      <c r="O363" s="22"/>
      <c r="P363" s="22"/>
      <c r="Q363" s="22"/>
      <c r="S363" s="22"/>
      <c r="T363" s="22"/>
      <c r="U363" s="22"/>
      <c r="W363" s="22"/>
      <c r="X363" s="22"/>
      <c r="Y363" s="22"/>
      <c r="AA363" s="22"/>
      <c r="AB363" s="22"/>
      <c r="AC363" s="22"/>
      <c r="AE363" s="24"/>
      <c r="AF363" s="24"/>
      <c r="AG363" s="24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6"/>
      <c r="AW363" s="24"/>
      <c r="AX363" s="24"/>
      <c r="AY363" s="24"/>
      <c r="AZ363" s="24"/>
      <c r="BA363" s="24"/>
      <c r="BB363" s="24"/>
      <c r="BC363" s="24"/>
      <c r="BD363" s="24"/>
      <c r="BE363" s="24"/>
      <c r="BF363" s="24"/>
      <c r="BG363" s="24"/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BT363" s="24"/>
      <c r="BU363" s="24"/>
      <c r="BV363" s="24"/>
      <c r="BW363" s="24"/>
      <c r="BX363" s="24"/>
      <c r="BY363" s="24"/>
      <c r="BZ363" s="24"/>
      <c r="CA363" s="24"/>
      <c r="CB363" s="24"/>
      <c r="CC363" s="24"/>
      <c r="CD363" s="24"/>
      <c r="CE363" s="24"/>
      <c r="CF363" s="24"/>
      <c r="CG363" s="24"/>
      <c r="CH363" s="24"/>
      <c r="CI363" s="24"/>
      <c r="CJ363" s="24"/>
      <c r="CK363" s="24"/>
      <c r="CL363" s="24"/>
      <c r="CM363" s="24"/>
      <c r="CN363" s="24"/>
      <c r="CO363" s="24"/>
      <c r="CP363" s="24"/>
      <c r="CQ363" s="24"/>
      <c r="CR363" s="24"/>
      <c r="CS363" s="24"/>
      <c r="CT363" s="24"/>
      <c r="CU363" s="24"/>
      <c r="CV363" s="24"/>
      <c r="CW363" s="24"/>
      <c r="CX363" s="24"/>
      <c r="CY363" s="24"/>
      <c r="CZ363" s="24"/>
      <c r="DA363" s="24"/>
      <c r="DB363" s="24"/>
      <c r="DC363" s="24"/>
      <c r="DD363" s="24"/>
      <c r="DE363" s="24"/>
      <c r="DF363" s="24"/>
      <c r="DG363" s="24"/>
      <c r="DH363" s="24"/>
      <c r="DI363" s="24"/>
      <c r="DJ363" s="24"/>
      <c r="DK363" s="24"/>
      <c r="DL363" s="24"/>
      <c r="DM363" s="24"/>
      <c r="DN363" s="24"/>
      <c r="DO363" s="24"/>
      <c r="DP363" s="24"/>
      <c r="DQ363" s="24"/>
      <c r="DR363" s="24"/>
      <c r="DS363" s="24"/>
      <c r="DT363" s="24"/>
      <c r="DU363" s="24"/>
      <c r="DV363" s="24"/>
      <c r="DW363" s="24"/>
      <c r="DX363" s="24"/>
      <c r="DY363" s="24"/>
      <c r="DZ363" s="24"/>
      <c r="EA363" s="24"/>
      <c r="EB363" s="24"/>
      <c r="EC363" s="24"/>
      <c r="ED363" s="24"/>
      <c r="EE363" s="24"/>
      <c r="EF363" s="24"/>
      <c r="EG363" s="24"/>
      <c r="EH363" s="24"/>
      <c r="EI363" s="24"/>
      <c r="EJ363" s="24"/>
      <c r="EK363" s="24"/>
      <c r="EL363" s="24"/>
      <c r="EM363" s="24"/>
      <c r="EN363" s="24"/>
      <c r="EO363" s="24"/>
      <c r="EP363" s="24"/>
      <c r="EQ363" s="24"/>
      <c r="ER363" s="24"/>
      <c r="ES363" s="24"/>
      <c r="ET363" s="24"/>
      <c r="EU363" s="24"/>
      <c r="EV363" s="24"/>
      <c r="EW363" s="24"/>
      <c r="EX363" s="24"/>
      <c r="EY363" s="24"/>
      <c r="EZ363" s="24"/>
      <c r="FA363" s="24"/>
      <c r="FB363" s="24"/>
      <c r="FC363" s="24"/>
      <c r="FD363" s="24"/>
      <c r="FE363" s="24"/>
      <c r="FF363" s="24"/>
      <c r="FG363" s="24"/>
      <c r="FH363" s="24"/>
      <c r="FI363" s="24"/>
      <c r="FJ363" s="24"/>
      <c r="FK363" s="24"/>
      <c r="FL363" s="24"/>
      <c r="FM363" s="24"/>
      <c r="FN363" s="24"/>
      <c r="FO363" s="24"/>
      <c r="FP363" s="24"/>
      <c r="FQ363" s="24"/>
      <c r="FR363" s="24"/>
      <c r="FS363" s="24"/>
      <c r="FT363" s="24"/>
      <c r="FU363" s="24"/>
      <c r="FV363" s="24"/>
      <c r="FW363" s="24"/>
      <c r="FX363" s="24"/>
      <c r="FY363" s="24"/>
      <c r="FZ363" s="24"/>
      <c r="GA363" s="24"/>
      <c r="GB363" s="24"/>
      <c r="GC363" s="24"/>
      <c r="GD363" s="24"/>
      <c r="GE363" s="24"/>
      <c r="GF363" s="24"/>
      <c r="GG363" s="24"/>
      <c r="GH363" s="24"/>
      <c r="GI363" s="24"/>
      <c r="GJ363" s="24"/>
      <c r="GK363" s="24"/>
      <c r="GL363" s="24"/>
      <c r="GM363" s="24"/>
      <c r="GN363" s="24"/>
      <c r="GO363" s="24"/>
      <c r="GP363" s="24"/>
      <c r="GQ363" s="24"/>
      <c r="GR363" s="24"/>
    </row>
    <row r="364" spans="1:200" s="23" customFormat="1" ht="14.25" customHeight="1">
      <c r="A364" s="20"/>
      <c r="B364" s="21"/>
      <c r="C364" s="22"/>
      <c r="D364" s="22"/>
      <c r="E364" s="22"/>
      <c r="G364" s="22"/>
      <c r="H364" s="22"/>
      <c r="I364" s="22"/>
      <c r="K364" s="22"/>
      <c r="L364" s="22"/>
      <c r="M364" s="22"/>
      <c r="O364" s="22"/>
      <c r="P364" s="22"/>
      <c r="Q364" s="22"/>
      <c r="S364" s="22"/>
      <c r="T364" s="22"/>
      <c r="U364" s="22"/>
      <c r="W364" s="22"/>
      <c r="X364" s="22"/>
      <c r="Y364" s="22"/>
      <c r="AA364" s="22"/>
      <c r="AB364" s="22"/>
      <c r="AC364" s="22"/>
      <c r="AE364" s="24"/>
      <c r="AF364" s="24"/>
      <c r="AG364" s="24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6"/>
      <c r="AW364" s="24"/>
      <c r="AX364" s="24"/>
      <c r="AY364" s="24"/>
      <c r="AZ364" s="24"/>
      <c r="BA364" s="24"/>
      <c r="BB364" s="24"/>
      <c r="BC364" s="24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4"/>
      <c r="CC364" s="24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4"/>
      <c r="CP364" s="24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4"/>
      <c r="DC364" s="24"/>
      <c r="DD364" s="24"/>
      <c r="DE364" s="24"/>
      <c r="DF364" s="24"/>
      <c r="DG364" s="24"/>
      <c r="DH364" s="24"/>
      <c r="DI364" s="24"/>
      <c r="DJ364" s="24"/>
      <c r="DK364" s="24"/>
      <c r="DL364" s="24"/>
      <c r="DM364" s="24"/>
      <c r="DN364" s="24"/>
      <c r="DO364" s="24"/>
      <c r="DP364" s="24"/>
      <c r="DQ364" s="24"/>
      <c r="DR364" s="24"/>
      <c r="DS364" s="24"/>
      <c r="DT364" s="24"/>
      <c r="DU364" s="24"/>
      <c r="DV364" s="24"/>
      <c r="DW364" s="24"/>
      <c r="DX364" s="24"/>
      <c r="DY364" s="24"/>
      <c r="DZ364" s="24"/>
      <c r="EA364" s="24"/>
      <c r="EB364" s="24"/>
      <c r="EC364" s="24"/>
      <c r="ED364" s="24"/>
      <c r="EE364" s="24"/>
      <c r="EF364" s="24"/>
      <c r="EG364" s="24"/>
      <c r="EH364" s="24"/>
      <c r="EI364" s="24"/>
      <c r="EJ364" s="24"/>
      <c r="EK364" s="24"/>
      <c r="EL364" s="24"/>
      <c r="EM364" s="24"/>
      <c r="EN364" s="24"/>
      <c r="EO364" s="24"/>
      <c r="EP364" s="24"/>
      <c r="EQ364" s="24"/>
      <c r="ER364" s="24"/>
      <c r="ES364" s="24"/>
      <c r="ET364" s="24"/>
      <c r="EU364" s="24"/>
      <c r="EV364" s="24"/>
      <c r="EW364" s="24"/>
      <c r="EX364" s="24"/>
      <c r="EY364" s="24"/>
      <c r="EZ364" s="24"/>
      <c r="FA364" s="24"/>
      <c r="FB364" s="24"/>
      <c r="FC364" s="24"/>
      <c r="FD364" s="24"/>
      <c r="FE364" s="24"/>
      <c r="FF364" s="24"/>
      <c r="FG364" s="24"/>
      <c r="FH364" s="24"/>
      <c r="FI364" s="24"/>
      <c r="FJ364" s="24"/>
      <c r="FK364" s="24"/>
      <c r="FL364" s="24"/>
      <c r="FM364" s="24"/>
      <c r="FN364" s="24"/>
      <c r="FO364" s="24"/>
      <c r="FP364" s="24"/>
      <c r="FQ364" s="24"/>
      <c r="FR364" s="24"/>
      <c r="FS364" s="24"/>
      <c r="FT364" s="24"/>
      <c r="FU364" s="24"/>
      <c r="FV364" s="24"/>
      <c r="FW364" s="24"/>
      <c r="FX364" s="24"/>
      <c r="FY364" s="24"/>
      <c r="FZ364" s="24"/>
      <c r="GA364" s="24"/>
      <c r="GB364" s="24"/>
      <c r="GC364" s="24"/>
      <c r="GD364" s="24"/>
      <c r="GE364" s="24"/>
      <c r="GF364" s="24"/>
      <c r="GG364" s="24"/>
      <c r="GH364" s="24"/>
      <c r="GI364" s="24"/>
      <c r="GJ364" s="24"/>
      <c r="GK364" s="24"/>
      <c r="GL364" s="24"/>
      <c r="GM364" s="24"/>
      <c r="GN364" s="24"/>
      <c r="GO364" s="24"/>
      <c r="GP364" s="24"/>
      <c r="GQ364" s="24"/>
      <c r="GR364" s="24"/>
    </row>
    <row r="365" spans="1:200" s="23" customFormat="1" ht="14.25" customHeight="1">
      <c r="A365" s="20"/>
      <c r="B365" s="21"/>
      <c r="C365" s="22"/>
      <c r="D365" s="22"/>
      <c r="E365" s="22"/>
      <c r="G365" s="22"/>
      <c r="H365" s="22"/>
      <c r="I365" s="22"/>
      <c r="K365" s="22"/>
      <c r="L365" s="22"/>
      <c r="M365" s="22"/>
      <c r="O365" s="22"/>
      <c r="P365" s="22"/>
      <c r="Q365" s="22"/>
      <c r="S365" s="22"/>
      <c r="T365" s="22"/>
      <c r="U365" s="22"/>
      <c r="W365" s="22"/>
      <c r="X365" s="22"/>
      <c r="Y365" s="22"/>
      <c r="AA365" s="22"/>
      <c r="AB365" s="22"/>
      <c r="AC365" s="22"/>
      <c r="AE365" s="24"/>
      <c r="AF365" s="24"/>
      <c r="AG365" s="24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6"/>
      <c r="AW365" s="24"/>
      <c r="AX365" s="24"/>
      <c r="AY365" s="24"/>
      <c r="AZ365" s="24"/>
      <c r="BA365" s="24"/>
      <c r="BB365" s="24"/>
      <c r="BC365" s="24"/>
      <c r="BD365" s="24"/>
      <c r="BE365" s="24"/>
      <c r="BF365" s="24"/>
      <c r="BG365" s="24"/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BT365" s="24"/>
      <c r="BU365" s="24"/>
      <c r="BV365" s="24"/>
      <c r="BW365" s="24"/>
      <c r="BX365" s="24"/>
      <c r="BY365" s="24"/>
      <c r="BZ365" s="24"/>
      <c r="CA365" s="24"/>
      <c r="CB365" s="24"/>
      <c r="CC365" s="24"/>
      <c r="CD365" s="24"/>
      <c r="CE365" s="24"/>
      <c r="CF365" s="24"/>
      <c r="CG365" s="24"/>
      <c r="CH365" s="24"/>
      <c r="CI365" s="24"/>
      <c r="CJ365" s="24"/>
      <c r="CK365" s="24"/>
      <c r="CL365" s="24"/>
      <c r="CM365" s="24"/>
      <c r="CN365" s="24"/>
      <c r="CO365" s="24"/>
      <c r="CP365" s="24"/>
      <c r="CQ365" s="24"/>
      <c r="CR365" s="24"/>
      <c r="CS365" s="24"/>
      <c r="CT365" s="24"/>
      <c r="CU365" s="24"/>
      <c r="CV365" s="24"/>
      <c r="CW365" s="24"/>
      <c r="CX365" s="24"/>
      <c r="CY365" s="24"/>
      <c r="CZ365" s="24"/>
      <c r="DA365" s="24"/>
      <c r="DB365" s="24"/>
      <c r="DC365" s="24"/>
      <c r="DD365" s="24"/>
      <c r="DE365" s="24"/>
      <c r="DF365" s="24"/>
      <c r="DG365" s="24"/>
      <c r="DH365" s="24"/>
      <c r="DI365" s="24"/>
      <c r="DJ365" s="24"/>
      <c r="DK365" s="24"/>
      <c r="DL365" s="24"/>
      <c r="DM365" s="24"/>
      <c r="DN365" s="24"/>
      <c r="DO365" s="24"/>
      <c r="DP365" s="24"/>
      <c r="DQ365" s="24"/>
      <c r="DR365" s="24"/>
      <c r="DS365" s="24"/>
      <c r="DT365" s="24"/>
      <c r="DU365" s="24"/>
      <c r="DV365" s="24"/>
      <c r="DW365" s="24"/>
      <c r="DX365" s="24"/>
      <c r="DY365" s="24"/>
      <c r="DZ365" s="24"/>
      <c r="EA365" s="24"/>
      <c r="EB365" s="24"/>
      <c r="EC365" s="24"/>
      <c r="ED365" s="24"/>
      <c r="EE365" s="24"/>
      <c r="EF365" s="24"/>
      <c r="EG365" s="24"/>
      <c r="EH365" s="24"/>
      <c r="EI365" s="24"/>
      <c r="EJ365" s="24"/>
      <c r="EK365" s="24"/>
      <c r="EL365" s="24"/>
      <c r="EM365" s="24"/>
      <c r="EN365" s="24"/>
      <c r="EO365" s="24"/>
      <c r="EP365" s="24"/>
      <c r="EQ365" s="24"/>
      <c r="ER365" s="24"/>
      <c r="ES365" s="24"/>
      <c r="ET365" s="24"/>
      <c r="EU365" s="24"/>
      <c r="EV365" s="24"/>
      <c r="EW365" s="24"/>
      <c r="EX365" s="24"/>
      <c r="EY365" s="24"/>
      <c r="EZ365" s="24"/>
      <c r="FA365" s="24"/>
      <c r="FB365" s="24"/>
      <c r="FC365" s="24"/>
      <c r="FD365" s="24"/>
      <c r="FE365" s="24"/>
      <c r="FF365" s="24"/>
      <c r="FG365" s="24"/>
      <c r="FH365" s="24"/>
      <c r="FI365" s="24"/>
      <c r="FJ365" s="24"/>
      <c r="FK365" s="24"/>
      <c r="FL365" s="24"/>
      <c r="FM365" s="24"/>
      <c r="FN365" s="24"/>
      <c r="FO365" s="24"/>
      <c r="FP365" s="24"/>
      <c r="FQ365" s="24"/>
      <c r="FR365" s="24"/>
      <c r="FS365" s="24"/>
      <c r="FT365" s="24"/>
      <c r="FU365" s="24"/>
      <c r="FV365" s="24"/>
      <c r="FW365" s="24"/>
      <c r="FX365" s="24"/>
      <c r="FY365" s="24"/>
      <c r="FZ365" s="24"/>
      <c r="GA365" s="24"/>
      <c r="GB365" s="24"/>
      <c r="GC365" s="24"/>
      <c r="GD365" s="24"/>
      <c r="GE365" s="24"/>
      <c r="GF365" s="24"/>
      <c r="GG365" s="24"/>
      <c r="GH365" s="24"/>
      <c r="GI365" s="24"/>
      <c r="GJ365" s="24"/>
      <c r="GK365" s="24"/>
      <c r="GL365" s="24"/>
      <c r="GM365" s="24"/>
      <c r="GN365" s="24"/>
      <c r="GO365" s="24"/>
      <c r="GP365" s="24"/>
      <c r="GQ365" s="24"/>
      <c r="GR365" s="24"/>
    </row>
    <row r="366" spans="1:200" s="23" customFormat="1" ht="14.25" customHeight="1">
      <c r="A366" s="20"/>
      <c r="B366" s="21"/>
      <c r="C366" s="22"/>
      <c r="D366" s="22"/>
      <c r="E366" s="22"/>
      <c r="G366" s="22"/>
      <c r="H366" s="22"/>
      <c r="I366" s="22"/>
      <c r="K366" s="22"/>
      <c r="L366" s="22"/>
      <c r="M366" s="22"/>
      <c r="O366" s="22"/>
      <c r="P366" s="22"/>
      <c r="Q366" s="22"/>
      <c r="S366" s="22"/>
      <c r="T366" s="22"/>
      <c r="U366" s="22"/>
      <c r="W366" s="22"/>
      <c r="X366" s="22"/>
      <c r="Y366" s="22"/>
      <c r="AA366" s="22"/>
      <c r="AB366" s="22"/>
      <c r="AC366" s="22"/>
      <c r="AE366" s="24"/>
      <c r="AF366" s="24"/>
      <c r="AG366" s="24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6"/>
      <c r="AW366" s="24"/>
      <c r="AX366" s="24"/>
      <c r="AY366" s="24"/>
      <c r="AZ366" s="24"/>
      <c r="BA366" s="24"/>
      <c r="BB366" s="24"/>
      <c r="BC366" s="24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4"/>
      <c r="BP366" s="24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4"/>
      <c r="CC366" s="24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4"/>
      <c r="CP366" s="24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4"/>
      <c r="DC366" s="24"/>
      <c r="DD366" s="24"/>
      <c r="DE366" s="24"/>
      <c r="DF366" s="24"/>
      <c r="DG366" s="24"/>
      <c r="DH366" s="24"/>
      <c r="DI366" s="24"/>
      <c r="DJ366" s="24"/>
      <c r="DK366" s="24"/>
      <c r="DL366" s="24"/>
      <c r="DM366" s="24"/>
      <c r="DN366" s="24"/>
      <c r="DO366" s="24"/>
      <c r="DP366" s="24"/>
      <c r="DQ366" s="24"/>
      <c r="DR366" s="24"/>
      <c r="DS366" s="24"/>
      <c r="DT366" s="24"/>
      <c r="DU366" s="24"/>
      <c r="DV366" s="24"/>
      <c r="DW366" s="24"/>
      <c r="DX366" s="24"/>
      <c r="DY366" s="24"/>
      <c r="DZ366" s="24"/>
      <c r="EA366" s="24"/>
      <c r="EB366" s="24"/>
      <c r="EC366" s="24"/>
      <c r="ED366" s="24"/>
      <c r="EE366" s="24"/>
      <c r="EF366" s="24"/>
      <c r="EG366" s="24"/>
      <c r="EH366" s="24"/>
      <c r="EI366" s="24"/>
      <c r="EJ366" s="24"/>
      <c r="EK366" s="24"/>
      <c r="EL366" s="24"/>
      <c r="EM366" s="24"/>
      <c r="EN366" s="24"/>
      <c r="EO366" s="24"/>
      <c r="EP366" s="24"/>
      <c r="EQ366" s="24"/>
      <c r="ER366" s="24"/>
      <c r="ES366" s="24"/>
      <c r="ET366" s="24"/>
      <c r="EU366" s="24"/>
      <c r="EV366" s="24"/>
      <c r="EW366" s="24"/>
      <c r="EX366" s="24"/>
      <c r="EY366" s="24"/>
      <c r="EZ366" s="24"/>
      <c r="FA366" s="24"/>
      <c r="FB366" s="24"/>
      <c r="FC366" s="24"/>
      <c r="FD366" s="24"/>
      <c r="FE366" s="24"/>
      <c r="FF366" s="24"/>
      <c r="FG366" s="24"/>
      <c r="FH366" s="24"/>
      <c r="FI366" s="24"/>
      <c r="FJ366" s="24"/>
      <c r="FK366" s="24"/>
      <c r="FL366" s="24"/>
      <c r="FM366" s="24"/>
      <c r="FN366" s="24"/>
      <c r="FO366" s="24"/>
      <c r="FP366" s="24"/>
      <c r="FQ366" s="24"/>
      <c r="FR366" s="24"/>
      <c r="FS366" s="24"/>
      <c r="FT366" s="24"/>
      <c r="FU366" s="24"/>
      <c r="FV366" s="24"/>
      <c r="FW366" s="24"/>
      <c r="FX366" s="24"/>
      <c r="FY366" s="24"/>
      <c r="FZ366" s="24"/>
      <c r="GA366" s="24"/>
      <c r="GB366" s="24"/>
      <c r="GC366" s="24"/>
      <c r="GD366" s="24"/>
      <c r="GE366" s="24"/>
      <c r="GF366" s="24"/>
      <c r="GG366" s="24"/>
      <c r="GH366" s="24"/>
      <c r="GI366" s="24"/>
      <c r="GJ366" s="24"/>
      <c r="GK366" s="24"/>
      <c r="GL366" s="24"/>
      <c r="GM366" s="24"/>
      <c r="GN366" s="24"/>
      <c r="GO366" s="24"/>
      <c r="GP366" s="24"/>
      <c r="GQ366" s="24"/>
      <c r="GR366" s="24"/>
    </row>
    <row r="367" spans="1:200" s="23" customFormat="1" ht="14.25" customHeight="1">
      <c r="A367" s="20"/>
      <c r="B367" s="21"/>
      <c r="C367" s="22"/>
      <c r="D367" s="22"/>
      <c r="E367" s="22"/>
      <c r="G367" s="22"/>
      <c r="H367" s="22"/>
      <c r="I367" s="22"/>
      <c r="K367" s="22"/>
      <c r="L367" s="22"/>
      <c r="M367" s="22"/>
      <c r="O367" s="22"/>
      <c r="P367" s="22"/>
      <c r="Q367" s="22"/>
      <c r="S367" s="22"/>
      <c r="T367" s="22"/>
      <c r="U367" s="22"/>
      <c r="W367" s="22"/>
      <c r="X367" s="22"/>
      <c r="Y367" s="22"/>
      <c r="AA367" s="22"/>
      <c r="AB367" s="22"/>
      <c r="AC367" s="22"/>
      <c r="AE367" s="24"/>
      <c r="AF367" s="24"/>
      <c r="AG367" s="24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6"/>
      <c r="AW367" s="24"/>
      <c r="AX367" s="24"/>
      <c r="AY367" s="24"/>
      <c r="AZ367" s="24"/>
      <c r="BA367" s="24"/>
      <c r="BB367" s="24"/>
      <c r="BC367" s="24"/>
      <c r="BD367" s="24"/>
      <c r="BE367" s="24"/>
      <c r="BF367" s="24"/>
      <c r="BG367" s="24"/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BT367" s="24"/>
      <c r="BU367" s="24"/>
      <c r="BV367" s="24"/>
      <c r="BW367" s="24"/>
      <c r="BX367" s="24"/>
      <c r="BY367" s="24"/>
      <c r="BZ367" s="24"/>
      <c r="CA367" s="24"/>
      <c r="CB367" s="24"/>
      <c r="CC367" s="24"/>
      <c r="CD367" s="24"/>
      <c r="CE367" s="24"/>
      <c r="CF367" s="24"/>
      <c r="CG367" s="24"/>
      <c r="CH367" s="24"/>
      <c r="CI367" s="24"/>
      <c r="CJ367" s="24"/>
      <c r="CK367" s="24"/>
      <c r="CL367" s="24"/>
      <c r="CM367" s="24"/>
      <c r="CN367" s="24"/>
      <c r="CO367" s="24"/>
      <c r="CP367" s="24"/>
      <c r="CQ367" s="24"/>
      <c r="CR367" s="24"/>
      <c r="CS367" s="24"/>
      <c r="CT367" s="24"/>
      <c r="CU367" s="24"/>
      <c r="CV367" s="24"/>
      <c r="CW367" s="24"/>
      <c r="CX367" s="24"/>
      <c r="CY367" s="24"/>
      <c r="CZ367" s="24"/>
      <c r="DA367" s="24"/>
      <c r="DB367" s="24"/>
      <c r="DC367" s="24"/>
      <c r="DD367" s="24"/>
      <c r="DE367" s="24"/>
      <c r="DF367" s="24"/>
      <c r="DG367" s="24"/>
      <c r="DH367" s="24"/>
      <c r="DI367" s="24"/>
      <c r="DJ367" s="24"/>
      <c r="DK367" s="24"/>
      <c r="DL367" s="24"/>
      <c r="DM367" s="24"/>
      <c r="DN367" s="24"/>
      <c r="DO367" s="24"/>
      <c r="DP367" s="24"/>
      <c r="DQ367" s="24"/>
      <c r="DR367" s="24"/>
      <c r="DS367" s="24"/>
      <c r="DT367" s="24"/>
      <c r="DU367" s="24"/>
      <c r="DV367" s="24"/>
      <c r="DW367" s="24"/>
      <c r="DX367" s="24"/>
      <c r="DY367" s="24"/>
      <c r="DZ367" s="24"/>
      <c r="EA367" s="24"/>
      <c r="EB367" s="24"/>
      <c r="EC367" s="24"/>
      <c r="ED367" s="24"/>
      <c r="EE367" s="24"/>
      <c r="EF367" s="24"/>
      <c r="EG367" s="24"/>
      <c r="EH367" s="24"/>
      <c r="EI367" s="24"/>
      <c r="EJ367" s="24"/>
      <c r="EK367" s="24"/>
      <c r="EL367" s="24"/>
      <c r="EM367" s="24"/>
      <c r="EN367" s="24"/>
      <c r="EO367" s="24"/>
      <c r="EP367" s="24"/>
      <c r="EQ367" s="24"/>
      <c r="ER367" s="24"/>
      <c r="ES367" s="24"/>
      <c r="ET367" s="24"/>
      <c r="EU367" s="24"/>
      <c r="EV367" s="24"/>
      <c r="EW367" s="24"/>
      <c r="EX367" s="24"/>
      <c r="EY367" s="24"/>
      <c r="EZ367" s="24"/>
      <c r="FA367" s="24"/>
      <c r="FB367" s="24"/>
      <c r="FC367" s="24"/>
      <c r="FD367" s="24"/>
      <c r="FE367" s="24"/>
      <c r="FF367" s="24"/>
      <c r="FG367" s="24"/>
      <c r="FH367" s="24"/>
      <c r="FI367" s="24"/>
      <c r="FJ367" s="24"/>
      <c r="FK367" s="24"/>
      <c r="FL367" s="24"/>
      <c r="FM367" s="24"/>
      <c r="FN367" s="24"/>
      <c r="FO367" s="24"/>
      <c r="FP367" s="24"/>
      <c r="FQ367" s="24"/>
      <c r="FR367" s="24"/>
      <c r="FS367" s="24"/>
      <c r="FT367" s="24"/>
      <c r="FU367" s="24"/>
      <c r="FV367" s="24"/>
      <c r="FW367" s="24"/>
      <c r="FX367" s="24"/>
      <c r="FY367" s="24"/>
      <c r="FZ367" s="24"/>
      <c r="GA367" s="24"/>
      <c r="GB367" s="24"/>
      <c r="GC367" s="24"/>
      <c r="GD367" s="24"/>
      <c r="GE367" s="24"/>
      <c r="GF367" s="24"/>
      <c r="GG367" s="24"/>
      <c r="GH367" s="24"/>
      <c r="GI367" s="24"/>
      <c r="GJ367" s="24"/>
      <c r="GK367" s="24"/>
      <c r="GL367" s="24"/>
      <c r="GM367" s="24"/>
      <c r="GN367" s="24"/>
      <c r="GO367" s="24"/>
      <c r="GP367" s="24"/>
      <c r="GQ367" s="24"/>
      <c r="GR367" s="24"/>
    </row>
    <row r="368" spans="1:200" s="23" customFormat="1" ht="14.25" customHeight="1">
      <c r="A368" s="20"/>
      <c r="B368" s="21"/>
      <c r="C368" s="22"/>
      <c r="D368" s="22"/>
      <c r="E368" s="22"/>
      <c r="G368" s="22"/>
      <c r="H368" s="22"/>
      <c r="I368" s="22"/>
      <c r="K368" s="22"/>
      <c r="L368" s="22"/>
      <c r="M368" s="22"/>
      <c r="O368" s="22"/>
      <c r="P368" s="22"/>
      <c r="Q368" s="22"/>
      <c r="S368" s="22"/>
      <c r="T368" s="22"/>
      <c r="U368" s="22"/>
      <c r="W368" s="22"/>
      <c r="X368" s="22"/>
      <c r="Y368" s="22"/>
      <c r="AA368" s="22"/>
      <c r="AB368" s="22"/>
      <c r="AC368" s="22"/>
      <c r="AE368" s="24"/>
      <c r="AF368" s="24"/>
      <c r="AG368" s="24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6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4"/>
      <c r="CP368" s="24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4"/>
      <c r="DC368" s="24"/>
      <c r="DD368" s="24"/>
      <c r="DE368" s="24"/>
      <c r="DF368" s="24"/>
      <c r="DG368" s="24"/>
      <c r="DH368" s="24"/>
      <c r="DI368" s="24"/>
      <c r="DJ368" s="24"/>
      <c r="DK368" s="24"/>
      <c r="DL368" s="24"/>
      <c r="DM368" s="24"/>
      <c r="DN368" s="24"/>
      <c r="DO368" s="24"/>
      <c r="DP368" s="24"/>
      <c r="DQ368" s="24"/>
      <c r="DR368" s="24"/>
      <c r="DS368" s="24"/>
      <c r="DT368" s="24"/>
      <c r="DU368" s="24"/>
      <c r="DV368" s="24"/>
      <c r="DW368" s="24"/>
      <c r="DX368" s="24"/>
      <c r="DY368" s="24"/>
      <c r="DZ368" s="24"/>
      <c r="EA368" s="24"/>
      <c r="EB368" s="24"/>
      <c r="EC368" s="24"/>
      <c r="ED368" s="24"/>
      <c r="EE368" s="24"/>
      <c r="EF368" s="24"/>
      <c r="EG368" s="24"/>
      <c r="EH368" s="24"/>
      <c r="EI368" s="24"/>
      <c r="EJ368" s="24"/>
      <c r="EK368" s="24"/>
      <c r="EL368" s="24"/>
      <c r="EM368" s="24"/>
      <c r="EN368" s="24"/>
      <c r="EO368" s="24"/>
      <c r="EP368" s="24"/>
      <c r="EQ368" s="24"/>
      <c r="ER368" s="24"/>
      <c r="ES368" s="24"/>
      <c r="ET368" s="24"/>
      <c r="EU368" s="24"/>
      <c r="EV368" s="24"/>
      <c r="EW368" s="24"/>
      <c r="EX368" s="24"/>
      <c r="EY368" s="24"/>
      <c r="EZ368" s="24"/>
      <c r="FA368" s="24"/>
      <c r="FB368" s="24"/>
      <c r="FC368" s="24"/>
      <c r="FD368" s="24"/>
      <c r="FE368" s="24"/>
      <c r="FF368" s="24"/>
      <c r="FG368" s="24"/>
      <c r="FH368" s="24"/>
      <c r="FI368" s="24"/>
      <c r="FJ368" s="24"/>
      <c r="FK368" s="24"/>
      <c r="FL368" s="24"/>
      <c r="FM368" s="24"/>
      <c r="FN368" s="24"/>
      <c r="FO368" s="24"/>
      <c r="FP368" s="24"/>
      <c r="FQ368" s="24"/>
      <c r="FR368" s="24"/>
      <c r="FS368" s="24"/>
      <c r="FT368" s="24"/>
      <c r="FU368" s="24"/>
      <c r="FV368" s="24"/>
      <c r="FW368" s="24"/>
      <c r="FX368" s="24"/>
      <c r="FY368" s="24"/>
      <c r="FZ368" s="24"/>
      <c r="GA368" s="24"/>
      <c r="GB368" s="24"/>
      <c r="GC368" s="24"/>
      <c r="GD368" s="24"/>
      <c r="GE368" s="24"/>
      <c r="GF368" s="24"/>
      <c r="GG368" s="24"/>
      <c r="GH368" s="24"/>
      <c r="GI368" s="24"/>
      <c r="GJ368" s="24"/>
      <c r="GK368" s="24"/>
      <c r="GL368" s="24"/>
      <c r="GM368" s="24"/>
      <c r="GN368" s="24"/>
      <c r="GO368" s="24"/>
      <c r="GP368" s="24"/>
      <c r="GQ368" s="24"/>
      <c r="GR368" s="24"/>
    </row>
    <row r="369" spans="1:220" s="23" customFormat="1" ht="14.25" customHeight="1">
      <c r="A369" s="20"/>
      <c r="B369" s="21"/>
      <c r="C369" s="22"/>
      <c r="D369" s="22"/>
      <c r="E369" s="22"/>
      <c r="G369" s="22"/>
      <c r="H369" s="22"/>
      <c r="I369" s="22"/>
      <c r="K369" s="22"/>
      <c r="L369" s="22"/>
      <c r="M369" s="22"/>
      <c r="O369" s="22"/>
      <c r="P369" s="22"/>
      <c r="Q369" s="22"/>
      <c r="S369" s="22"/>
      <c r="T369" s="22"/>
      <c r="U369" s="22"/>
      <c r="W369" s="22"/>
      <c r="X369" s="22"/>
      <c r="Y369" s="22"/>
      <c r="AA369" s="22"/>
      <c r="AB369" s="22"/>
      <c r="AC369" s="22"/>
      <c r="AE369" s="24"/>
      <c r="AF369" s="24"/>
      <c r="AG369" s="24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6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  <c r="CK369" s="24"/>
      <c r="CL369" s="24"/>
      <c r="CM369" s="24"/>
      <c r="CN369" s="24"/>
      <c r="CO369" s="24"/>
      <c r="CP369" s="24"/>
      <c r="CQ369" s="24"/>
      <c r="CR369" s="24"/>
      <c r="CS369" s="24"/>
      <c r="CT369" s="24"/>
      <c r="CU369" s="24"/>
      <c r="CV369" s="24"/>
      <c r="CW369" s="24"/>
      <c r="CX369" s="24"/>
      <c r="CY369" s="24"/>
      <c r="CZ369" s="24"/>
      <c r="DA369" s="24"/>
      <c r="DB369" s="24"/>
      <c r="DC369" s="24"/>
      <c r="DD369" s="24"/>
      <c r="DE369" s="24"/>
      <c r="DF369" s="24"/>
      <c r="DG369" s="24"/>
      <c r="DH369" s="24"/>
      <c r="DI369" s="24"/>
      <c r="DJ369" s="24"/>
      <c r="DK369" s="24"/>
      <c r="DL369" s="24"/>
      <c r="DM369" s="24"/>
      <c r="DN369" s="24"/>
      <c r="DO369" s="24"/>
      <c r="DP369" s="24"/>
      <c r="DQ369" s="24"/>
      <c r="DR369" s="24"/>
      <c r="DS369" s="24"/>
      <c r="DT369" s="24"/>
      <c r="DU369" s="24"/>
      <c r="DV369" s="24"/>
      <c r="DW369" s="24"/>
      <c r="DX369" s="24"/>
      <c r="DY369" s="24"/>
      <c r="DZ369" s="24"/>
      <c r="EA369" s="24"/>
      <c r="EB369" s="24"/>
      <c r="EC369" s="24"/>
      <c r="ED369" s="24"/>
      <c r="EE369" s="24"/>
      <c r="EF369" s="24"/>
      <c r="EG369" s="24"/>
      <c r="EH369" s="24"/>
      <c r="EI369" s="24"/>
      <c r="EJ369" s="24"/>
      <c r="EK369" s="24"/>
      <c r="EL369" s="24"/>
      <c r="EM369" s="24"/>
      <c r="EN369" s="24"/>
      <c r="EO369" s="24"/>
      <c r="EP369" s="24"/>
      <c r="EQ369" s="24"/>
      <c r="ER369" s="24"/>
      <c r="ES369" s="24"/>
      <c r="ET369" s="24"/>
      <c r="EU369" s="24"/>
      <c r="EV369" s="24"/>
      <c r="EW369" s="24"/>
      <c r="EX369" s="24"/>
      <c r="EY369" s="24"/>
      <c r="EZ369" s="24"/>
      <c r="FA369" s="24"/>
      <c r="FB369" s="24"/>
      <c r="FC369" s="24"/>
      <c r="FD369" s="24"/>
      <c r="FE369" s="24"/>
      <c r="FF369" s="24"/>
      <c r="FG369" s="24"/>
      <c r="FH369" s="24"/>
      <c r="FI369" s="24"/>
      <c r="FJ369" s="24"/>
      <c r="FK369" s="24"/>
      <c r="FL369" s="24"/>
      <c r="FM369" s="24"/>
      <c r="FN369" s="24"/>
      <c r="FO369" s="24"/>
      <c r="FP369" s="24"/>
      <c r="FQ369" s="24"/>
      <c r="FR369" s="24"/>
      <c r="FS369" s="24"/>
      <c r="FT369" s="24"/>
      <c r="FU369" s="24"/>
      <c r="FV369" s="24"/>
      <c r="FW369" s="24"/>
      <c r="FX369" s="24"/>
      <c r="FY369" s="24"/>
      <c r="FZ369" s="24"/>
      <c r="GA369" s="24"/>
      <c r="GB369" s="24"/>
      <c r="GC369" s="24"/>
      <c r="GD369" s="24"/>
      <c r="GE369" s="24"/>
      <c r="GF369" s="24"/>
      <c r="GG369" s="24"/>
      <c r="GH369" s="24"/>
      <c r="GI369" s="24"/>
      <c r="GJ369" s="24"/>
      <c r="GK369" s="24"/>
      <c r="GL369" s="24"/>
      <c r="GM369" s="24"/>
      <c r="GN369" s="24"/>
      <c r="GO369" s="24"/>
      <c r="GP369" s="24"/>
      <c r="GQ369" s="24"/>
      <c r="GR369" s="24"/>
    </row>
    <row r="370" spans="1:220" s="23" customFormat="1" ht="14.25" customHeight="1">
      <c r="A370" s="20"/>
      <c r="B370" s="21"/>
      <c r="C370" s="22"/>
      <c r="D370" s="22"/>
      <c r="E370" s="22"/>
      <c r="G370" s="22"/>
      <c r="H370" s="22"/>
      <c r="I370" s="22"/>
      <c r="K370" s="22"/>
      <c r="L370" s="22"/>
      <c r="M370" s="22"/>
      <c r="O370" s="22"/>
      <c r="P370" s="22"/>
      <c r="Q370" s="22"/>
      <c r="S370" s="22"/>
      <c r="T370" s="22"/>
      <c r="U370" s="22"/>
      <c r="W370" s="22"/>
      <c r="X370" s="22"/>
      <c r="Y370" s="22"/>
      <c r="AA370" s="22"/>
      <c r="AB370" s="22"/>
      <c r="AC370" s="22"/>
      <c r="AE370" s="24"/>
      <c r="AF370" s="24"/>
      <c r="AG370" s="24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6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4"/>
      <c r="CP370" s="24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4"/>
      <c r="DC370" s="24"/>
      <c r="DD370" s="24"/>
      <c r="DE370" s="24"/>
      <c r="DF370" s="24"/>
      <c r="DG370" s="24"/>
      <c r="DH370" s="24"/>
      <c r="DI370" s="24"/>
      <c r="DJ370" s="24"/>
      <c r="DK370" s="24"/>
      <c r="DL370" s="24"/>
      <c r="DM370" s="24"/>
      <c r="DN370" s="24"/>
      <c r="DO370" s="24"/>
      <c r="DP370" s="24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/>
      <c r="EB370" s="24"/>
      <c r="EC370" s="24"/>
      <c r="ED370" s="24"/>
      <c r="EE370" s="24"/>
      <c r="EF370" s="24"/>
      <c r="EG370" s="24"/>
      <c r="EH370" s="24"/>
      <c r="EI370" s="24"/>
      <c r="EJ370" s="24"/>
      <c r="EK370" s="24"/>
      <c r="EL370" s="24"/>
      <c r="EM370" s="24"/>
      <c r="EN370" s="24"/>
      <c r="EO370" s="24"/>
      <c r="EP370" s="24"/>
      <c r="EQ370" s="24"/>
      <c r="ER370" s="24"/>
      <c r="ES370" s="24"/>
      <c r="ET370" s="24"/>
      <c r="EU370" s="24"/>
      <c r="EV370" s="24"/>
      <c r="EW370" s="24"/>
      <c r="EX370" s="24"/>
      <c r="EY370" s="24"/>
      <c r="EZ370" s="24"/>
      <c r="FA370" s="24"/>
      <c r="FB370" s="24"/>
      <c r="FC370" s="24"/>
      <c r="FD370" s="24"/>
      <c r="FE370" s="24"/>
      <c r="FF370" s="24"/>
      <c r="FG370" s="24"/>
      <c r="FH370" s="24"/>
      <c r="FI370" s="24"/>
      <c r="FJ370" s="24"/>
      <c r="FK370" s="24"/>
      <c r="FL370" s="24"/>
      <c r="FM370" s="24"/>
      <c r="FN370" s="24"/>
      <c r="FO370" s="24"/>
      <c r="FP370" s="24"/>
      <c r="FQ370" s="24"/>
      <c r="FR370" s="24"/>
      <c r="FS370" s="24"/>
      <c r="FT370" s="24"/>
      <c r="FU370" s="24"/>
      <c r="FV370" s="24"/>
      <c r="FW370" s="24"/>
      <c r="FX370" s="24"/>
      <c r="FY370" s="24"/>
      <c r="FZ370" s="24"/>
      <c r="GA370" s="24"/>
      <c r="GB370" s="24"/>
      <c r="GC370" s="24"/>
      <c r="GD370" s="24"/>
      <c r="GE370" s="24"/>
      <c r="GF370" s="24"/>
      <c r="GG370" s="24"/>
      <c r="GH370" s="24"/>
      <c r="GI370" s="24"/>
      <c r="GJ370" s="24"/>
      <c r="GK370" s="24"/>
      <c r="GL370" s="24"/>
      <c r="GM370" s="24"/>
      <c r="GN370" s="24"/>
      <c r="GO370" s="24"/>
      <c r="GP370" s="24"/>
      <c r="GQ370" s="24"/>
      <c r="GR370" s="24"/>
    </row>
    <row r="371" spans="1:220" s="23" customFormat="1" ht="14.25" customHeight="1">
      <c r="A371" s="20"/>
      <c r="B371" s="21"/>
      <c r="C371" s="22"/>
      <c r="D371" s="22"/>
      <c r="E371" s="22"/>
      <c r="G371" s="22"/>
      <c r="H371" s="22"/>
      <c r="I371" s="22"/>
      <c r="K371" s="22"/>
      <c r="L371" s="22"/>
      <c r="M371" s="22"/>
      <c r="O371" s="22"/>
      <c r="P371" s="22"/>
      <c r="Q371" s="22"/>
      <c r="S371" s="22"/>
      <c r="T371" s="22"/>
      <c r="U371" s="22"/>
      <c r="W371" s="22"/>
      <c r="X371" s="22"/>
      <c r="Y371" s="22"/>
      <c r="AA371" s="22"/>
      <c r="AB371" s="22"/>
      <c r="AC371" s="22"/>
      <c r="AE371" s="24"/>
      <c r="AF371" s="24"/>
      <c r="AG371" s="24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6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  <c r="CK371" s="24"/>
      <c r="CL371" s="24"/>
      <c r="CM371" s="24"/>
      <c r="CN371" s="24"/>
      <c r="CO371" s="24"/>
      <c r="CP371" s="24"/>
      <c r="CQ371" s="24"/>
      <c r="CR371" s="24"/>
      <c r="CS371" s="24"/>
      <c r="CT371" s="24"/>
      <c r="CU371" s="24"/>
      <c r="CV371" s="24"/>
      <c r="CW371" s="24"/>
      <c r="CX371" s="24"/>
      <c r="CY371" s="24"/>
      <c r="CZ371" s="24"/>
      <c r="DA371" s="24"/>
      <c r="DB371" s="24"/>
      <c r="DC371" s="24"/>
      <c r="DD371" s="24"/>
      <c r="DE371" s="24"/>
      <c r="DF371" s="24"/>
      <c r="DG371" s="24"/>
      <c r="DH371" s="24"/>
      <c r="DI371" s="24"/>
      <c r="DJ371" s="24"/>
      <c r="DK371" s="24"/>
      <c r="DL371" s="24"/>
      <c r="DM371" s="24"/>
      <c r="DN371" s="24"/>
      <c r="DO371" s="24"/>
      <c r="DP371" s="24"/>
      <c r="DQ371" s="24"/>
      <c r="DR371" s="24"/>
      <c r="DS371" s="24"/>
      <c r="DT371" s="24"/>
      <c r="DU371" s="24"/>
      <c r="DV371" s="24"/>
      <c r="DW371" s="24"/>
      <c r="DX371" s="24"/>
      <c r="DY371" s="24"/>
      <c r="DZ371" s="24"/>
      <c r="EA371" s="24"/>
      <c r="EB371" s="24"/>
      <c r="EC371" s="24"/>
      <c r="ED371" s="24"/>
      <c r="EE371" s="24"/>
      <c r="EF371" s="24"/>
      <c r="EG371" s="24"/>
      <c r="EH371" s="24"/>
      <c r="EI371" s="24"/>
      <c r="EJ371" s="24"/>
      <c r="EK371" s="24"/>
      <c r="EL371" s="24"/>
      <c r="EM371" s="24"/>
      <c r="EN371" s="24"/>
      <c r="EO371" s="24"/>
      <c r="EP371" s="24"/>
      <c r="EQ371" s="24"/>
      <c r="ER371" s="24"/>
      <c r="ES371" s="24"/>
      <c r="ET371" s="24"/>
      <c r="EU371" s="24"/>
      <c r="EV371" s="24"/>
      <c r="EW371" s="24"/>
      <c r="EX371" s="24"/>
      <c r="EY371" s="24"/>
      <c r="EZ371" s="24"/>
      <c r="FA371" s="24"/>
      <c r="FB371" s="24"/>
      <c r="FC371" s="24"/>
      <c r="FD371" s="24"/>
      <c r="FE371" s="24"/>
      <c r="FF371" s="24"/>
      <c r="FG371" s="24"/>
      <c r="FH371" s="24"/>
      <c r="FI371" s="24"/>
      <c r="FJ371" s="24"/>
      <c r="FK371" s="24"/>
      <c r="FL371" s="24"/>
      <c r="FM371" s="24"/>
      <c r="FN371" s="24"/>
      <c r="FO371" s="24"/>
      <c r="FP371" s="24"/>
      <c r="FQ371" s="24"/>
      <c r="FR371" s="24"/>
      <c r="FS371" s="24"/>
      <c r="FT371" s="24"/>
      <c r="FU371" s="24"/>
      <c r="FV371" s="24"/>
      <c r="FW371" s="24"/>
      <c r="FX371" s="24"/>
      <c r="FY371" s="24"/>
      <c r="FZ371" s="24"/>
      <c r="GA371" s="24"/>
      <c r="GB371" s="24"/>
      <c r="GC371" s="24"/>
      <c r="GD371" s="24"/>
      <c r="GE371" s="24"/>
      <c r="GF371" s="24"/>
      <c r="GG371" s="24"/>
      <c r="GH371" s="24"/>
      <c r="GI371" s="24"/>
      <c r="GJ371" s="24"/>
      <c r="GK371" s="24"/>
      <c r="GL371" s="24"/>
      <c r="GM371" s="24"/>
      <c r="GN371" s="24"/>
      <c r="GO371" s="24"/>
      <c r="GP371" s="24"/>
      <c r="GQ371" s="24"/>
      <c r="GR371" s="24"/>
    </row>
    <row r="372" spans="1:220" s="23" customFormat="1" ht="14.25" customHeight="1">
      <c r="A372" s="20"/>
      <c r="B372" s="21"/>
      <c r="C372" s="22"/>
      <c r="D372" s="22"/>
      <c r="E372" s="22"/>
      <c r="G372" s="22"/>
      <c r="H372" s="22"/>
      <c r="I372" s="22"/>
      <c r="K372" s="22"/>
      <c r="L372" s="22"/>
      <c r="M372" s="22"/>
      <c r="O372" s="22"/>
      <c r="P372" s="22"/>
      <c r="Q372" s="22"/>
      <c r="S372" s="22"/>
      <c r="T372" s="22"/>
      <c r="U372" s="22"/>
      <c r="W372" s="22"/>
      <c r="X372" s="22"/>
      <c r="Y372" s="22"/>
      <c r="AA372" s="22"/>
      <c r="AB372" s="22"/>
      <c r="AC372" s="22"/>
      <c r="AE372" s="24"/>
      <c r="AF372" s="24"/>
      <c r="AG372" s="24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6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4"/>
      <c r="CC372" s="24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4"/>
      <c r="CP372" s="24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4"/>
      <c r="DC372" s="24"/>
      <c r="DD372" s="24"/>
      <c r="DE372" s="24"/>
      <c r="DF372" s="24"/>
      <c r="DG372" s="24"/>
      <c r="DH372" s="24"/>
      <c r="DI372" s="24"/>
      <c r="DJ372" s="24"/>
      <c r="DK372" s="24"/>
      <c r="DL372" s="24"/>
      <c r="DM372" s="24"/>
      <c r="DN372" s="24"/>
      <c r="DO372" s="24"/>
      <c r="DP372" s="24"/>
      <c r="DQ372" s="24"/>
      <c r="DR372" s="24"/>
      <c r="DS372" s="24"/>
      <c r="DT372" s="24"/>
      <c r="DU372" s="24"/>
      <c r="DV372" s="24"/>
      <c r="DW372" s="24"/>
      <c r="DX372" s="24"/>
      <c r="DY372" s="24"/>
      <c r="DZ372" s="24"/>
      <c r="EA372" s="24"/>
      <c r="EB372" s="24"/>
      <c r="EC372" s="24"/>
      <c r="ED372" s="24"/>
      <c r="EE372" s="24"/>
      <c r="EF372" s="24"/>
      <c r="EG372" s="24"/>
      <c r="EH372" s="24"/>
      <c r="EI372" s="24"/>
      <c r="EJ372" s="24"/>
      <c r="EK372" s="24"/>
      <c r="EL372" s="24"/>
      <c r="EM372" s="24"/>
      <c r="EN372" s="24"/>
      <c r="EO372" s="24"/>
      <c r="EP372" s="24"/>
      <c r="EQ372" s="24"/>
      <c r="ER372" s="24"/>
      <c r="ES372" s="24"/>
      <c r="ET372" s="24"/>
      <c r="EU372" s="24"/>
      <c r="EV372" s="24"/>
      <c r="EW372" s="24"/>
      <c r="EX372" s="24"/>
      <c r="EY372" s="24"/>
      <c r="EZ372" s="24"/>
      <c r="FA372" s="24"/>
      <c r="FB372" s="24"/>
      <c r="FC372" s="24"/>
      <c r="FD372" s="24"/>
      <c r="FE372" s="24"/>
      <c r="FF372" s="24"/>
      <c r="FG372" s="24"/>
      <c r="FH372" s="24"/>
      <c r="FI372" s="24"/>
      <c r="FJ372" s="24"/>
      <c r="FK372" s="24"/>
      <c r="FL372" s="24"/>
      <c r="FM372" s="24"/>
      <c r="FN372" s="24"/>
      <c r="FO372" s="24"/>
      <c r="FP372" s="24"/>
      <c r="FQ372" s="24"/>
      <c r="FR372" s="24"/>
      <c r="FS372" s="24"/>
      <c r="FT372" s="24"/>
      <c r="FU372" s="24"/>
      <c r="FV372" s="24"/>
      <c r="FW372" s="24"/>
      <c r="FX372" s="24"/>
      <c r="FY372" s="24"/>
      <c r="FZ372" s="24"/>
      <c r="GA372" s="24"/>
      <c r="GB372" s="24"/>
      <c r="GC372" s="24"/>
      <c r="GD372" s="24"/>
      <c r="GE372" s="24"/>
      <c r="GF372" s="24"/>
      <c r="GG372" s="24"/>
      <c r="GH372" s="24"/>
      <c r="GI372" s="24"/>
      <c r="GJ372" s="24"/>
      <c r="GK372" s="24"/>
      <c r="GL372" s="24"/>
      <c r="GM372" s="24"/>
      <c r="GN372" s="24"/>
      <c r="GO372" s="24"/>
      <c r="GP372" s="24"/>
      <c r="GQ372" s="24"/>
      <c r="GR372" s="24"/>
    </row>
    <row r="373" spans="1:220" s="23" customFormat="1" ht="14.25" customHeight="1">
      <c r="A373" s="20"/>
      <c r="B373" s="21"/>
      <c r="C373" s="22"/>
      <c r="D373" s="22"/>
      <c r="E373" s="22"/>
      <c r="G373" s="22"/>
      <c r="H373" s="22"/>
      <c r="I373" s="22"/>
      <c r="K373" s="22"/>
      <c r="L373" s="22"/>
      <c r="M373" s="22"/>
      <c r="O373" s="22"/>
      <c r="P373" s="22"/>
      <c r="Q373" s="22"/>
      <c r="S373" s="22"/>
      <c r="T373" s="22"/>
      <c r="U373" s="22"/>
      <c r="W373" s="22"/>
      <c r="X373" s="22"/>
      <c r="Y373" s="22"/>
      <c r="AA373" s="22"/>
      <c r="AB373" s="22"/>
      <c r="AC373" s="22"/>
      <c r="AE373" s="24"/>
      <c r="AF373" s="24"/>
      <c r="AG373" s="24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6"/>
      <c r="AW373" s="24"/>
      <c r="AX373" s="24"/>
      <c r="AY373" s="24"/>
      <c r="AZ373" s="24"/>
      <c r="BA373" s="24"/>
      <c r="BB373" s="24"/>
      <c r="BC373" s="24"/>
      <c r="BD373" s="24"/>
      <c r="BE373" s="24"/>
      <c r="BF373" s="24"/>
      <c r="BG373" s="24"/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BT373" s="24"/>
      <c r="BU373" s="24"/>
      <c r="BV373" s="24"/>
      <c r="BW373" s="24"/>
      <c r="BX373" s="24"/>
      <c r="BY373" s="24"/>
      <c r="BZ373" s="24"/>
      <c r="CA373" s="24"/>
      <c r="CB373" s="24"/>
      <c r="CC373" s="24"/>
      <c r="CD373" s="24"/>
      <c r="CE373" s="24"/>
      <c r="CF373" s="24"/>
      <c r="CG373" s="24"/>
      <c r="CH373" s="24"/>
      <c r="CI373" s="24"/>
      <c r="CJ373" s="24"/>
      <c r="CK373" s="24"/>
      <c r="CL373" s="24"/>
      <c r="CM373" s="24"/>
      <c r="CN373" s="24"/>
      <c r="CO373" s="24"/>
      <c r="CP373" s="24"/>
      <c r="CQ373" s="24"/>
      <c r="CR373" s="24"/>
      <c r="CS373" s="24"/>
      <c r="CT373" s="24"/>
      <c r="CU373" s="24"/>
      <c r="CV373" s="24"/>
      <c r="CW373" s="24"/>
      <c r="CX373" s="24"/>
      <c r="CY373" s="24"/>
      <c r="CZ373" s="24"/>
      <c r="DA373" s="24"/>
      <c r="DB373" s="24"/>
      <c r="DC373" s="24"/>
      <c r="DD373" s="24"/>
      <c r="DE373" s="24"/>
      <c r="DF373" s="24"/>
      <c r="DG373" s="24"/>
      <c r="DH373" s="24"/>
      <c r="DI373" s="24"/>
      <c r="DJ373" s="24"/>
      <c r="DK373" s="24"/>
      <c r="DL373" s="24"/>
      <c r="DM373" s="24"/>
      <c r="DN373" s="24"/>
      <c r="DO373" s="24"/>
      <c r="DP373" s="24"/>
      <c r="DQ373" s="24"/>
      <c r="DR373" s="24"/>
      <c r="DS373" s="24"/>
      <c r="DT373" s="24"/>
      <c r="DU373" s="24"/>
      <c r="DV373" s="24"/>
      <c r="DW373" s="24"/>
      <c r="DX373" s="24"/>
      <c r="DY373" s="24"/>
      <c r="DZ373" s="24"/>
      <c r="EA373" s="24"/>
      <c r="EB373" s="24"/>
      <c r="EC373" s="24"/>
      <c r="ED373" s="24"/>
      <c r="EE373" s="24"/>
      <c r="EF373" s="24"/>
      <c r="EG373" s="24"/>
      <c r="EH373" s="24"/>
      <c r="EI373" s="24"/>
      <c r="EJ373" s="24"/>
      <c r="EK373" s="24"/>
      <c r="EL373" s="24"/>
      <c r="EM373" s="24"/>
      <c r="EN373" s="24"/>
      <c r="EO373" s="24"/>
      <c r="EP373" s="24"/>
      <c r="EQ373" s="24"/>
      <c r="ER373" s="24"/>
      <c r="ES373" s="24"/>
      <c r="ET373" s="24"/>
      <c r="EU373" s="24"/>
      <c r="EV373" s="24"/>
      <c r="EW373" s="24"/>
      <c r="EX373" s="24"/>
      <c r="EY373" s="24"/>
      <c r="EZ373" s="24"/>
      <c r="FA373" s="24"/>
      <c r="FB373" s="24"/>
      <c r="FC373" s="24"/>
      <c r="FD373" s="24"/>
      <c r="FE373" s="24"/>
      <c r="FF373" s="24"/>
      <c r="FG373" s="24"/>
      <c r="FH373" s="24"/>
      <c r="FI373" s="24"/>
      <c r="FJ373" s="24"/>
      <c r="FK373" s="24"/>
      <c r="FL373" s="24"/>
      <c r="FM373" s="24"/>
      <c r="FN373" s="24"/>
      <c r="FO373" s="24"/>
      <c r="FP373" s="24"/>
      <c r="FQ373" s="24"/>
      <c r="FR373" s="24"/>
      <c r="FS373" s="24"/>
      <c r="FT373" s="24"/>
      <c r="FU373" s="24"/>
      <c r="FV373" s="24"/>
      <c r="FW373" s="24"/>
      <c r="FX373" s="24"/>
      <c r="FY373" s="24"/>
      <c r="FZ373" s="24"/>
      <c r="GA373" s="24"/>
      <c r="GB373" s="24"/>
      <c r="GC373" s="24"/>
      <c r="GD373" s="24"/>
      <c r="GE373" s="24"/>
      <c r="GF373" s="24"/>
      <c r="GG373" s="24"/>
      <c r="GH373" s="24"/>
      <c r="GI373" s="24"/>
      <c r="GJ373" s="24"/>
      <c r="GK373" s="24"/>
      <c r="GL373" s="24"/>
      <c r="GM373" s="24"/>
      <c r="GN373" s="24"/>
      <c r="GO373" s="24"/>
      <c r="GP373" s="24"/>
      <c r="GQ373" s="24"/>
      <c r="GR373" s="24"/>
    </row>
    <row r="374" spans="1:220" s="23" customFormat="1" ht="14.25" customHeight="1">
      <c r="A374" s="20"/>
      <c r="B374" s="21"/>
      <c r="C374" s="22"/>
      <c r="D374" s="22"/>
      <c r="E374" s="22"/>
      <c r="G374" s="22"/>
      <c r="H374" s="22"/>
      <c r="I374" s="22"/>
      <c r="K374" s="22"/>
      <c r="L374" s="22"/>
      <c r="M374" s="22"/>
      <c r="O374" s="22"/>
      <c r="P374" s="22"/>
      <c r="Q374" s="22"/>
      <c r="S374" s="22"/>
      <c r="T374" s="22"/>
      <c r="U374" s="22"/>
      <c r="W374" s="22"/>
      <c r="X374" s="22"/>
      <c r="Y374" s="22"/>
      <c r="AA374" s="22"/>
      <c r="AB374" s="22"/>
      <c r="AC374" s="22"/>
      <c r="AE374" s="24"/>
      <c r="AF374" s="24"/>
      <c r="AG374" s="24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6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4"/>
      <c r="CC374" s="24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4"/>
      <c r="CP374" s="24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4"/>
      <c r="DC374" s="24"/>
      <c r="DD374" s="24"/>
      <c r="DE374" s="24"/>
      <c r="DF374" s="24"/>
      <c r="DG374" s="24"/>
      <c r="DH374" s="24"/>
      <c r="DI374" s="24"/>
      <c r="DJ374" s="24"/>
      <c r="DK374" s="24"/>
      <c r="DL374" s="24"/>
      <c r="DM374" s="24"/>
      <c r="DN374" s="24"/>
      <c r="DO374" s="24"/>
      <c r="DP374" s="24"/>
      <c r="DQ374" s="24"/>
      <c r="DR374" s="24"/>
      <c r="DS374" s="24"/>
      <c r="DT374" s="24"/>
      <c r="DU374" s="24"/>
      <c r="DV374" s="24"/>
      <c r="DW374" s="24"/>
      <c r="DX374" s="24"/>
      <c r="DY374" s="24"/>
      <c r="DZ374" s="24"/>
      <c r="EA374" s="24"/>
      <c r="EB374" s="24"/>
      <c r="EC374" s="24"/>
      <c r="ED374" s="24"/>
      <c r="EE374" s="24"/>
      <c r="EF374" s="24"/>
      <c r="EG374" s="24"/>
      <c r="EH374" s="24"/>
      <c r="EI374" s="24"/>
      <c r="EJ374" s="24"/>
      <c r="EK374" s="24"/>
      <c r="EL374" s="24"/>
      <c r="EM374" s="24"/>
      <c r="EN374" s="24"/>
      <c r="EO374" s="24"/>
      <c r="EP374" s="24"/>
      <c r="EQ374" s="24"/>
      <c r="ER374" s="24"/>
      <c r="ES374" s="24"/>
      <c r="ET374" s="24"/>
      <c r="EU374" s="24"/>
      <c r="EV374" s="24"/>
      <c r="EW374" s="24"/>
      <c r="EX374" s="24"/>
      <c r="EY374" s="24"/>
      <c r="EZ374" s="24"/>
      <c r="FA374" s="24"/>
      <c r="FB374" s="24"/>
      <c r="FC374" s="24"/>
      <c r="FD374" s="24"/>
      <c r="FE374" s="24"/>
      <c r="FF374" s="24"/>
      <c r="FG374" s="24"/>
      <c r="FH374" s="24"/>
      <c r="FI374" s="24"/>
      <c r="FJ374" s="24"/>
      <c r="FK374" s="24"/>
      <c r="FL374" s="24"/>
      <c r="FM374" s="24"/>
      <c r="FN374" s="24"/>
      <c r="FO374" s="24"/>
      <c r="FP374" s="24"/>
      <c r="FQ374" s="24"/>
      <c r="FR374" s="24"/>
      <c r="FS374" s="24"/>
      <c r="FT374" s="24"/>
      <c r="FU374" s="24"/>
      <c r="FV374" s="24"/>
      <c r="FW374" s="24"/>
      <c r="FX374" s="24"/>
      <c r="FY374" s="24"/>
      <c r="FZ374" s="24"/>
      <c r="GA374" s="24"/>
      <c r="GB374" s="24"/>
      <c r="GC374" s="24"/>
      <c r="GD374" s="24"/>
      <c r="GE374" s="24"/>
      <c r="GF374" s="24"/>
      <c r="GG374" s="24"/>
      <c r="GH374" s="24"/>
      <c r="GI374" s="24"/>
      <c r="GJ374" s="24"/>
      <c r="GK374" s="24"/>
      <c r="GL374" s="24"/>
      <c r="GM374" s="24"/>
      <c r="GN374" s="24"/>
      <c r="GO374" s="24"/>
      <c r="GP374" s="24"/>
      <c r="GQ374" s="24"/>
      <c r="GR374" s="24"/>
    </row>
    <row r="375" spans="1:220" s="23" customFormat="1" ht="14.25" customHeight="1">
      <c r="A375" s="20"/>
      <c r="B375" s="21"/>
      <c r="C375" s="22"/>
      <c r="D375" s="22"/>
      <c r="E375" s="22"/>
      <c r="G375" s="22"/>
      <c r="H375" s="22"/>
      <c r="I375" s="22"/>
      <c r="K375" s="22"/>
      <c r="L375" s="22"/>
      <c r="M375" s="22"/>
      <c r="O375" s="22"/>
      <c r="P375" s="22"/>
      <c r="Q375" s="22"/>
      <c r="S375" s="22"/>
      <c r="T375" s="22"/>
      <c r="U375" s="22"/>
      <c r="W375" s="22"/>
      <c r="X375" s="22"/>
      <c r="Y375" s="22"/>
      <c r="AA375" s="22"/>
      <c r="AB375" s="22"/>
      <c r="AC375" s="22"/>
      <c r="AE375" s="24"/>
      <c r="AF375" s="24"/>
      <c r="AG375" s="24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6"/>
      <c r="AW375" s="24"/>
      <c r="AX375" s="24"/>
      <c r="AY375" s="24"/>
      <c r="AZ375" s="24"/>
      <c r="BA375" s="24"/>
      <c r="BB375" s="24"/>
      <c r="BC375" s="24"/>
      <c r="BD375" s="24"/>
      <c r="BE375" s="24"/>
      <c r="BF375" s="24"/>
      <c r="BG375" s="24"/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BT375" s="24"/>
      <c r="BU375" s="24"/>
      <c r="BV375" s="24"/>
      <c r="BW375" s="24"/>
      <c r="BX375" s="24"/>
      <c r="BY375" s="24"/>
      <c r="BZ375" s="24"/>
      <c r="CA375" s="24"/>
      <c r="CB375" s="24"/>
      <c r="CC375" s="24"/>
      <c r="CD375" s="24"/>
      <c r="CE375" s="24"/>
      <c r="CF375" s="24"/>
      <c r="CG375" s="24"/>
      <c r="CH375" s="24"/>
      <c r="CI375" s="24"/>
      <c r="CJ375" s="24"/>
      <c r="CK375" s="24"/>
      <c r="CL375" s="24"/>
      <c r="CM375" s="24"/>
      <c r="CN375" s="24"/>
      <c r="CO375" s="24"/>
      <c r="CP375" s="24"/>
      <c r="CQ375" s="24"/>
      <c r="CR375" s="24"/>
      <c r="CS375" s="24"/>
      <c r="CT375" s="24"/>
      <c r="CU375" s="24"/>
      <c r="CV375" s="24"/>
      <c r="CW375" s="24"/>
      <c r="CX375" s="24"/>
      <c r="CY375" s="24"/>
      <c r="CZ375" s="24"/>
      <c r="DA375" s="24"/>
      <c r="DB375" s="24"/>
      <c r="DC375" s="24"/>
      <c r="DD375" s="24"/>
      <c r="DE375" s="24"/>
      <c r="DF375" s="24"/>
      <c r="DG375" s="24"/>
      <c r="DH375" s="24"/>
      <c r="DI375" s="24"/>
      <c r="DJ375" s="24"/>
      <c r="DK375" s="24"/>
      <c r="DL375" s="24"/>
      <c r="DM375" s="24"/>
      <c r="DN375" s="24"/>
      <c r="DO375" s="24"/>
      <c r="DP375" s="24"/>
      <c r="DQ375" s="24"/>
      <c r="DR375" s="24"/>
      <c r="DS375" s="24"/>
      <c r="DT375" s="24"/>
      <c r="DU375" s="24"/>
      <c r="DV375" s="24"/>
      <c r="DW375" s="24"/>
      <c r="DX375" s="24"/>
      <c r="DY375" s="24"/>
      <c r="DZ375" s="24"/>
      <c r="EA375" s="24"/>
      <c r="EB375" s="24"/>
      <c r="EC375" s="24"/>
      <c r="ED375" s="24"/>
      <c r="EE375" s="24"/>
      <c r="EF375" s="24"/>
      <c r="EG375" s="24"/>
      <c r="EH375" s="24"/>
      <c r="EI375" s="24"/>
      <c r="EJ375" s="24"/>
      <c r="EK375" s="24"/>
      <c r="EL375" s="24"/>
      <c r="EM375" s="24"/>
      <c r="EN375" s="24"/>
      <c r="EO375" s="24"/>
      <c r="EP375" s="24"/>
      <c r="EQ375" s="24"/>
      <c r="ER375" s="24"/>
      <c r="ES375" s="24"/>
      <c r="ET375" s="24"/>
      <c r="EU375" s="24"/>
      <c r="EV375" s="24"/>
      <c r="EW375" s="24"/>
      <c r="EX375" s="24"/>
      <c r="EY375" s="24"/>
      <c r="EZ375" s="24"/>
      <c r="FA375" s="24"/>
      <c r="FB375" s="24"/>
      <c r="FC375" s="24"/>
      <c r="FD375" s="24"/>
      <c r="FE375" s="24"/>
      <c r="FF375" s="24"/>
      <c r="FG375" s="24"/>
      <c r="FH375" s="24"/>
      <c r="FI375" s="24"/>
      <c r="FJ375" s="24"/>
      <c r="FK375" s="24"/>
      <c r="FL375" s="24"/>
      <c r="FM375" s="24"/>
      <c r="FN375" s="24"/>
      <c r="FO375" s="24"/>
      <c r="FP375" s="24"/>
      <c r="FQ375" s="24"/>
      <c r="FR375" s="24"/>
      <c r="FS375" s="24"/>
      <c r="FT375" s="24"/>
      <c r="FU375" s="24"/>
      <c r="FV375" s="24"/>
      <c r="FW375" s="24"/>
      <c r="FX375" s="24"/>
      <c r="FY375" s="24"/>
      <c r="FZ375" s="24"/>
      <c r="GA375" s="24"/>
      <c r="GB375" s="24"/>
      <c r="GC375" s="24"/>
      <c r="GD375" s="24"/>
      <c r="GE375" s="24"/>
      <c r="GF375" s="24"/>
      <c r="GG375" s="24"/>
      <c r="GH375" s="24"/>
      <c r="GI375" s="24"/>
      <c r="GJ375" s="24"/>
      <c r="GK375" s="24"/>
      <c r="GL375" s="24"/>
      <c r="GM375" s="24"/>
      <c r="GN375" s="24"/>
      <c r="GO375" s="24"/>
      <c r="GP375" s="24"/>
      <c r="GQ375" s="24"/>
      <c r="GR375" s="24"/>
    </row>
    <row r="376" spans="1:220" s="23" customFormat="1" ht="14.25" customHeight="1">
      <c r="A376" s="20"/>
      <c r="B376" s="21"/>
      <c r="C376" s="22"/>
      <c r="D376" s="22"/>
      <c r="E376" s="22"/>
      <c r="G376" s="22"/>
      <c r="H376" s="22"/>
      <c r="I376" s="22"/>
      <c r="K376" s="22"/>
      <c r="L376" s="22"/>
      <c r="M376" s="22"/>
      <c r="O376" s="22"/>
      <c r="P376" s="22"/>
      <c r="Q376" s="22"/>
      <c r="S376" s="22"/>
      <c r="T376" s="22"/>
      <c r="U376" s="22"/>
      <c r="W376" s="22"/>
      <c r="X376" s="22"/>
      <c r="Y376" s="22"/>
      <c r="AA376" s="22"/>
      <c r="AB376" s="22"/>
      <c r="AC376" s="22"/>
      <c r="AE376" s="24"/>
      <c r="AF376" s="24"/>
      <c r="AG376" s="24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6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4"/>
      <c r="CC376" s="24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4"/>
      <c r="CP376" s="24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4"/>
      <c r="DC376" s="24"/>
      <c r="DD376" s="24"/>
      <c r="DE376" s="24"/>
      <c r="DF376" s="24"/>
      <c r="DG376" s="24"/>
      <c r="DH376" s="24"/>
      <c r="DI376" s="24"/>
      <c r="DJ376" s="24"/>
      <c r="DK376" s="24"/>
      <c r="DL376" s="24"/>
      <c r="DM376" s="24"/>
      <c r="DN376" s="24"/>
      <c r="DO376" s="24"/>
      <c r="DP376" s="24"/>
      <c r="DQ376" s="24"/>
      <c r="DR376" s="24"/>
      <c r="DS376" s="24"/>
      <c r="DT376" s="24"/>
      <c r="DU376" s="24"/>
      <c r="DV376" s="24"/>
      <c r="DW376" s="24"/>
      <c r="DX376" s="24"/>
      <c r="DY376" s="24"/>
      <c r="DZ376" s="24"/>
      <c r="EA376" s="24"/>
      <c r="EB376" s="24"/>
      <c r="EC376" s="24"/>
      <c r="ED376" s="24"/>
      <c r="EE376" s="24"/>
      <c r="EF376" s="24"/>
      <c r="EG376" s="24"/>
      <c r="EH376" s="24"/>
      <c r="EI376" s="24"/>
      <c r="EJ376" s="24"/>
      <c r="EK376" s="24"/>
      <c r="EL376" s="24"/>
      <c r="EM376" s="24"/>
      <c r="EN376" s="24"/>
      <c r="EO376" s="24"/>
      <c r="EP376" s="24"/>
      <c r="EQ376" s="24"/>
      <c r="ER376" s="24"/>
      <c r="ES376" s="24"/>
      <c r="ET376" s="24"/>
      <c r="EU376" s="24"/>
      <c r="EV376" s="24"/>
      <c r="EW376" s="24"/>
      <c r="EX376" s="24"/>
      <c r="EY376" s="24"/>
      <c r="EZ376" s="24"/>
      <c r="FA376" s="24"/>
      <c r="FB376" s="24"/>
      <c r="FC376" s="24"/>
      <c r="FD376" s="24"/>
      <c r="FE376" s="24"/>
      <c r="FF376" s="24"/>
      <c r="FG376" s="24"/>
      <c r="FH376" s="24"/>
      <c r="FI376" s="24"/>
      <c r="FJ376" s="24"/>
      <c r="FK376" s="24"/>
      <c r="FL376" s="24"/>
      <c r="FM376" s="24"/>
      <c r="FN376" s="24"/>
      <c r="FO376" s="24"/>
      <c r="FP376" s="24"/>
      <c r="FQ376" s="24"/>
      <c r="FR376" s="24"/>
      <c r="FS376" s="24"/>
      <c r="FT376" s="24"/>
      <c r="FU376" s="24"/>
      <c r="FV376" s="24"/>
      <c r="FW376" s="24"/>
      <c r="FX376" s="24"/>
      <c r="FY376" s="24"/>
      <c r="FZ376" s="24"/>
      <c r="GA376" s="24"/>
      <c r="GB376" s="24"/>
      <c r="GC376" s="24"/>
      <c r="GD376" s="24"/>
      <c r="GE376" s="24"/>
      <c r="GF376" s="24"/>
      <c r="GG376" s="24"/>
      <c r="GH376" s="24"/>
      <c r="GI376" s="24"/>
      <c r="GJ376" s="24"/>
      <c r="GK376" s="24"/>
      <c r="GL376" s="24"/>
      <c r="GM376" s="24"/>
      <c r="GN376" s="24"/>
      <c r="GO376" s="24"/>
      <c r="GP376" s="24"/>
      <c r="GQ376" s="24"/>
      <c r="GR376" s="24"/>
      <c r="GS376" s="24"/>
      <c r="GT376" s="24"/>
      <c r="GU376" s="24"/>
      <c r="GV376" s="24"/>
      <c r="GW376" s="24"/>
      <c r="GX376" s="24"/>
      <c r="GY376" s="24"/>
      <c r="GZ376" s="24"/>
      <c r="HA376" s="24"/>
      <c r="HB376" s="24"/>
      <c r="HC376" s="24"/>
      <c r="HD376" s="24"/>
      <c r="HE376" s="24"/>
      <c r="HF376" s="24"/>
      <c r="HG376" s="24"/>
      <c r="HH376" s="24"/>
      <c r="HI376" s="24"/>
      <c r="HJ376" s="24"/>
      <c r="HK376" s="24"/>
      <c r="HL376" s="24"/>
    </row>
    <row r="377" spans="1:220" s="23" customFormat="1" ht="14.25" customHeight="1">
      <c r="A377" s="20"/>
      <c r="B377" s="21"/>
      <c r="C377" s="22"/>
      <c r="D377" s="22"/>
      <c r="E377" s="22"/>
      <c r="G377" s="22"/>
      <c r="H377" s="22"/>
      <c r="I377" s="22"/>
      <c r="K377" s="22"/>
      <c r="L377" s="22"/>
      <c r="M377" s="22"/>
      <c r="O377" s="22"/>
      <c r="P377" s="22"/>
      <c r="Q377" s="22"/>
      <c r="S377" s="22"/>
      <c r="T377" s="22"/>
      <c r="U377" s="22"/>
      <c r="W377" s="22"/>
      <c r="X377" s="22"/>
      <c r="Y377" s="22"/>
      <c r="AA377" s="22"/>
      <c r="AB377" s="22"/>
      <c r="AC377" s="22"/>
      <c r="AE377" s="24"/>
      <c r="AF377" s="24"/>
      <c r="AG377" s="24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6"/>
      <c r="AW377" s="24"/>
      <c r="AX377" s="24"/>
      <c r="AY377" s="24"/>
      <c r="AZ377" s="24"/>
      <c r="BA377" s="24"/>
      <c r="BB377" s="24"/>
      <c r="BC377" s="24"/>
      <c r="BD377" s="24"/>
      <c r="BE377" s="24"/>
      <c r="BF377" s="24"/>
      <c r="BG377" s="24"/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BT377" s="24"/>
      <c r="BU377" s="24"/>
      <c r="BV377" s="24"/>
      <c r="BW377" s="24"/>
      <c r="BX377" s="24"/>
      <c r="BY377" s="24"/>
      <c r="BZ377" s="24"/>
      <c r="CA377" s="24"/>
      <c r="CB377" s="24"/>
      <c r="CC377" s="24"/>
      <c r="CD377" s="24"/>
      <c r="CE377" s="24"/>
      <c r="CF377" s="24"/>
      <c r="CG377" s="24"/>
      <c r="CH377" s="24"/>
      <c r="CI377" s="24"/>
      <c r="CJ377" s="24"/>
      <c r="CK377" s="24"/>
      <c r="CL377" s="24"/>
      <c r="CM377" s="24"/>
      <c r="CN377" s="24"/>
      <c r="CO377" s="24"/>
      <c r="CP377" s="24"/>
      <c r="CQ377" s="24"/>
      <c r="CR377" s="24"/>
      <c r="CS377" s="24"/>
      <c r="CT377" s="24"/>
      <c r="CU377" s="24"/>
      <c r="CV377" s="24"/>
      <c r="CW377" s="24"/>
      <c r="CX377" s="24"/>
      <c r="CY377" s="24"/>
      <c r="CZ377" s="24"/>
      <c r="DA377" s="24"/>
      <c r="DB377" s="24"/>
      <c r="DC377" s="24"/>
      <c r="DD377" s="24"/>
      <c r="DE377" s="24"/>
      <c r="DF377" s="24"/>
      <c r="DG377" s="24"/>
      <c r="DH377" s="24"/>
      <c r="DI377" s="24"/>
      <c r="DJ377" s="24"/>
      <c r="DK377" s="24"/>
      <c r="DL377" s="24"/>
      <c r="DM377" s="24"/>
      <c r="DN377" s="24"/>
      <c r="DO377" s="24"/>
      <c r="DP377" s="24"/>
      <c r="DQ377" s="24"/>
      <c r="DR377" s="24"/>
      <c r="DS377" s="24"/>
      <c r="DT377" s="24"/>
      <c r="DU377" s="24"/>
      <c r="DV377" s="24"/>
      <c r="DW377" s="24"/>
      <c r="DX377" s="24"/>
      <c r="DY377" s="24"/>
      <c r="DZ377" s="24"/>
      <c r="EA377" s="24"/>
      <c r="EB377" s="24"/>
      <c r="EC377" s="24"/>
      <c r="ED377" s="24"/>
      <c r="EE377" s="24"/>
      <c r="EF377" s="24"/>
      <c r="EG377" s="24"/>
      <c r="EH377" s="24"/>
      <c r="EI377" s="24"/>
      <c r="EJ377" s="24"/>
      <c r="EK377" s="24"/>
      <c r="EL377" s="24"/>
      <c r="EM377" s="24"/>
      <c r="EN377" s="24"/>
      <c r="EO377" s="24"/>
      <c r="EP377" s="24"/>
      <c r="EQ377" s="24"/>
      <c r="ER377" s="24"/>
      <c r="ES377" s="24"/>
      <c r="ET377" s="24"/>
      <c r="EU377" s="24"/>
      <c r="EV377" s="24"/>
      <c r="EW377" s="24"/>
      <c r="EX377" s="24"/>
      <c r="EY377" s="24"/>
      <c r="EZ377" s="24"/>
      <c r="FA377" s="24"/>
      <c r="FB377" s="24"/>
      <c r="FC377" s="24"/>
      <c r="FD377" s="24"/>
      <c r="FE377" s="24"/>
      <c r="FF377" s="24"/>
      <c r="FG377" s="24"/>
      <c r="FH377" s="24"/>
      <c r="FI377" s="24"/>
      <c r="FJ377" s="24"/>
      <c r="FK377" s="24"/>
      <c r="FL377" s="24"/>
      <c r="FM377" s="24"/>
      <c r="FN377" s="24"/>
      <c r="FO377" s="24"/>
      <c r="FP377" s="24"/>
      <c r="FQ377" s="24"/>
      <c r="FR377" s="24"/>
      <c r="FS377" s="24"/>
      <c r="FT377" s="24"/>
      <c r="FU377" s="24"/>
      <c r="FV377" s="24"/>
      <c r="FW377" s="24"/>
      <c r="FX377" s="24"/>
      <c r="FY377" s="24"/>
      <c r="FZ377" s="24"/>
      <c r="GA377" s="24"/>
      <c r="GB377" s="24"/>
      <c r="GC377" s="24"/>
      <c r="GD377" s="24"/>
      <c r="GE377" s="24"/>
      <c r="GF377" s="24"/>
      <c r="GG377" s="24"/>
      <c r="GH377" s="24"/>
      <c r="GI377" s="24"/>
      <c r="GJ377" s="24"/>
      <c r="GK377" s="24"/>
      <c r="GL377" s="24"/>
      <c r="GM377" s="24"/>
      <c r="GN377" s="24"/>
      <c r="GO377" s="24"/>
      <c r="GP377" s="24"/>
      <c r="GQ377" s="24"/>
      <c r="GR377" s="24"/>
      <c r="GS377" s="24"/>
      <c r="GT377" s="24"/>
      <c r="GU377" s="24"/>
      <c r="GV377" s="24"/>
      <c r="GW377" s="24"/>
      <c r="GX377" s="24"/>
      <c r="GY377" s="24"/>
      <c r="GZ377" s="24"/>
      <c r="HA377" s="24"/>
      <c r="HB377" s="24"/>
      <c r="HC377" s="24"/>
      <c r="HD377" s="24"/>
      <c r="HE377" s="24"/>
      <c r="HF377" s="24"/>
      <c r="HG377" s="24"/>
      <c r="HH377" s="24"/>
      <c r="HI377" s="24"/>
      <c r="HJ377" s="24"/>
      <c r="HK377" s="24"/>
      <c r="HL377" s="24"/>
    </row>
    <row r="378" spans="1:220" s="23" customFormat="1" ht="14.25" customHeight="1">
      <c r="A378" s="20"/>
      <c r="B378" s="21"/>
      <c r="C378" s="22"/>
      <c r="D378" s="22"/>
      <c r="E378" s="22"/>
      <c r="G378" s="22"/>
      <c r="H378" s="22"/>
      <c r="I378" s="22"/>
      <c r="K378" s="22"/>
      <c r="L378" s="22"/>
      <c r="M378" s="22"/>
      <c r="O378" s="22"/>
      <c r="P378" s="22"/>
      <c r="Q378" s="22"/>
      <c r="S378" s="22"/>
      <c r="T378" s="22"/>
      <c r="U378" s="22"/>
      <c r="W378" s="22"/>
      <c r="X378" s="22"/>
      <c r="Y378" s="22"/>
      <c r="AA378" s="22"/>
      <c r="AB378" s="22"/>
      <c r="AC378" s="22"/>
      <c r="AE378" s="24"/>
      <c r="AF378" s="24"/>
      <c r="AG378" s="24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6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4"/>
      <c r="CC378" s="24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4"/>
      <c r="CP378" s="24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4"/>
      <c r="DC378" s="24"/>
      <c r="DD378" s="24"/>
      <c r="DE378" s="24"/>
      <c r="DF378" s="24"/>
      <c r="DG378" s="24"/>
      <c r="DH378" s="24"/>
      <c r="DI378" s="24"/>
      <c r="DJ378" s="24"/>
      <c r="DK378" s="24"/>
      <c r="DL378" s="24"/>
      <c r="DM378" s="24"/>
      <c r="DN378" s="24"/>
      <c r="DO378" s="24"/>
      <c r="DP378" s="24"/>
      <c r="DQ378" s="24"/>
      <c r="DR378" s="24"/>
      <c r="DS378" s="24"/>
      <c r="DT378" s="24"/>
      <c r="DU378" s="24"/>
      <c r="DV378" s="24"/>
      <c r="DW378" s="24"/>
      <c r="DX378" s="24"/>
      <c r="DY378" s="24"/>
      <c r="DZ378" s="24"/>
      <c r="EA378" s="24"/>
      <c r="EB378" s="24"/>
      <c r="EC378" s="24"/>
      <c r="ED378" s="24"/>
      <c r="EE378" s="24"/>
      <c r="EF378" s="24"/>
      <c r="EG378" s="24"/>
      <c r="EH378" s="24"/>
      <c r="EI378" s="24"/>
      <c r="EJ378" s="24"/>
      <c r="EK378" s="24"/>
      <c r="EL378" s="24"/>
      <c r="EM378" s="24"/>
      <c r="EN378" s="24"/>
      <c r="EO378" s="24"/>
      <c r="EP378" s="24"/>
      <c r="EQ378" s="24"/>
      <c r="ER378" s="24"/>
      <c r="ES378" s="24"/>
      <c r="ET378" s="24"/>
      <c r="EU378" s="24"/>
      <c r="EV378" s="24"/>
      <c r="EW378" s="24"/>
      <c r="EX378" s="24"/>
      <c r="EY378" s="24"/>
      <c r="EZ378" s="24"/>
      <c r="FA378" s="24"/>
      <c r="FB378" s="24"/>
      <c r="FC378" s="24"/>
      <c r="FD378" s="24"/>
      <c r="FE378" s="24"/>
      <c r="FF378" s="24"/>
      <c r="FG378" s="24"/>
      <c r="FH378" s="24"/>
      <c r="FI378" s="24"/>
      <c r="FJ378" s="24"/>
      <c r="FK378" s="24"/>
      <c r="FL378" s="24"/>
      <c r="FM378" s="24"/>
      <c r="FN378" s="24"/>
      <c r="FO378" s="24"/>
      <c r="FP378" s="24"/>
      <c r="FQ378" s="24"/>
      <c r="FR378" s="24"/>
      <c r="FS378" s="24"/>
      <c r="FT378" s="24"/>
      <c r="FU378" s="24"/>
      <c r="FV378" s="24"/>
      <c r="FW378" s="24"/>
      <c r="FX378" s="24"/>
      <c r="FY378" s="24"/>
      <c r="FZ378" s="24"/>
      <c r="GA378" s="24"/>
      <c r="GB378" s="24"/>
      <c r="GC378" s="24"/>
      <c r="GD378" s="24"/>
      <c r="GE378" s="24"/>
      <c r="GF378" s="24"/>
      <c r="GG378" s="24"/>
      <c r="GH378" s="24"/>
      <c r="GI378" s="24"/>
      <c r="GJ378" s="24"/>
      <c r="GK378" s="24"/>
      <c r="GL378" s="24"/>
      <c r="GM378" s="24"/>
      <c r="GN378" s="24"/>
      <c r="GO378" s="24"/>
      <c r="GP378" s="24"/>
      <c r="GQ378" s="24"/>
      <c r="GR378" s="24"/>
      <c r="GS378" s="24"/>
      <c r="GT378" s="24"/>
      <c r="GU378" s="24"/>
      <c r="GV378" s="24"/>
      <c r="GW378" s="24"/>
      <c r="GX378" s="24"/>
      <c r="GY378" s="24"/>
      <c r="GZ378" s="24"/>
      <c r="HA378" s="24"/>
      <c r="HB378" s="24"/>
      <c r="HC378" s="24"/>
      <c r="HD378" s="24"/>
      <c r="HE378" s="24"/>
      <c r="HF378" s="24"/>
      <c r="HG378" s="24"/>
      <c r="HH378" s="24"/>
      <c r="HI378" s="24"/>
      <c r="HJ378" s="24"/>
      <c r="HK378" s="24"/>
      <c r="HL378" s="24"/>
    </row>
    <row r="379" spans="1:220" s="23" customFormat="1" ht="14.25" customHeight="1">
      <c r="A379" s="20"/>
      <c r="B379" s="21"/>
      <c r="C379" s="22"/>
      <c r="D379" s="22"/>
      <c r="E379" s="22"/>
      <c r="G379" s="22"/>
      <c r="H379" s="22"/>
      <c r="I379" s="22"/>
      <c r="K379" s="22"/>
      <c r="L379" s="22"/>
      <c r="M379" s="22"/>
      <c r="O379" s="22"/>
      <c r="P379" s="22"/>
      <c r="Q379" s="22"/>
      <c r="S379" s="22"/>
      <c r="T379" s="22"/>
      <c r="U379" s="22"/>
      <c r="W379" s="22"/>
      <c r="X379" s="22"/>
      <c r="Y379" s="22"/>
      <c r="AA379" s="22"/>
      <c r="AB379" s="22"/>
      <c r="AC379" s="22"/>
      <c r="AE379" s="24"/>
      <c r="AF379" s="24"/>
      <c r="AG379" s="24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6"/>
      <c r="AW379" s="24"/>
      <c r="AX379" s="24"/>
      <c r="AY379" s="24"/>
      <c r="AZ379" s="24"/>
      <c r="BA379" s="24"/>
      <c r="BB379" s="24"/>
      <c r="BC379" s="24"/>
      <c r="BD379" s="24"/>
      <c r="BE379" s="24"/>
      <c r="BF379" s="24"/>
      <c r="BG379" s="24"/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BU379" s="24"/>
      <c r="BV379" s="24"/>
      <c r="BW379" s="24"/>
      <c r="BX379" s="24"/>
      <c r="BY379" s="24"/>
      <c r="BZ379" s="24"/>
      <c r="CA379" s="24"/>
      <c r="CB379" s="24"/>
      <c r="CC379" s="24"/>
      <c r="CD379" s="24"/>
      <c r="CE379" s="24"/>
      <c r="CF379" s="24"/>
      <c r="CG379" s="24"/>
      <c r="CH379" s="24"/>
      <c r="CI379" s="24"/>
      <c r="CJ379" s="24"/>
      <c r="CK379" s="24"/>
      <c r="CL379" s="24"/>
      <c r="CM379" s="24"/>
      <c r="CN379" s="24"/>
      <c r="CO379" s="24"/>
      <c r="CP379" s="24"/>
      <c r="CQ379" s="24"/>
      <c r="CR379" s="24"/>
      <c r="CS379" s="24"/>
      <c r="CT379" s="24"/>
      <c r="CU379" s="24"/>
      <c r="CV379" s="24"/>
      <c r="CW379" s="24"/>
      <c r="CX379" s="24"/>
      <c r="CY379" s="24"/>
      <c r="CZ379" s="24"/>
      <c r="DA379" s="24"/>
      <c r="DB379" s="24"/>
      <c r="DC379" s="24"/>
      <c r="DD379" s="24"/>
      <c r="DE379" s="24"/>
      <c r="DF379" s="24"/>
      <c r="DG379" s="24"/>
      <c r="DH379" s="24"/>
      <c r="DI379" s="24"/>
      <c r="DJ379" s="24"/>
      <c r="DK379" s="24"/>
      <c r="DL379" s="24"/>
      <c r="DM379" s="24"/>
      <c r="DN379" s="24"/>
      <c r="DO379" s="24"/>
      <c r="DP379" s="24"/>
      <c r="DQ379" s="24"/>
      <c r="DR379" s="24"/>
      <c r="DS379" s="24"/>
      <c r="DT379" s="24"/>
      <c r="DU379" s="24"/>
      <c r="DV379" s="24"/>
      <c r="DW379" s="24"/>
      <c r="DX379" s="24"/>
      <c r="DY379" s="24"/>
      <c r="DZ379" s="24"/>
      <c r="EA379" s="24"/>
      <c r="EB379" s="24"/>
      <c r="EC379" s="24"/>
      <c r="ED379" s="24"/>
      <c r="EE379" s="24"/>
      <c r="EF379" s="24"/>
      <c r="EG379" s="24"/>
      <c r="EH379" s="24"/>
      <c r="EI379" s="24"/>
      <c r="EJ379" s="24"/>
      <c r="EK379" s="24"/>
      <c r="EL379" s="24"/>
      <c r="EM379" s="24"/>
      <c r="EN379" s="24"/>
      <c r="EO379" s="24"/>
      <c r="EP379" s="24"/>
      <c r="EQ379" s="24"/>
      <c r="ER379" s="24"/>
      <c r="ES379" s="24"/>
      <c r="ET379" s="24"/>
      <c r="EU379" s="24"/>
      <c r="EV379" s="24"/>
      <c r="EW379" s="24"/>
      <c r="EX379" s="24"/>
      <c r="EY379" s="24"/>
      <c r="EZ379" s="24"/>
      <c r="FA379" s="24"/>
      <c r="FB379" s="24"/>
      <c r="FC379" s="24"/>
      <c r="FD379" s="24"/>
      <c r="FE379" s="24"/>
      <c r="FF379" s="24"/>
      <c r="FG379" s="24"/>
      <c r="FH379" s="24"/>
      <c r="FI379" s="24"/>
      <c r="FJ379" s="24"/>
      <c r="FK379" s="24"/>
      <c r="FL379" s="24"/>
      <c r="FM379" s="24"/>
      <c r="FN379" s="24"/>
      <c r="FO379" s="24"/>
      <c r="FP379" s="24"/>
      <c r="FQ379" s="24"/>
      <c r="FR379" s="24"/>
      <c r="FS379" s="24"/>
      <c r="FT379" s="24"/>
      <c r="FU379" s="24"/>
      <c r="FV379" s="24"/>
      <c r="FW379" s="24"/>
      <c r="FX379" s="24"/>
      <c r="FY379" s="24"/>
      <c r="FZ379" s="24"/>
      <c r="GA379" s="24"/>
      <c r="GB379" s="24"/>
      <c r="GC379" s="24"/>
      <c r="GD379" s="24"/>
      <c r="GE379" s="24"/>
      <c r="GF379" s="24"/>
      <c r="GG379" s="24"/>
      <c r="GH379" s="24"/>
      <c r="GI379" s="24"/>
      <c r="GJ379" s="24"/>
      <c r="GK379" s="24"/>
      <c r="GL379" s="24"/>
      <c r="GM379" s="24"/>
      <c r="GN379" s="24"/>
      <c r="GO379" s="24"/>
      <c r="GP379" s="24"/>
      <c r="GQ379" s="24"/>
      <c r="GR379" s="24"/>
      <c r="GS379" s="24"/>
      <c r="GT379" s="24"/>
      <c r="GU379" s="24"/>
      <c r="GV379" s="24"/>
      <c r="GW379" s="24"/>
      <c r="GX379" s="24"/>
      <c r="GY379" s="24"/>
      <c r="GZ379" s="24"/>
      <c r="HA379" s="24"/>
      <c r="HB379" s="24"/>
      <c r="HC379" s="24"/>
      <c r="HD379" s="24"/>
      <c r="HE379" s="24"/>
      <c r="HF379" s="24"/>
      <c r="HG379" s="24"/>
      <c r="HH379" s="24"/>
      <c r="HI379" s="24"/>
      <c r="HJ379" s="24"/>
      <c r="HK379" s="24"/>
      <c r="HL379" s="24"/>
    </row>
    <row r="380" spans="1:220" s="23" customFormat="1" ht="14.25" customHeight="1">
      <c r="A380" s="20"/>
      <c r="B380" s="21"/>
      <c r="C380" s="22"/>
      <c r="D380" s="22"/>
      <c r="E380" s="22"/>
      <c r="G380" s="22"/>
      <c r="H380" s="22"/>
      <c r="I380" s="22"/>
      <c r="K380" s="22"/>
      <c r="L380" s="22"/>
      <c r="M380" s="22"/>
      <c r="O380" s="22"/>
      <c r="P380" s="22"/>
      <c r="Q380" s="22"/>
      <c r="S380" s="22"/>
      <c r="T380" s="22"/>
      <c r="U380" s="22"/>
      <c r="W380" s="22"/>
      <c r="X380" s="22"/>
      <c r="Y380" s="22"/>
      <c r="AA380" s="22"/>
      <c r="AB380" s="22"/>
      <c r="AC380" s="22"/>
      <c r="AE380" s="24"/>
      <c r="AF380" s="24"/>
      <c r="AG380" s="24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6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4"/>
      <c r="BP380" s="24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4"/>
      <c r="CC380" s="24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4"/>
      <c r="CP380" s="24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  <c r="DB380" s="24"/>
      <c r="DC380" s="24"/>
      <c r="DD380" s="24"/>
      <c r="DE380" s="24"/>
      <c r="DF380" s="24"/>
      <c r="DG380" s="24"/>
      <c r="DH380" s="24"/>
      <c r="DI380" s="24"/>
      <c r="DJ380" s="24"/>
      <c r="DK380" s="24"/>
      <c r="DL380" s="24"/>
      <c r="DM380" s="24"/>
      <c r="DN380" s="24"/>
      <c r="DO380" s="24"/>
      <c r="DP380" s="24"/>
      <c r="DQ380" s="24"/>
      <c r="DR380" s="24"/>
      <c r="DS380" s="24"/>
      <c r="DT380" s="24"/>
      <c r="DU380" s="24"/>
      <c r="DV380" s="24"/>
      <c r="DW380" s="24"/>
      <c r="DX380" s="24"/>
      <c r="DY380" s="24"/>
      <c r="DZ380" s="24"/>
      <c r="EA380" s="24"/>
      <c r="EB380" s="24"/>
      <c r="EC380" s="24"/>
      <c r="ED380" s="24"/>
      <c r="EE380" s="24"/>
      <c r="EF380" s="24"/>
      <c r="EG380" s="24"/>
      <c r="EH380" s="24"/>
      <c r="EI380" s="24"/>
      <c r="EJ380" s="24"/>
      <c r="EK380" s="24"/>
      <c r="EL380" s="24"/>
      <c r="EM380" s="24"/>
      <c r="EN380" s="24"/>
      <c r="EO380" s="24"/>
      <c r="EP380" s="24"/>
      <c r="EQ380" s="24"/>
      <c r="ER380" s="24"/>
      <c r="ES380" s="24"/>
      <c r="ET380" s="24"/>
      <c r="EU380" s="24"/>
      <c r="EV380" s="24"/>
      <c r="EW380" s="24"/>
      <c r="EX380" s="24"/>
      <c r="EY380" s="24"/>
      <c r="EZ380" s="24"/>
      <c r="FA380" s="24"/>
      <c r="FB380" s="24"/>
      <c r="FC380" s="24"/>
      <c r="FD380" s="24"/>
      <c r="FE380" s="24"/>
      <c r="FF380" s="24"/>
      <c r="FG380" s="24"/>
      <c r="FH380" s="24"/>
      <c r="FI380" s="24"/>
      <c r="FJ380" s="24"/>
      <c r="FK380" s="24"/>
      <c r="FL380" s="24"/>
      <c r="FM380" s="24"/>
      <c r="FN380" s="24"/>
      <c r="FO380" s="24"/>
      <c r="FP380" s="24"/>
      <c r="FQ380" s="24"/>
      <c r="FR380" s="24"/>
      <c r="FS380" s="24"/>
      <c r="FT380" s="24"/>
      <c r="FU380" s="24"/>
      <c r="FV380" s="24"/>
      <c r="FW380" s="24"/>
      <c r="FX380" s="24"/>
      <c r="FY380" s="24"/>
      <c r="FZ380" s="24"/>
      <c r="GA380" s="24"/>
      <c r="GB380" s="24"/>
      <c r="GC380" s="24"/>
      <c r="GD380" s="24"/>
      <c r="GE380" s="24"/>
      <c r="GF380" s="24"/>
      <c r="GG380" s="24"/>
      <c r="GH380" s="24"/>
      <c r="GI380" s="24"/>
      <c r="GJ380" s="24"/>
      <c r="GK380" s="24"/>
      <c r="GL380" s="24"/>
      <c r="GM380" s="24"/>
      <c r="GN380" s="24"/>
      <c r="GO380" s="24"/>
      <c r="GP380" s="24"/>
      <c r="GQ380" s="24"/>
      <c r="GR380" s="24"/>
      <c r="GS380" s="24"/>
      <c r="GT380" s="24"/>
      <c r="GU380" s="24"/>
      <c r="GV380" s="24"/>
      <c r="GW380" s="24"/>
      <c r="GX380" s="24"/>
      <c r="GY380" s="24"/>
      <c r="GZ380" s="24"/>
      <c r="HA380" s="24"/>
      <c r="HB380" s="24"/>
      <c r="HC380" s="24"/>
      <c r="HD380" s="24"/>
      <c r="HE380" s="24"/>
      <c r="HF380" s="24"/>
      <c r="HG380" s="24"/>
      <c r="HH380" s="24"/>
      <c r="HI380" s="24"/>
      <c r="HJ380" s="24"/>
      <c r="HK380" s="24"/>
      <c r="HL380" s="24"/>
    </row>
    <row r="381" spans="1:220" s="23" customFormat="1" ht="14.25" customHeight="1">
      <c r="A381" s="20"/>
      <c r="B381" s="21"/>
      <c r="C381" s="22"/>
      <c r="D381" s="22"/>
      <c r="E381" s="22"/>
      <c r="G381" s="22"/>
      <c r="H381" s="22"/>
      <c r="I381" s="22"/>
      <c r="K381" s="22"/>
      <c r="L381" s="22"/>
      <c r="M381" s="22"/>
      <c r="O381" s="22"/>
      <c r="P381" s="22"/>
      <c r="Q381" s="22"/>
      <c r="S381" s="22"/>
      <c r="T381" s="22"/>
      <c r="U381" s="22"/>
      <c r="W381" s="22"/>
      <c r="X381" s="22"/>
      <c r="Y381" s="22"/>
      <c r="AA381" s="22"/>
      <c r="AB381" s="22"/>
      <c r="AC381" s="22"/>
      <c r="AE381" s="24"/>
      <c r="AF381" s="24"/>
      <c r="AG381" s="24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6"/>
      <c r="AW381" s="24"/>
      <c r="AX381" s="24"/>
      <c r="AY381" s="24"/>
      <c r="AZ381" s="24"/>
      <c r="BA381" s="24"/>
      <c r="BB381" s="24"/>
      <c r="BC381" s="24"/>
      <c r="BD381" s="24"/>
      <c r="BE381" s="24"/>
      <c r="BF381" s="24"/>
      <c r="BG381" s="24"/>
      <c r="BH381" s="24"/>
      <c r="BI381" s="24"/>
      <c r="BJ381" s="24"/>
      <c r="BK381" s="24"/>
      <c r="BL381" s="24"/>
      <c r="BM381" s="24"/>
      <c r="BN381" s="24"/>
      <c r="BO381" s="24"/>
      <c r="BP381" s="24"/>
      <c r="BQ381" s="24"/>
      <c r="BR381" s="24"/>
      <c r="BS381" s="24"/>
      <c r="BT381" s="24"/>
      <c r="BU381" s="24"/>
      <c r="BV381" s="24"/>
      <c r="BW381" s="24"/>
      <c r="BX381" s="24"/>
      <c r="BY381" s="24"/>
      <c r="BZ381" s="24"/>
      <c r="CA381" s="24"/>
      <c r="CB381" s="24"/>
      <c r="CC381" s="24"/>
      <c r="CD381" s="24"/>
      <c r="CE381" s="24"/>
      <c r="CF381" s="24"/>
      <c r="CG381" s="24"/>
      <c r="CH381" s="24"/>
      <c r="CI381" s="24"/>
      <c r="CJ381" s="24"/>
      <c r="CK381" s="24"/>
      <c r="CL381" s="24"/>
      <c r="CM381" s="24"/>
      <c r="CN381" s="24"/>
      <c r="CO381" s="24"/>
      <c r="CP381" s="24"/>
      <c r="CQ381" s="24"/>
      <c r="CR381" s="24"/>
      <c r="CS381" s="24"/>
      <c r="CT381" s="24"/>
      <c r="CU381" s="24"/>
      <c r="CV381" s="24"/>
      <c r="CW381" s="24"/>
      <c r="CX381" s="24"/>
      <c r="CY381" s="24"/>
      <c r="CZ381" s="24"/>
      <c r="DA381" s="24"/>
      <c r="DB381" s="24"/>
      <c r="DC381" s="24"/>
      <c r="DD381" s="24"/>
      <c r="DE381" s="24"/>
      <c r="DF381" s="24"/>
      <c r="DG381" s="24"/>
      <c r="DH381" s="24"/>
      <c r="DI381" s="24"/>
      <c r="DJ381" s="24"/>
      <c r="DK381" s="24"/>
      <c r="DL381" s="24"/>
      <c r="DM381" s="24"/>
      <c r="DN381" s="24"/>
      <c r="DO381" s="24"/>
      <c r="DP381" s="24"/>
      <c r="DQ381" s="24"/>
      <c r="DR381" s="24"/>
      <c r="DS381" s="24"/>
      <c r="DT381" s="24"/>
      <c r="DU381" s="24"/>
      <c r="DV381" s="24"/>
      <c r="DW381" s="24"/>
      <c r="DX381" s="24"/>
      <c r="DY381" s="24"/>
      <c r="DZ381" s="24"/>
      <c r="EA381" s="24"/>
      <c r="EB381" s="24"/>
      <c r="EC381" s="24"/>
      <c r="ED381" s="24"/>
      <c r="EE381" s="24"/>
      <c r="EF381" s="24"/>
      <c r="EG381" s="24"/>
      <c r="EH381" s="24"/>
      <c r="EI381" s="24"/>
      <c r="EJ381" s="24"/>
      <c r="EK381" s="24"/>
      <c r="EL381" s="24"/>
      <c r="EM381" s="24"/>
      <c r="EN381" s="24"/>
      <c r="EO381" s="24"/>
      <c r="EP381" s="24"/>
      <c r="EQ381" s="24"/>
      <c r="ER381" s="24"/>
      <c r="ES381" s="24"/>
      <c r="ET381" s="24"/>
      <c r="EU381" s="24"/>
      <c r="EV381" s="24"/>
      <c r="EW381" s="24"/>
      <c r="EX381" s="24"/>
      <c r="EY381" s="24"/>
      <c r="EZ381" s="24"/>
      <c r="FA381" s="24"/>
      <c r="FB381" s="24"/>
      <c r="FC381" s="24"/>
      <c r="FD381" s="24"/>
      <c r="FE381" s="24"/>
      <c r="FF381" s="24"/>
      <c r="FG381" s="24"/>
      <c r="FH381" s="24"/>
      <c r="FI381" s="24"/>
      <c r="FJ381" s="24"/>
      <c r="FK381" s="24"/>
      <c r="FL381" s="24"/>
      <c r="FM381" s="24"/>
      <c r="FN381" s="24"/>
      <c r="FO381" s="24"/>
      <c r="FP381" s="24"/>
      <c r="FQ381" s="24"/>
      <c r="FR381" s="24"/>
      <c r="FS381" s="24"/>
      <c r="FT381" s="24"/>
      <c r="FU381" s="24"/>
      <c r="FV381" s="24"/>
      <c r="FW381" s="24"/>
      <c r="FX381" s="24"/>
      <c r="FY381" s="24"/>
      <c r="FZ381" s="24"/>
      <c r="GA381" s="24"/>
      <c r="GB381" s="24"/>
      <c r="GC381" s="24"/>
      <c r="GD381" s="24"/>
      <c r="GE381" s="24"/>
      <c r="GF381" s="24"/>
      <c r="GG381" s="24"/>
      <c r="GH381" s="24"/>
      <c r="GI381" s="24"/>
      <c r="GJ381" s="24"/>
      <c r="GK381" s="24"/>
      <c r="GL381" s="24"/>
      <c r="GM381" s="24"/>
      <c r="GN381" s="24"/>
      <c r="GO381" s="24"/>
      <c r="GP381" s="24"/>
      <c r="GQ381" s="24"/>
      <c r="GR381" s="24"/>
      <c r="GS381" s="24"/>
      <c r="GT381" s="24"/>
      <c r="GU381" s="24"/>
      <c r="GV381" s="24"/>
      <c r="GW381" s="24"/>
      <c r="GX381" s="24"/>
      <c r="GY381" s="24"/>
      <c r="GZ381" s="24"/>
      <c r="HA381" s="24"/>
      <c r="HB381" s="24"/>
      <c r="HC381" s="24"/>
      <c r="HD381" s="24"/>
      <c r="HE381" s="24"/>
      <c r="HF381" s="24"/>
      <c r="HG381" s="24"/>
      <c r="HH381" s="24"/>
      <c r="HI381" s="24"/>
      <c r="HJ381" s="24"/>
      <c r="HK381" s="24"/>
      <c r="HL381" s="24"/>
    </row>
  </sheetData>
  <mergeCells count="128">
    <mergeCell ref="AH1:AI1"/>
    <mergeCell ref="AH2:AI2"/>
    <mergeCell ref="A3:A9"/>
    <mergeCell ref="B3:B9"/>
    <mergeCell ref="C3:F3"/>
    <mergeCell ref="G3:J3"/>
    <mergeCell ref="K3:N3"/>
    <mergeCell ref="O3:R3"/>
    <mergeCell ref="S3:V3"/>
    <mergeCell ref="W3:Z3"/>
    <mergeCell ref="AA3:AD3"/>
    <mergeCell ref="AE3:AE4"/>
    <mergeCell ref="AF3:AF9"/>
    <mergeCell ref="AG3:AG13"/>
    <mergeCell ref="AH3:AI3"/>
    <mergeCell ref="C5:D5"/>
    <mergeCell ref="E5:F5"/>
    <mergeCell ref="G5:H5"/>
    <mergeCell ref="I5:J5"/>
    <mergeCell ref="K5:L5"/>
    <mergeCell ref="M5:N5"/>
    <mergeCell ref="O5:P5"/>
    <mergeCell ref="AH5:AI5"/>
    <mergeCell ref="A1:AD2"/>
    <mergeCell ref="AT3:AU3"/>
    <mergeCell ref="C4:F4"/>
    <mergeCell ref="G4:J4"/>
    <mergeCell ref="K4:N4"/>
    <mergeCell ref="O4:R4"/>
    <mergeCell ref="S4:V4"/>
    <mergeCell ref="W4:Z4"/>
    <mergeCell ref="AA4:AD4"/>
    <mergeCell ref="AH4:AI4"/>
    <mergeCell ref="AJ4:AK4"/>
    <mergeCell ref="AL4:AM4"/>
    <mergeCell ref="AN4:AO4"/>
    <mergeCell ref="AP4:AQ4"/>
    <mergeCell ref="AR4:AS4"/>
    <mergeCell ref="AT4:AU4"/>
    <mergeCell ref="AJ3:AK3"/>
    <mergeCell ref="AL3:AM3"/>
    <mergeCell ref="AN3:AO3"/>
    <mergeCell ref="AP3:AQ3"/>
    <mergeCell ref="AR3:AS3"/>
    <mergeCell ref="AJ5:AK5"/>
    <mergeCell ref="A15:A27"/>
    <mergeCell ref="AL5:AM5"/>
    <mergeCell ref="AN5:AO5"/>
    <mergeCell ref="AP5:AQ5"/>
    <mergeCell ref="AR5:AS5"/>
    <mergeCell ref="AT5:AU5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Q5:R5"/>
    <mergeCell ref="A29:A40"/>
    <mergeCell ref="AA5:AB5"/>
    <mergeCell ref="AC5:AD5"/>
    <mergeCell ref="S5:T5"/>
    <mergeCell ref="U5:V5"/>
    <mergeCell ref="W5:X5"/>
    <mergeCell ref="Y5:Z5"/>
    <mergeCell ref="C40:F40"/>
    <mergeCell ref="G40:J40"/>
    <mergeCell ref="K40:N40"/>
    <mergeCell ref="O40:R40"/>
    <mergeCell ref="S40:V40"/>
    <mergeCell ref="W40:Z40"/>
    <mergeCell ref="AA40:AD40"/>
    <mergeCell ref="C28:F28"/>
    <mergeCell ref="G28:J28"/>
    <mergeCell ref="K28:N28"/>
    <mergeCell ref="O28:R28"/>
    <mergeCell ref="S28:V28"/>
    <mergeCell ref="W28:Z28"/>
    <mergeCell ref="AA28:AD28"/>
    <mergeCell ref="C51:E51"/>
    <mergeCell ref="F51:H51"/>
    <mergeCell ref="I51:K51"/>
    <mergeCell ref="L51:N51"/>
    <mergeCell ref="O51:Q51"/>
    <mergeCell ref="R51:T51"/>
    <mergeCell ref="U51:W51"/>
    <mergeCell ref="K46:S46"/>
    <mergeCell ref="S42:V42"/>
    <mergeCell ref="AA42:AD42"/>
    <mergeCell ref="C41:F41"/>
    <mergeCell ref="G41:J41"/>
    <mergeCell ref="K41:N41"/>
    <mergeCell ref="O41:R41"/>
    <mergeCell ref="S41:V41"/>
    <mergeCell ref="W41:Z41"/>
    <mergeCell ref="AA41:AD41"/>
    <mergeCell ref="AH46:AI46"/>
    <mergeCell ref="AJ46:AK46"/>
    <mergeCell ref="AL46:AM46"/>
    <mergeCell ref="AN46:AO46"/>
    <mergeCell ref="AP46:AQ46"/>
    <mergeCell ref="AR46:AS46"/>
    <mergeCell ref="AT46:AU46"/>
    <mergeCell ref="C47:P48"/>
    <mergeCell ref="K43:S44"/>
    <mergeCell ref="AH44:AI44"/>
    <mergeCell ref="AJ44:AK44"/>
    <mergeCell ref="AL44:AM44"/>
    <mergeCell ref="AN44:AO44"/>
    <mergeCell ref="AP44:AQ44"/>
    <mergeCell ref="AR44:AS44"/>
    <mergeCell ref="AT44:AU44"/>
    <mergeCell ref="K45:S45"/>
    <mergeCell ref="AH45:AI45"/>
    <mergeCell ref="AJ45:AK45"/>
    <mergeCell ref="AL45:AM45"/>
    <mergeCell ref="AN45:AO45"/>
    <mergeCell ref="AP45:AQ45"/>
    <mergeCell ref="AR45:AS45"/>
    <mergeCell ref="AT45:AU45"/>
  </mergeCells>
  <phoneticPr fontId="52" type="noConversion"/>
  <conditionalFormatting sqref="AE5">
    <cfRule type="cellIs" dxfId="20" priority="2" operator="lessThan">
      <formula>$AK$2</formula>
    </cfRule>
    <cfRule type="cellIs" dxfId="19" priority="3" operator="greaterThan">
      <formula>$AK$2</formula>
    </cfRule>
  </conditionalFormatting>
  <printOptions horizontalCentered="1" verticalCentered="1" gridLines="1"/>
  <pageMargins left="0.25" right="0.25" top="0.75" bottom="0.75" header="0.3" footer="0.3"/>
  <pageSetup paperSize="9" scale="71" firstPageNumber="0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EA5E-4C2C-4244-BFE4-8C0B100E689F}">
  <sheetPr>
    <pageSetUpPr fitToPage="1"/>
  </sheetPr>
  <dimension ref="A1:AMK356"/>
  <sheetViews>
    <sheetView tabSelected="1" view="pageBreakPreview" topLeftCell="A37" zoomScale="134" zoomScaleNormal="50" workbookViewId="0">
      <selection activeCell="AX38" sqref="AX38:CA63"/>
    </sheetView>
  </sheetViews>
  <sheetFormatPr baseColWidth="10" defaultColWidth="8.83203125" defaultRowHeight="15"/>
  <cols>
    <col min="1" max="1" width="2.33203125" style="20" customWidth="1"/>
    <col min="2" max="2" width="12.1640625" style="21" customWidth="1"/>
    <col min="3" max="3" width="3.33203125" style="22" customWidth="1"/>
    <col min="4" max="5" width="3.5" style="22" customWidth="1"/>
    <col min="6" max="6" width="3.5" style="23" customWidth="1"/>
    <col min="7" max="9" width="3.5" style="22" customWidth="1"/>
    <col min="10" max="10" width="3.5" style="23" customWidth="1"/>
    <col min="11" max="13" width="3.5" style="22" customWidth="1"/>
    <col min="14" max="14" width="3.5" style="23" customWidth="1"/>
    <col min="15" max="17" width="3.5" style="22" customWidth="1"/>
    <col min="18" max="18" width="3.5" style="23" customWidth="1"/>
    <col min="19" max="21" width="3.5" style="22" customWidth="1"/>
    <col min="22" max="22" width="3.5" style="23" customWidth="1"/>
    <col min="23" max="25" width="3.5" style="22" customWidth="1"/>
    <col min="26" max="26" width="3.5" style="23" customWidth="1"/>
    <col min="27" max="29" width="3.5" style="22" customWidth="1"/>
    <col min="30" max="30" width="3.5" style="23" customWidth="1"/>
    <col min="31" max="31" width="11.33203125" style="24" customWidth="1"/>
    <col min="32" max="32" width="7.1640625" style="24" hidden="1" customWidth="1"/>
    <col min="33" max="33" width="12.33203125" style="24" hidden="1" customWidth="1"/>
    <col min="34" max="47" width="9.1640625" style="25" hidden="1" customWidth="1"/>
    <col min="48" max="48" width="13.6640625" style="26" hidden="1" customWidth="1"/>
    <col min="49" max="49" width="4" style="24" customWidth="1"/>
    <col min="50" max="50" width="2.33203125" style="20" customWidth="1"/>
    <col min="51" max="51" width="12.1640625" style="21" customWidth="1"/>
    <col min="52" max="52" width="3.33203125" style="22" customWidth="1"/>
    <col min="53" max="54" width="3.5" style="22" customWidth="1"/>
    <col min="55" max="55" width="3.5" style="23" customWidth="1"/>
    <col min="56" max="58" width="3.5" style="22" customWidth="1"/>
    <col min="59" max="59" width="3.5" style="23" customWidth="1"/>
    <col min="60" max="62" width="3.5" style="22" customWidth="1"/>
    <col min="63" max="63" width="3.5" style="23" customWidth="1"/>
    <col min="64" max="66" width="3.5" style="22" customWidth="1"/>
    <col min="67" max="67" width="3.5" style="23" customWidth="1"/>
    <col min="68" max="70" width="3.5" style="22" customWidth="1"/>
    <col min="71" max="71" width="3.5" style="23" customWidth="1"/>
    <col min="72" max="74" width="3.5" style="22" customWidth="1"/>
    <col min="75" max="75" width="3.5" style="23" customWidth="1"/>
    <col min="76" max="78" width="3.5" style="22" customWidth="1"/>
    <col min="79" max="79" width="3.5" style="23" customWidth="1"/>
    <col min="80" max="80" width="11.33203125" style="24" customWidth="1"/>
    <col min="81" max="81" width="7.1640625" style="24" hidden="1" customWidth="1"/>
    <col min="82" max="82" width="12.33203125" style="24" hidden="1" customWidth="1"/>
    <col min="83" max="96" width="9.1640625" style="25" hidden="1" customWidth="1"/>
    <col min="97" max="97" width="13.6640625" style="26" hidden="1" customWidth="1"/>
    <col min="98" max="214" width="11.33203125" style="24" customWidth="1"/>
    <col min="215" max="215" width="11.1640625" style="24" customWidth="1"/>
    <col min="216" max="1025" width="11.33203125" style="24" customWidth="1"/>
  </cols>
  <sheetData>
    <row r="1" spans="1:97" ht="14.25" customHeight="1">
      <c r="A1" s="348" t="s">
        <v>366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27"/>
      <c r="AF1" s="27"/>
      <c r="AG1" s="28" t="s">
        <v>244</v>
      </c>
      <c r="AH1" s="336" t="s">
        <v>245</v>
      </c>
      <c r="AI1" s="336"/>
      <c r="AJ1" s="29">
        <v>28</v>
      </c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1"/>
      <c r="AX1" s="348" t="s">
        <v>366</v>
      </c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27"/>
      <c r="CC1" s="27"/>
      <c r="CD1" s="28" t="s">
        <v>244</v>
      </c>
      <c r="CE1" s="336" t="s">
        <v>245</v>
      </c>
      <c r="CF1" s="336"/>
      <c r="CG1" s="29">
        <v>28</v>
      </c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1"/>
    </row>
    <row r="2" spans="1:97" ht="14.25" customHeight="1" thickBot="1">
      <c r="A2" s="349"/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27"/>
      <c r="AF2" s="27"/>
      <c r="AG2" s="32" t="str">
        <f>A3</f>
        <v>KW 1</v>
      </c>
      <c r="AH2" s="337" t="s">
        <v>246</v>
      </c>
      <c r="AI2" s="337"/>
      <c r="AJ2" s="33">
        <v>42</v>
      </c>
      <c r="AK2" s="34">
        <f>AJ2/100</f>
        <v>0.42</v>
      </c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1"/>
      <c r="AX2" s="349"/>
      <c r="AY2" s="349"/>
      <c r="AZ2" s="349"/>
      <c r="BA2" s="349"/>
      <c r="BB2" s="349"/>
      <c r="BC2" s="349"/>
      <c r="BD2" s="349"/>
      <c r="BE2" s="349"/>
      <c r="BF2" s="349"/>
      <c r="BG2" s="349"/>
      <c r="BH2" s="349"/>
      <c r="BI2" s="349"/>
      <c r="BJ2" s="349"/>
      <c r="BK2" s="349"/>
      <c r="BL2" s="349"/>
      <c r="BM2" s="349"/>
      <c r="BN2" s="349"/>
      <c r="BO2" s="349"/>
      <c r="BP2" s="349"/>
      <c r="BQ2" s="349"/>
      <c r="BR2" s="349"/>
      <c r="BS2" s="349"/>
      <c r="BT2" s="349"/>
      <c r="BU2" s="349"/>
      <c r="BV2" s="349"/>
      <c r="BW2" s="349"/>
      <c r="BX2" s="349"/>
      <c r="BY2" s="349"/>
      <c r="BZ2" s="349"/>
      <c r="CA2" s="349"/>
      <c r="CB2" s="27"/>
      <c r="CC2" s="27"/>
      <c r="CD2" s="32" t="str">
        <f>AX3</f>
        <v>KW 2</v>
      </c>
      <c r="CE2" s="337" t="s">
        <v>246</v>
      </c>
      <c r="CF2" s="337"/>
      <c r="CG2" s="33">
        <v>42</v>
      </c>
      <c r="CH2" s="34">
        <f>CG2/100</f>
        <v>0.42</v>
      </c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1"/>
    </row>
    <row r="3" spans="1:97" ht="14.25" customHeight="1" thickBot="1">
      <c r="A3" s="355" t="s">
        <v>405</v>
      </c>
      <c r="B3" s="339" t="s">
        <v>247</v>
      </c>
      <c r="C3" s="331" t="s">
        <v>248</v>
      </c>
      <c r="D3" s="331"/>
      <c r="E3" s="331"/>
      <c r="F3" s="331"/>
      <c r="G3" s="330" t="s">
        <v>249</v>
      </c>
      <c r="H3" s="330"/>
      <c r="I3" s="330"/>
      <c r="J3" s="330"/>
      <c r="K3" s="331" t="s">
        <v>250</v>
      </c>
      <c r="L3" s="331"/>
      <c r="M3" s="331"/>
      <c r="N3" s="331"/>
      <c r="O3" s="331" t="s">
        <v>251</v>
      </c>
      <c r="P3" s="331"/>
      <c r="Q3" s="331"/>
      <c r="R3" s="331"/>
      <c r="S3" s="331" t="s">
        <v>252</v>
      </c>
      <c r="T3" s="331"/>
      <c r="U3" s="331"/>
      <c r="V3" s="331"/>
      <c r="W3" s="331" t="s">
        <v>253</v>
      </c>
      <c r="X3" s="331"/>
      <c r="Y3" s="331"/>
      <c r="Z3" s="331"/>
      <c r="AA3" s="331" t="s">
        <v>254</v>
      </c>
      <c r="AB3" s="331"/>
      <c r="AC3" s="331"/>
      <c r="AD3" s="331"/>
      <c r="AE3" s="342" t="s">
        <v>255</v>
      </c>
      <c r="AF3" s="343" t="s">
        <v>256</v>
      </c>
      <c r="AG3" s="344" t="s">
        <v>257</v>
      </c>
      <c r="AH3" s="329" t="str">
        <f>C3</f>
        <v>MONTAG</v>
      </c>
      <c r="AI3" s="329"/>
      <c r="AJ3" s="329" t="str">
        <f>G3</f>
        <v>DIENSTAG</v>
      </c>
      <c r="AK3" s="329"/>
      <c r="AL3" s="329" t="str">
        <f>K3</f>
        <v>MITTWOCH</v>
      </c>
      <c r="AM3" s="329"/>
      <c r="AN3" s="329" t="str">
        <f>O3</f>
        <v>DONNERSTAG</v>
      </c>
      <c r="AO3" s="329"/>
      <c r="AP3" s="329" t="str">
        <f>S3</f>
        <v>FREITAG</v>
      </c>
      <c r="AQ3" s="329"/>
      <c r="AR3" s="329" t="str">
        <f>W3</f>
        <v>SAMSTAG</v>
      </c>
      <c r="AS3" s="329"/>
      <c r="AT3" s="329" t="str">
        <f>AA3</f>
        <v>SONNTAG</v>
      </c>
      <c r="AU3" s="329"/>
      <c r="AV3" s="35"/>
      <c r="AX3" s="338" t="s">
        <v>408</v>
      </c>
      <c r="AY3" s="339" t="s">
        <v>247</v>
      </c>
      <c r="AZ3" s="331" t="s">
        <v>248</v>
      </c>
      <c r="BA3" s="331"/>
      <c r="BB3" s="331"/>
      <c r="BC3" s="331"/>
      <c r="BD3" s="330" t="s">
        <v>249</v>
      </c>
      <c r="BE3" s="330"/>
      <c r="BF3" s="330"/>
      <c r="BG3" s="330"/>
      <c r="BH3" s="331" t="s">
        <v>250</v>
      </c>
      <c r="BI3" s="331"/>
      <c r="BJ3" s="331"/>
      <c r="BK3" s="331"/>
      <c r="BL3" s="331" t="s">
        <v>251</v>
      </c>
      <c r="BM3" s="331"/>
      <c r="BN3" s="331"/>
      <c r="BO3" s="331"/>
      <c r="BP3" s="331" t="s">
        <v>252</v>
      </c>
      <c r="BQ3" s="331"/>
      <c r="BR3" s="331"/>
      <c r="BS3" s="331"/>
      <c r="BT3" s="331" t="s">
        <v>253</v>
      </c>
      <c r="BU3" s="331"/>
      <c r="BV3" s="331"/>
      <c r="BW3" s="331"/>
      <c r="BX3" s="331" t="s">
        <v>254</v>
      </c>
      <c r="BY3" s="331"/>
      <c r="BZ3" s="331"/>
      <c r="CA3" s="331"/>
      <c r="CB3" s="342" t="s">
        <v>255</v>
      </c>
      <c r="CC3" s="343" t="s">
        <v>256</v>
      </c>
      <c r="CD3" s="344" t="s">
        <v>257</v>
      </c>
      <c r="CE3" s="329" t="str">
        <f>AZ3</f>
        <v>MONTAG</v>
      </c>
      <c r="CF3" s="329"/>
      <c r="CG3" s="329" t="str">
        <f>BD3</f>
        <v>DIENSTAG</v>
      </c>
      <c r="CH3" s="329"/>
      <c r="CI3" s="329" t="str">
        <f>BH3</f>
        <v>MITTWOCH</v>
      </c>
      <c r="CJ3" s="329"/>
      <c r="CK3" s="329" t="str">
        <f>BL3</f>
        <v>DONNERSTAG</v>
      </c>
      <c r="CL3" s="329"/>
      <c r="CM3" s="329" t="str">
        <f>BP3</f>
        <v>FREITAG</v>
      </c>
      <c r="CN3" s="329"/>
      <c r="CO3" s="329" t="str">
        <f>BT3</f>
        <v>SAMSTAG</v>
      </c>
      <c r="CP3" s="329"/>
      <c r="CQ3" s="329" t="str">
        <f>BX3</f>
        <v>SONNTAG</v>
      </c>
      <c r="CR3" s="329"/>
      <c r="CS3" s="35"/>
    </row>
    <row r="4" spans="1:97" ht="14.25" customHeight="1" thickBot="1">
      <c r="A4" s="338"/>
      <c r="B4" s="339"/>
      <c r="C4" s="330">
        <v>46020</v>
      </c>
      <c r="D4" s="330"/>
      <c r="E4" s="330"/>
      <c r="F4" s="330"/>
      <c r="G4" s="331">
        <f>C4+1</f>
        <v>46021</v>
      </c>
      <c r="H4" s="331"/>
      <c r="I4" s="331"/>
      <c r="J4" s="331"/>
      <c r="K4" s="332">
        <f>G4+1</f>
        <v>46022</v>
      </c>
      <c r="L4" s="330"/>
      <c r="M4" s="330"/>
      <c r="N4" s="330"/>
      <c r="O4" s="330">
        <f>K4+1</f>
        <v>46023</v>
      </c>
      <c r="P4" s="330"/>
      <c r="Q4" s="330"/>
      <c r="R4" s="330"/>
      <c r="S4" s="330">
        <f>O4+1</f>
        <v>46024</v>
      </c>
      <c r="T4" s="330"/>
      <c r="U4" s="330"/>
      <c r="V4" s="330"/>
      <c r="W4" s="330">
        <f>S4+1</f>
        <v>46025</v>
      </c>
      <c r="X4" s="330"/>
      <c r="Y4" s="330"/>
      <c r="Z4" s="330"/>
      <c r="AA4" s="330">
        <f>W4+1</f>
        <v>46026</v>
      </c>
      <c r="AB4" s="330"/>
      <c r="AC4" s="330"/>
      <c r="AD4" s="330"/>
      <c r="AE4" s="342"/>
      <c r="AF4" s="343"/>
      <c r="AG4" s="344"/>
      <c r="AH4" s="333">
        <f>C4</f>
        <v>46020</v>
      </c>
      <c r="AI4" s="333"/>
      <c r="AJ4" s="334">
        <f>C4+1</f>
        <v>46021</v>
      </c>
      <c r="AK4" s="335"/>
      <c r="AL4" s="334">
        <f>G4+1</f>
        <v>46022</v>
      </c>
      <c r="AM4" s="335"/>
      <c r="AN4" s="334">
        <f>K4+1</f>
        <v>46023</v>
      </c>
      <c r="AO4" s="335"/>
      <c r="AP4" s="334">
        <f>S4</f>
        <v>46024</v>
      </c>
      <c r="AQ4" s="335"/>
      <c r="AR4" s="334">
        <f>W4</f>
        <v>46025</v>
      </c>
      <c r="AS4" s="335"/>
      <c r="AT4" s="334">
        <f>AA4</f>
        <v>46026</v>
      </c>
      <c r="AU4" s="335"/>
      <c r="AV4" s="35"/>
      <c r="AX4" s="338"/>
      <c r="AY4" s="339"/>
      <c r="AZ4" s="330">
        <v>46027</v>
      </c>
      <c r="BA4" s="330"/>
      <c r="BB4" s="330"/>
      <c r="BC4" s="330"/>
      <c r="BD4" s="331">
        <f>AZ4+1</f>
        <v>46028</v>
      </c>
      <c r="BE4" s="331"/>
      <c r="BF4" s="331"/>
      <c r="BG4" s="331"/>
      <c r="BH4" s="332">
        <f>BD4+1</f>
        <v>46029</v>
      </c>
      <c r="BI4" s="330"/>
      <c r="BJ4" s="330"/>
      <c r="BK4" s="330"/>
      <c r="BL4" s="330">
        <f>BH4+1</f>
        <v>46030</v>
      </c>
      <c r="BM4" s="330"/>
      <c r="BN4" s="330"/>
      <c r="BO4" s="330"/>
      <c r="BP4" s="330">
        <f>BL4+1</f>
        <v>46031</v>
      </c>
      <c r="BQ4" s="330"/>
      <c r="BR4" s="330"/>
      <c r="BS4" s="330"/>
      <c r="BT4" s="330">
        <f>BP4+1</f>
        <v>46032</v>
      </c>
      <c r="BU4" s="330"/>
      <c r="BV4" s="330"/>
      <c r="BW4" s="330"/>
      <c r="BX4" s="330">
        <f>BT4+1</f>
        <v>46033</v>
      </c>
      <c r="BY4" s="330"/>
      <c r="BZ4" s="330"/>
      <c r="CA4" s="330"/>
      <c r="CB4" s="342"/>
      <c r="CC4" s="343"/>
      <c r="CD4" s="344"/>
      <c r="CE4" s="333">
        <f>AZ4</f>
        <v>46027</v>
      </c>
      <c r="CF4" s="333"/>
      <c r="CG4" s="334">
        <f>AZ4+1</f>
        <v>46028</v>
      </c>
      <c r="CH4" s="335"/>
      <c r="CI4" s="334">
        <f>BD4+1</f>
        <v>46029</v>
      </c>
      <c r="CJ4" s="335"/>
      <c r="CK4" s="334">
        <f>BH4+1</f>
        <v>46030</v>
      </c>
      <c r="CL4" s="335"/>
      <c r="CM4" s="334">
        <f>BP4</f>
        <v>46031</v>
      </c>
      <c r="CN4" s="335"/>
      <c r="CO4" s="334">
        <f>BT4</f>
        <v>46032</v>
      </c>
      <c r="CP4" s="335"/>
      <c r="CQ4" s="334">
        <f>BX4</f>
        <v>46033</v>
      </c>
      <c r="CR4" s="335"/>
      <c r="CS4" s="35"/>
    </row>
    <row r="5" spans="1:97" ht="14.25" customHeight="1" thickBot="1">
      <c r="A5" s="338"/>
      <c r="B5" s="339"/>
      <c r="C5" s="345" t="s">
        <v>258</v>
      </c>
      <c r="D5" s="345"/>
      <c r="E5" s="346">
        <f>AH34</f>
        <v>0.3332</v>
      </c>
      <c r="F5" s="346"/>
      <c r="G5" s="293" t="s">
        <v>258</v>
      </c>
      <c r="H5" s="293"/>
      <c r="I5" s="294">
        <f>AJ34</f>
        <v>0.27300000000000008</v>
      </c>
      <c r="J5" s="294"/>
      <c r="K5" s="347" t="s">
        <v>258</v>
      </c>
      <c r="L5" s="293"/>
      <c r="M5" s="294">
        <f>AL34</f>
        <v>0.52733333333333321</v>
      </c>
      <c r="N5" s="294"/>
      <c r="O5" s="293" t="s">
        <v>258</v>
      </c>
      <c r="P5" s="293"/>
      <c r="Q5" s="294">
        <f>AN34</f>
        <v>-1.4875000000000001E-2</v>
      </c>
      <c r="R5" s="294"/>
      <c r="S5" s="293" t="s">
        <v>258</v>
      </c>
      <c r="T5" s="293"/>
      <c r="U5" s="294">
        <f>AP34</f>
        <v>0.18238888888888888</v>
      </c>
      <c r="V5" s="294"/>
      <c r="W5" s="293" t="s">
        <v>258</v>
      </c>
      <c r="X5" s="293"/>
      <c r="Y5" s="294">
        <f>AR34</f>
        <v>0.15166666666666667</v>
      </c>
      <c r="Z5" s="294"/>
      <c r="AA5" s="293" t="s">
        <v>258</v>
      </c>
      <c r="AB5" s="293"/>
      <c r="AC5" s="294">
        <f>AT34</f>
        <v>0.25600000000000001</v>
      </c>
      <c r="AD5" s="294"/>
      <c r="AE5" s="36">
        <f>AI35</f>
        <v>0.24410198412698411</v>
      </c>
      <c r="AF5" s="343"/>
      <c r="AG5" s="344"/>
      <c r="AH5" s="320">
        <v>5000</v>
      </c>
      <c r="AI5" s="320"/>
      <c r="AJ5" s="320">
        <v>6000</v>
      </c>
      <c r="AK5" s="320"/>
      <c r="AL5" s="320">
        <v>6000</v>
      </c>
      <c r="AM5" s="320"/>
      <c r="AN5" s="320">
        <v>8000</v>
      </c>
      <c r="AO5" s="320"/>
      <c r="AP5" s="320">
        <v>12000</v>
      </c>
      <c r="AQ5" s="320"/>
      <c r="AR5" s="320">
        <v>12000</v>
      </c>
      <c r="AS5" s="320"/>
      <c r="AT5" s="320">
        <v>7000</v>
      </c>
      <c r="AU5" s="320"/>
      <c r="AV5" s="35"/>
      <c r="AW5" s="37"/>
      <c r="AX5" s="338"/>
      <c r="AY5" s="339"/>
      <c r="AZ5" s="345" t="s">
        <v>258</v>
      </c>
      <c r="BA5" s="345"/>
      <c r="BB5" s="346">
        <f>CE34</f>
        <v>0.32480000000000003</v>
      </c>
      <c r="BC5" s="346"/>
      <c r="BD5" s="293" t="s">
        <v>258</v>
      </c>
      <c r="BE5" s="293"/>
      <c r="BF5" s="294">
        <f>CG34</f>
        <v>0.17033333333333331</v>
      </c>
      <c r="BG5" s="294"/>
      <c r="BH5" s="347" t="s">
        <v>258</v>
      </c>
      <c r="BI5" s="293"/>
      <c r="BJ5" s="294">
        <f>CI34</f>
        <v>0.18666666666666668</v>
      </c>
      <c r="BK5" s="294"/>
      <c r="BL5" s="293" t="s">
        <v>258</v>
      </c>
      <c r="BM5" s="293"/>
      <c r="BN5" s="294">
        <f>CK34</f>
        <v>0.21962499999999999</v>
      </c>
      <c r="BO5" s="294"/>
      <c r="BP5" s="293" t="s">
        <v>258</v>
      </c>
      <c r="BQ5" s="293"/>
      <c r="BR5" s="294">
        <f>CM34</f>
        <v>0.16722222222222222</v>
      </c>
      <c r="BS5" s="294"/>
      <c r="BT5" s="293" t="s">
        <v>258</v>
      </c>
      <c r="BU5" s="293"/>
      <c r="BV5" s="294">
        <f>CO34</f>
        <v>0.19833333333333325</v>
      </c>
      <c r="BW5" s="294"/>
      <c r="BX5" s="293" t="s">
        <v>258</v>
      </c>
      <c r="BY5" s="293"/>
      <c r="BZ5" s="294">
        <f>CQ34</f>
        <v>0.2639999999999999</v>
      </c>
      <c r="CA5" s="294"/>
      <c r="CB5" s="36">
        <f>CF35</f>
        <v>0.2187115079365079</v>
      </c>
      <c r="CC5" s="343"/>
      <c r="CD5" s="344"/>
      <c r="CE5" s="320">
        <v>5000</v>
      </c>
      <c r="CF5" s="320"/>
      <c r="CG5" s="320">
        <v>6000</v>
      </c>
      <c r="CH5" s="320"/>
      <c r="CI5" s="320">
        <v>6000</v>
      </c>
      <c r="CJ5" s="320"/>
      <c r="CK5" s="320">
        <v>8000</v>
      </c>
      <c r="CL5" s="320"/>
      <c r="CM5" s="320">
        <v>12000</v>
      </c>
      <c r="CN5" s="320"/>
      <c r="CO5" s="320">
        <v>12000</v>
      </c>
      <c r="CP5" s="320"/>
      <c r="CQ5" s="320">
        <v>7000</v>
      </c>
      <c r="CR5" s="320"/>
      <c r="CS5" s="35"/>
    </row>
    <row r="6" spans="1:97" ht="14.25" customHeight="1" thickBot="1">
      <c r="A6" s="338"/>
      <c r="B6" s="340"/>
      <c r="C6" s="221"/>
      <c r="D6" s="222"/>
      <c r="E6" s="223"/>
      <c r="F6" s="224"/>
      <c r="G6" s="221"/>
      <c r="H6" s="222"/>
      <c r="I6" s="223"/>
      <c r="J6" s="224"/>
      <c r="K6" s="221"/>
      <c r="L6" s="222"/>
      <c r="M6" s="223"/>
      <c r="N6" s="224"/>
      <c r="O6" s="221"/>
      <c r="P6" s="222"/>
      <c r="Q6" s="223"/>
      <c r="R6" s="224"/>
      <c r="S6" s="221"/>
      <c r="T6" s="222"/>
      <c r="U6" s="223"/>
      <c r="V6" s="224"/>
      <c r="W6" s="221"/>
      <c r="X6" s="222"/>
      <c r="Y6" s="223"/>
      <c r="Z6" s="224"/>
      <c r="AA6" s="221"/>
      <c r="AB6" s="222"/>
      <c r="AC6" s="223"/>
      <c r="AD6" s="224"/>
      <c r="AE6" s="38"/>
      <c r="AF6" s="343"/>
      <c r="AG6" s="344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35"/>
      <c r="AW6" s="37"/>
      <c r="AX6" s="338"/>
      <c r="AY6" s="340"/>
      <c r="AZ6" s="221"/>
      <c r="BA6" s="222"/>
      <c r="BB6" s="223"/>
      <c r="BC6" s="224"/>
      <c r="BD6" s="221"/>
      <c r="BE6" s="222"/>
      <c r="BF6" s="223"/>
      <c r="BG6" s="224"/>
      <c r="BH6" s="221"/>
      <c r="BI6" s="222"/>
      <c r="BJ6" s="223"/>
      <c r="BK6" s="224"/>
      <c r="BL6" s="221"/>
      <c r="BM6" s="222"/>
      <c r="BN6" s="223"/>
      <c r="BO6" s="224"/>
      <c r="BP6" s="221"/>
      <c r="BQ6" s="222"/>
      <c r="BR6" s="223"/>
      <c r="BS6" s="224"/>
      <c r="BT6" s="221"/>
      <c r="BU6" s="222"/>
      <c r="BV6" s="223"/>
      <c r="BW6" s="224"/>
      <c r="BX6" s="221"/>
      <c r="BY6" s="222"/>
      <c r="BZ6" s="223"/>
      <c r="CA6" s="224"/>
      <c r="CB6" s="38"/>
      <c r="CC6" s="343"/>
      <c r="CD6" s="344"/>
      <c r="CE6" s="220"/>
      <c r="CF6" s="220"/>
      <c r="CG6" s="220"/>
      <c r="CH6" s="220"/>
      <c r="CI6" s="220"/>
      <c r="CJ6" s="220"/>
      <c r="CK6" s="220"/>
      <c r="CL6" s="220"/>
      <c r="CM6" s="220"/>
      <c r="CN6" s="220"/>
      <c r="CO6" s="220"/>
      <c r="CP6" s="220"/>
      <c r="CQ6" s="220"/>
      <c r="CR6" s="220"/>
      <c r="CS6" s="35"/>
    </row>
    <row r="7" spans="1:97" ht="14.25" customHeight="1" thickBot="1">
      <c r="A7" s="338"/>
      <c r="B7" s="340"/>
      <c r="C7" s="225"/>
      <c r="D7" s="226"/>
      <c r="E7" s="227"/>
      <c r="F7" s="228"/>
      <c r="G7" s="221"/>
      <c r="H7" s="222"/>
      <c r="I7" s="223"/>
      <c r="J7" s="224"/>
      <c r="K7" s="229"/>
      <c r="L7" s="222"/>
      <c r="M7" s="223"/>
      <c r="N7" s="224"/>
      <c r="O7" s="221"/>
      <c r="P7" s="222"/>
      <c r="Q7" s="223"/>
      <c r="R7" s="224"/>
      <c r="S7" s="221"/>
      <c r="T7" s="222"/>
      <c r="U7" s="223"/>
      <c r="V7" s="224"/>
      <c r="W7" s="221"/>
      <c r="X7" s="222"/>
      <c r="Y7" s="223"/>
      <c r="Z7" s="224"/>
      <c r="AA7" s="221"/>
      <c r="AB7" s="222"/>
      <c r="AC7" s="223"/>
      <c r="AD7" s="224"/>
      <c r="AE7" s="38"/>
      <c r="AF7" s="343"/>
      <c r="AG7" s="344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35"/>
      <c r="AW7" s="37"/>
      <c r="AX7" s="338"/>
      <c r="AY7" s="340"/>
      <c r="AZ7" s="225"/>
      <c r="BA7" s="226"/>
      <c r="BB7" s="227"/>
      <c r="BC7" s="228"/>
      <c r="BD7" s="221"/>
      <c r="BE7" s="222"/>
      <c r="BF7" s="223"/>
      <c r="BG7" s="224"/>
      <c r="BH7" s="229"/>
      <c r="BI7" s="222"/>
      <c r="BJ7" s="223"/>
      <c r="BK7" s="224"/>
      <c r="BL7" s="221"/>
      <c r="BM7" s="222"/>
      <c r="BN7" s="223"/>
      <c r="BO7" s="224"/>
      <c r="BP7" s="221"/>
      <c r="BQ7" s="222"/>
      <c r="BR7" s="223"/>
      <c r="BS7" s="224"/>
      <c r="BT7" s="221"/>
      <c r="BU7" s="222"/>
      <c r="BV7" s="223"/>
      <c r="BW7" s="224"/>
      <c r="BX7" s="221"/>
      <c r="BY7" s="222"/>
      <c r="BZ7" s="223"/>
      <c r="CA7" s="224"/>
      <c r="CB7" s="38"/>
      <c r="CC7" s="343"/>
      <c r="CD7" s="344"/>
      <c r="CE7" s="220"/>
      <c r="CF7" s="220"/>
      <c r="CG7" s="220"/>
      <c r="CH7" s="220"/>
      <c r="CI7" s="220"/>
      <c r="CJ7" s="220"/>
      <c r="CK7" s="220"/>
      <c r="CL7" s="220"/>
      <c r="CM7" s="220"/>
      <c r="CN7" s="220"/>
      <c r="CO7" s="220"/>
      <c r="CP7" s="220"/>
      <c r="CQ7" s="220"/>
      <c r="CR7" s="220"/>
      <c r="CS7" s="35"/>
    </row>
    <row r="8" spans="1:97" ht="14.25" customHeight="1" thickBot="1">
      <c r="A8" s="338"/>
      <c r="B8" s="340"/>
      <c r="C8" s="225"/>
      <c r="D8" s="226"/>
      <c r="E8" s="227"/>
      <c r="F8" s="228"/>
      <c r="G8" s="221"/>
      <c r="H8" s="222"/>
      <c r="I8" s="223"/>
      <c r="J8" s="224"/>
      <c r="K8" s="229"/>
      <c r="L8" s="222"/>
      <c r="M8" s="223"/>
      <c r="N8" s="224"/>
      <c r="O8" s="221"/>
      <c r="P8" s="222"/>
      <c r="Q8" s="223"/>
      <c r="R8" s="224"/>
      <c r="S8" s="221"/>
      <c r="T8" s="222"/>
      <c r="U8" s="223"/>
      <c r="V8" s="224"/>
      <c r="W8" s="221"/>
      <c r="X8" s="222"/>
      <c r="Y8" s="223"/>
      <c r="Z8" s="224"/>
      <c r="AA8" s="221"/>
      <c r="AB8" s="222"/>
      <c r="AC8" s="223"/>
      <c r="AD8" s="224"/>
      <c r="AE8" s="38"/>
      <c r="AF8" s="343"/>
      <c r="AG8" s="344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35"/>
      <c r="AW8" s="37"/>
      <c r="AX8" s="338"/>
      <c r="AY8" s="340"/>
      <c r="AZ8" s="225"/>
      <c r="BA8" s="226"/>
      <c r="BB8" s="227"/>
      <c r="BC8" s="228"/>
      <c r="BD8" s="221"/>
      <c r="BE8" s="222"/>
      <c r="BF8" s="223"/>
      <c r="BG8" s="224"/>
      <c r="BH8" s="229"/>
      <c r="BI8" s="222"/>
      <c r="BJ8" s="223"/>
      <c r="BK8" s="224"/>
      <c r="BL8" s="221"/>
      <c r="BM8" s="222"/>
      <c r="BN8" s="223"/>
      <c r="BO8" s="224"/>
      <c r="BP8" s="221"/>
      <c r="BQ8" s="222"/>
      <c r="BR8" s="223"/>
      <c r="BS8" s="224"/>
      <c r="BT8" s="221"/>
      <c r="BU8" s="222"/>
      <c r="BV8" s="223"/>
      <c r="BW8" s="224"/>
      <c r="BX8" s="221"/>
      <c r="BY8" s="222"/>
      <c r="BZ8" s="223"/>
      <c r="CA8" s="224"/>
      <c r="CB8" s="38"/>
      <c r="CC8" s="343"/>
      <c r="CD8" s="344"/>
      <c r="CE8" s="220"/>
      <c r="CF8" s="220"/>
      <c r="CG8" s="220"/>
      <c r="CH8" s="220"/>
      <c r="CI8" s="220"/>
      <c r="CJ8" s="220"/>
      <c r="CK8" s="220"/>
      <c r="CL8" s="220"/>
      <c r="CM8" s="220"/>
      <c r="CN8" s="220"/>
      <c r="CO8" s="220"/>
      <c r="CP8" s="220"/>
      <c r="CQ8" s="220"/>
      <c r="CR8" s="220"/>
      <c r="CS8" s="35"/>
    </row>
    <row r="9" spans="1:97" ht="14.25" customHeight="1" thickBot="1">
      <c r="A9" s="338"/>
      <c r="B9" s="341"/>
      <c r="C9" s="322" t="s">
        <v>259</v>
      </c>
      <c r="D9" s="322"/>
      <c r="E9" s="323" t="s">
        <v>260</v>
      </c>
      <c r="F9" s="323"/>
      <c r="G9" s="324" t="s">
        <v>259</v>
      </c>
      <c r="H9" s="324"/>
      <c r="I9" s="325" t="s">
        <v>260</v>
      </c>
      <c r="J9" s="325"/>
      <c r="K9" s="326" t="s">
        <v>259</v>
      </c>
      <c r="L9" s="324"/>
      <c r="M9" s="325" t="s">
        <v>260</v>
      </c>
      <c r="N9" s="325"/>
      <c r="O9" s="324" t="s">
        <v>259</v>
      </c>
      <c r="P9" s="324"/>
      <c r="Q9" s="325" t="s">
        <v>260</v>
      </c>
      <c r="R9" s="325"/>
      <c r="S9" s="327" t="s">
        <v>259</v>
      </c>
      <c r="T9" s="327"/>
      <c r="U9" s="328" t="s">
        <v>260</v>
      </c>
      <c r="V9" s="328"/>
      <c r="W9" s="327" t="s">
        <v>259</v>
      </c>
      <c r="X9" s="327"/>
      <c r="Y9" s="328" t="s">
        <v>260</v>
      </c>
      <c r="Z9" s="328"/>
      <c r="AA9" s="324" t="s">
        <v>259</v>
      </c>
      <c r="AB9" s="324"/>
      <c r="AC9" s="325" t="s">
        <v>260</v>
      </c>
      <c r="AD9" s="325"/>
      <c r="AE9" s="38" t="s">
        <v>261</v>
      </c>
      <c r="AF9" s="343"/>
      <c r="AG9" s="344"/>
      <c r="AH9" s="39" t="s">
        <v>259</v>
      </c>
      <c r="AI9" s="40" t="s">
        <v>260</v>
      </c>
      <c r="AJ9" s="39" t="s">
        <v>259</v>
      </c>
      <c r="AK9" s="40" t="s">
        <v>260</v>
      </c>
      <c r="AL9" s="39" t="s">
        <v>259</v>
      </c>
      <c r="AM9" s="40" t="s">
        <v>260</v>
      </c>
      <c r="AN9" s="39" t="s">
        <v>259</v>
      </c>
      <c r="AO9" s="40" t="s">
        <v>260</v>
      </c>
      <c r="AP9" s="39" t="s">
        <v>259</v>
      </c>
      <c r="AQ9" s="40" t="s">
        <v>260</v>
      </c>
      <c r="AR9" s="39" t="s">
        <v>259</v>
      </c>
      <c r="AS9" s="40" t="s">
        <v>260</v>
      </c>
      <c r="AT9" s="39" t="s">
        <v>259</v>
      </c>
      <c r="AU9" s="40" t="s">
        <v>260</v>
      </c>
      <c r="AV9" s="31"/>
      <c r="AX9" s="338"/>
      <c r="AY9" s="341"/>
      <c r="AZ9" s="322" t="s">
        <v>259</v>
      </c>
      <c r="BA9" s="322"/>
      <c r="BB9" s="323" t="s">
        <v>260</v>
      </c>
      <c r="BC9" s="323"/>
      <c r="BD9" s="324" t="s">
        <v>259</v>
      </c>
      <c r="BE9" s="324"/>
      <c r="BF9" s="325" t="s">
        <v>260</v>
      </c>
      <c r="BG9" s="325"/>
      <c r="BH9" s="326" t="s">
        <v>259</v>
      </c>
      <c r="BI9" s="324"/>
      <c r="BJ9" s="325" t="s">
        <v>260</v>
      </c>
      <c r="BK9" s="325"/>
      <c r="BL9" s="327" t="s">
        <v>259</v>
      </c>
      <c r="BM9" s="327"/>
      <c r="BN9" s="328" t="s">
        <v>260</v>
      </c>
      <c r="BO9" s="328"/>
      <c r="BP9" s="327" t="s">
        <v>259</v>
      </c>
      <c r="BQ9" s="327"/>
      <c r="BR9" s="328" t="s">
        <v>260</v>
      </c>
      <c r="BS9" s="328"/>
      <c r="BT9" s="327" t="s">
        <v>259</v>
      </c>
      <c r="BU9" s="327"/>
      <c r="BV9" s="328" t="s">
        <v>260</v>
      </c>
      <c r="BW9" s="328"/>
      <c r="BX9" s="324" t="s">
        <v>259</v>
      </c>
      <c r="BY9" s="324"/>
      <c r="BZ9" s="325" t="s">
        <v>260</v>
      </c>
      <c r="CA9" s="325"/>
      <c r="CB9" s="38" t="s">
        <v>261</v>
      </c>
      <c r="CC9" s="343"/>
      <c r="CD9" s="344"/>
      <c r="CE9" s="39" t="s">
        <v>259</v>
      </c>
      <c r="CF9" s="40" t="s">
        <v>260</v>
      </c>
      <c r="CG9" s="39" t="s">
        <v>259</v>
      </c>
      <c r="CH9" s="40" t="s">
        <v>260</v>
      </c>
      <c r="CI9" s="39" t="s">
        <v>259</v>
      </c>
      <c r="CJ9" s="40" t="s">
        <v>260</v>
      </c>
      <c r="CK9" s="39" t="s">
        <v>259</v>
      </c>
      <c r="CL9" s="40" t="s">
        <v>260</v>
      </c>
      <c r="CM9" s="39" t="s">
        <v>259</v>
      </c>
      <c r="CN9" s="40" t="s">
        <v>260</v>
      </c>
      <c r="CO9" s="39" t="s">
        <v>259</v>
      </c>
      <c r="CP9" s="40" t="s">
        <v>260</v>
      </c>
      <c r="CQ9" s="39" t="s">
        <v>259</v>
      </c>
      <c r="CR9" s="40" t="s">
        <v>260</v>
      </c>
      <c r="CS9" s="31"/>
    </row>
    <row r="10" spans="1:97">
      <c r="A10" s="213"/>
      <c r="B10" s="231" t="s">
        <v>397</v>
      </c>
      <c r="C10" s="243"/>
      <c r="D10" s="244"/>
      <c r="E10" s="244"/>
      <c r="F10" s="245"/>
      <c r="G10" s="243"/>
      <c r="H10" s="244"/>
      <c r="I10" s="244"/>
      <c r="J10" s="245"/>
      <c r="K10" s="243"/>
      <c r="L10" s="244"/>
      <c r="M10" s="244"/>
      <c r="N10" s="245"/>
      <c r="O10" s="243"/>
      <c r="P10" s="244"/>
      <c r="Q10" s="244"/>
      <c r="R10" s="245"/>
      <c r="S10" s="243"/>
      <c r="T10" s="244"/>
      <c r="U10" s="244"/>
      <c r="V10" s="245"/>
      <c r="W10" s="243"/>
      <c r="X10" s="244"/>
      <c r="Y10" s="244"/>
      <c r="Z10" s="245"/>
      <c r="AA10" s="217"/>
      <c r="AB10" s="214"/>
      <c r="AC10" s="214"/>
      <c r="AD10" s="215"/>
      <c r="AE10" s="237"/>
      <c r="AF10" s="193"/>
      <c r="AG10" s="344"/>
      <c r="AH10" s="191">
        <f t="shared" ref="AH10:AH27" si="0">IF(ISERROR(VALUE((MOD(D10-C10,1))))=TRUE,0,MOD(D10-C10,1))</f>
        <v>0</v>
      </c>
      <c r="AI10" s="191">
        <f t="shared" ref="AI10:AI27" si="1">IF(ISERROR(VALUE((MOD(F10-E10,1))))=TRUE,0,MOD(F10-E10,1))</f>
        <v>0</v>
      </c>
      <c r="AJ10" s="191">
        <f t="shared" ref="AJ10:AJ27" si="2">IF(ISERROR(VALUE((MOD(H10-G10,1))))=TRUE,0,MOD(H10-G10,1))</f>
        <v>0</v>
      </c>
      <c r="AK10" s="191">
        <f t="shared" ref="AK10:AK27" si="3">IF(ISERROR(VALUE((MOD(J10-I10,1))))=TRUE,0,MOD(J10-I10,1))</f>
        <v>0</v>
      </c>
      <c r="AL10" s="191">
        <f t="shared" ref="AL10:AL27" si="4">IF(ISERROR(VALUE((MOD(L10-K10,1))))=TRUE,0,MOD(L10-K10,1))</f>
        <v>0</v>
      </c>
      <c r="AM10" s="191">
        <f t="shared" ref="AM10:AM27" si="5">IF(ISERROR(VALUE((MOD(N10-M10,1))))=TRUE,0,MOD(N10-M10,1))</f>
        <v>0</v>
      </c>
      <c r="AN10" s="191">
        <f t="shared" ref="AN10:AN27" si="6">IF(ISERROR(VALUE((MOD(P10-O10,1))))=TRUE,0,MOD(P10-O10,1))</f>
        <v>0</v>
      </c>
      <c r="AO10" s="191">
        <f t="shared" ref="AO10:AO27" si="7">IF(ISERROR(VALUE((MOD(R10-Q10,1))))=TRUE,0,MOD(R10-Q10,1))</f>
        <v>0</v>
      </c>
      <c r="AP10" s="191">
        <f t="shared" ref="AP10:AP27" si="8">IF(ISERROR(VALUE((MOD(T10-S10,1))))=TRUE,0,MOD(T10-S10,1))</f>
        <v>0</v>
      </c>
      <c r="AQ10" s="191">
        <f t="shared" ref="AQ10:AQ27" si="9">IF(ISERROR(VALUE((MOD(V10-U10,1))))=TRUE,0,MOD(V10-U10,1))</f>
        <v>0</v>
      </c>
      <c r="AR10" s="191">
        <f t="shared" ref="AR10:AR27" si="10">IF(ISERROR(VALUE((MOD(X10-W10,1))))=TRUE,0,MOD(X10-W10,1))</f>
        <v>0</v>
      </c>
      <c r="AS10" s="191">
        <f t="shared" ref="AS10:AS27" si="11">IF(ISERROR(VALUE((MOD(Z10-Y10,1))))=TRUE,0,MOD(Z10-Y10,1))</f>
        <v>0</v>
      </c>
      <c r="AT10" s="191">
        <f t="shared" ref="AT10:AT27" si="12">IF(ISERROR(VALUE((MOD(AB10-AA10,1))))=TRUE,0,MOD(AB10-AA10,1))</f>
        <v>0</v>
      </c>
      <c r="AU10" s="191">
        <f t="shared" ref="AU10:AU27" si="13">IF(ISERROR(VALUE((MOD(AD10-AC10,1))))=TRUE,0,MOD(AD10-AC10,1))</f>
        <v>0</v>
      </c>
      <c r="AV10" s="31"/>
      <c r="AX10" s="213"/>
      <c r="AY10" s="231"/>
      <c r="AZ10" s="243"/>
      <c r="BA10" s="244"/>
      <c r="BB10" s="244"/>
      <c r="BC10" s="245"/>
      <c r="BD10" s="243"/>
      <c r="BE10" s="244"/>
      <c r="BF10" s="244"/>
      <c r="BG10" s="245"/>
      <c r="BH10" s="243"/>
      <c r="BI10" s="244"/>
      <c r="BJ10" s="244"/>
      <c r="BK10" s="245"/>
      <c r="BL10" s="243"/>
      <c r="BM10" s="244"/>
      <c r="BN10" s="244"/>
      <c r="BO10" s="245"/>
      <c r="BP10" s="243"/>
      <c r="BQ10" s="244"/>
      <c r="BR10" s="244"/>
      <c r="BS10" s="245"/>
      <c r="BT10" s="243"/>
      <c r="BU10" s="244"/>
      <c r="BV10" s="244"/>
      <c r="BW10" s="245"/>
      <c r="BX10" s="217"/>
      <c r="BY10" s="214"/>
      <c r="BZ10" s="214"/>
      <c r="CA10" s="215"/>
      <c r="CB10" s="237"/>
      <c r="CC10" s="193"/>
      <c r="CD10" s="344"/>
      <c r="CE10" s="191">
        <f t="shared" ref="CE10:CE11" si="14">IF(ISERROR(VALUE((MOD(BA10-AZ10,1))))=TRUE,0,MOD(BA10-AZ10,1))</f>
        <v>0</v>
      </c>
      <c r="CF10" s="191">
        <f t="shared" ref="CF10:CF27" si="15">IF(ISERROR(VALUE((MOD(BC10-BB10,1))))=TRUE,0,MOD(BC10-BB10,1))</f>
        <v>0</v>
      </c>
      <c r="CG10" s="191">
        <f t="shared" ref="CG10:CG14" si="16">IF(ISERROR(VALUE((MOD(BE10-BD10,1))))=TRUE,0,MOD(BE10-BD10,1))</f>
        <v>0</v>
      </c>
      <c r="CH10" s="191">
        <f t="shared" ref="CH10:CH14" si="17">IF(ISERROR(VALUE((MOD(BG10-BF10,1))))=TRUE,0,MOD(BG10-BF10,1))</f>
        <v>0</v>
      </c>
      <c r="CI10" s="191">
        <f t="shared" ref="CI10:CI27" si="18">IF(ISERROR(VALUE((MOD(BI10-BH10,1))))=TRUE,0,MOD(BI10-BH10,1))</f>
        <v>0</v>
      </c>
      <c r="CJ10" s="191">
        <f t="shared" ref="CJ10:CJ27" si="19">IF(ISERROR(VALUE((MOD(BK10-BJ10,1))))=TRUE,0,MOD(BK10-BJ10,1))</f>
        <v>0</v>
      </c>
      <c r="CK10" s="191">
        <f t="shared" ref="CK10:CK27" si="20">IF(ISERROR(VALUE((MOD(BM10-BL10,1))))=TRUE,0,MOD(BM10-BL10,1))</f>
        <v>0</v>
      </c>
      <c r="CL10" s="191">
        <f t="shared" ref="CL10:CL27" si="21">IF(ISERROR(VALUE((MOD(BO10-BN10,1))))=TRUE,0,MOD(BO10-BN10,1))</f>
        <v>0</v>
      </c>
      <c r="CM10" s="191">
        <f t="shared" ref="CM10:CM27" si="22">IF(ISERROR(VALUE((MOD(BQ10-BP10,1))))=TRUE,0,MOD(BQ10-BP10,1))</f>
        <v>0</v>
      </c>
      <c r="CN10" s="191">
        <f t="shared" ref="CN10:CN27" si="23">IF(ISERROR(VALUE((MOD(BS10-BR10,1))))=TRUE,0,MOD(BS10-BR10,1))</f>
        <v>0</v>
      </c>
      <c r="CO10" s="191">
        <f t="shared" ref="CO10:CO27" si="24">IF(ISERROR(VALUE((MOD(BU10-BT10,1))))=TRUE,0,MOD(BU10-BT10,1))</f>
        <v>0</v>
      </c>
      <c r="CP10" s="191">
        <f t="shared" ref="CP10:CP27" si="25">IF(ISERROR(VALUE((MOD(BW10-BV10,1))))=TRUE,0,MOD(BW10-BV10,1))</f>
        <v>0</v>
      </c>
      <c r="CQ10" s="191">
        <f t="shared" ref="CQ10" si="26">IF(ISERROR(VALUE((MOD(BY10-BX10,1))))=TRUE,0,MOD(BY10-BX10,1))</f>
        <v>0</v>
      </c>
      <c r="CR10" s="191">
        <f t="shared" ref="CR10" si="27">IF(ISERROR(VALUE((MOD(CA10-BZ10,1))))=TRUE,0,MOD(CA10-BZ10,1))</f>
        <v>0</v>
      </c>
      <c r="CS10" s="31"/>
    </row>
    <row r="11" spans="1:97">
      <c r="A11" s="213"/>
      <c r="B11" s="198" t="s">
        <v>377</v>
      </c>
      <c r="C11" s="217"/>
      <c r="D11" s="214"/>
      <c r="E11" s="214">
        <v>0.45833333333333331</v>
      </c>
      <c r="F11" s="215">
        <v>0.95833333333333337</v>
      </c>
      <c r="G11" s="217"/>
      <c r="H11" s="214"/>
      <c r="I11" s="214">
        <v>0.45833333333333331</v>
      </c>
      <c r="J11" s="215">
        <v>0.95833333333333337</v>
      </c>
      <c r="K11" s="217"/>
      <c r="L11" s="214"/>
      <c r="M11" s="214">
        <v>0.45833333333333331</v>
      </c>
      <c r="N11" s="215">
        <v>0.125</v>
      </c>
      <c r="O11" s="217" t="s">
        <v>42</v>
      </c>
      <c r="P11" s="214" t="s">
        <v>42</v>
      </c>
      <c r="Q11" s="214" t="s">
        <v>42</v>
      </c>
      <c r="R11" s="215" t="s">
        <v>42</v>
      </c>
      <c r="S11" s="217"/>
      <c r="T11" s="214"/>
      <c r="U11" s="214">
        <v>0.45833333333333331</v>
      </c>
      <c r="V11" s="215">
        <v>0.95833333333333337</v>
      </c>
      <c r="W11" s="217"/>
      <c r="X11" s="214"/>
      <c r="Y11" s="214">
        <v>0.45833333333333331</v>
      </c>
      <c r="Z11" s="215">
        <v>0.97916666666666663</v>
      </c>
      <c r="AA11" s="217"/>
      <c r="AB11" s="214"/>
      <c r="AC11" s="214">
        <v>0.45833333333333331</v>
      </c>
      <c r="AD11" s="215">
        <v>0.95833333333333337</v>
      </c>
      <c r="AE11" s="238">
        <f t="shared" ref="AE11:AE27" si="28">AH11+AI11+AJ11+AK11++AL11+AM11+AN11+AO11+AP11++AQ11+AR11+AS11+AT11+AU11</f>
        <v>3.1875</v>
      </c>
      <c r="AF11" s="193"/>
      <c r="AG11" s="344"/>
      <c r="AH11" s="191">
        <f t="shared" si="0"/>
        <v>0</v>
      </c>
      <c r="AI11" s="191">
        <f t="shared" si="1"/>
        <v>0.5</v>
      </c>
      <c r="AJ11" s="191">
        <f t="shared" si="2"/>
        <v>0</v>
      </c>
      <c r="AK11" s="191">
        <f t="shared" si="3"/>
        <v>0.5</v>
      </c>
      <c r="AL11" s="191">
        <f t="shared" si="4"/>
        <v>0</v>
      </c>
      <c r="AM11" s="191">
        <f t="shared" si="5"/>
        <v>0.66666666666666674</v>
      </c>
      <c r="AN11" s="191">
        <f t="shared" si="6"/>
        <v>0</v>
      </c>
      <c r="AO11" s="191">
        <f t="shared" si="7"/>
        <v>0</v>
      </c>
      <c r="AP11" s="191">
        <f t="shared" si="8"/>
        <v>0</v>
      </c>
      <c r="AQ11" s="191">
        <f t="shared" si="9"/>
        <v>0.5</v>
      </c>
      <c r="AR11" s="191">
        <f t="shared" si="10"/>
        <v>0</v>
      </c>
      <c r="AS11" s="191">
        <f t="shared" si="11"/>
        <v>0.52083333333333326</v>
      </c>
      <c r="AT11" s="191">
        <f>IF(ISERROR(VALUE((MOD(AB11-AA11,1))))=TRUE,0,MOD(AB11-AA11,1))</f>
        <v>0</v>
      </c>
      <c r="AU11" s="191">
        <f>IF(ISERROR(VALUE((MOD(AD11-AC11,1))))=TRUE,0,MOD(AD11-AC11,1))</f>
        <v>0.5</v>
      </c>
      <c r="AV11" s="31"/>
      <c r="AX11" s="213"/>
      <c r="AY11" s="198" t="s">
        <v>377</v>
      </c>
      <c r="AZ11" s="217"/>
      <c r="BA11" s="214"/>
      <c r="BB11" s="214">
        <v>0.45833333333333331</v>
      </c>
      <c r="BC11" s="215">
        <v>0.95833333333333337</v>
      </c>
      <c r="BD11" s="217"/>
      <c r="BE11" s="214"/>
      <c r="BF11" s="214">
        <v>0.45833333333333331</v>
      </c>
      <c r="BG11" s="215">
        <v>0.95833333333333337</v>
      </c>
      <c r="BH11" s="217"/>
      <c r="BI11" s="214"/>
      <c r="BJ11" s="214">
        <v>0.45833333333333331</v>
      </c>
      <c r="BK11" s="215">
        <v>0.95833333333333337</v>
      </c>
      <c r="BL11" s="217" t="s">
        <v>42</v>
      </c>
      <c r="BM11" s="214" t="s">
        <v>42</v>
      </c>
      <c r="BN11" s="214" t="s">
        <v>42</v>
      </c>
      <c r="BO11" s="215" t="s">
        <v>42</v>
      </c>
      <c r="BP11" s="217" t="s">
        <v>42</v>
      </c>
      <c r="BQ11" s="214" t="s">
        <v>42</v>
      </c>
      <c r="BR11" s="214" t="s">
        <v>42</v>
      </c>
      <c r="BS11" s="215" t="s">
        <v>42</v>
      </c>
      <c r="BT11" s="217" t="s">
        <v>42</v>
      </c>
      <c r="BU11" s="214" t="s">
        <v>42</v>
      </c>
      <c r="BV11" s="214" t="s">
        <v>42</v>
      </c>
      <c r="BW11" s="215" t="s">
        <v>42</v>
      </c>
      <c r="BX11" s="217" t="s">
        <v>42</v>
      </c>
      <c r="BY11" s="214" t="s">
        <v>42</v>
      </c>
      <c r="BZ11" s="214" t="s">
        <v>42</v>
      </c>
      <c r="CA11" s="215" t="s">
        <v>42</v>
      </c>
      <c r="CB11" s="238">
        <f t="shared" ref="CB11:CB27" si="29">CE11+CF11+CG11+CH11++CI11+CJ11+CK11+CL11+CM11++CN11+CO11+CP11+CQ11+CR11</f>
        <v>1.5</v>
      </c>
      <c r="CC11" s="193"/>
      <c r="CD11" s="344"/>
      <c r="CE11" s="191">
        <f t="shared" si="14"/>
        <v>0</v>
      </c>
      <c r="CF11" s="191">
        <f t="shared" si="15"/>
        <v>0.5</v>
      </c>
      <c r="CG11" s="191">
        <f t="shared" si="16"/>
        <v>0</v>
      </c>
      <c r="CH11" s="191">
        <f t="shared" si="17"/>
        <v>0.5</v>
      </c>
      <c r="CI11" s="191">
        <f t="shared" si="18"/>
        <v>0</v>
      </c>
      <c r="CJ11" s="191">
        <f t="shared" si="19"/>
        <v>0.5</v>
      </c>
      <c r="CK11" s="191">
        <f t="shared" si="20"/>
        <v>0</v>
      </c>
      <c r="CL11" s="191">
        <f t="shared" si="21"/>
        <v>0</v>
      </c>
      <c r="CM11" s="191">
        <f t="shared" si="22"/>
        <v>0</v>
      </c>
      <c r="CN11" s="191">
        <f t="shared" si="23"/>
        <v>0</v>
      </c>
      <c r="CO11" s="191">
        <f t="shared" si="24"/>
        <v>0</v>
      </c>
      <c r="CP11" s="191">
        <f t="shared" si="25"/>
        <v>0</v>
      </c>
      <c r="CQ11" s="191">
        <f>IF(ISERROR(VALUE((MOD(BY11-BX11,1))))=TRUE,0,MOD(BY11-BX11,1))</f>
        <v>0</v>
      </c>
      <c r="CR11" s="191">
        <f>IF(ISERROR(VALUE((MOD(CA11-BZ11,1))))=TRUE,0,MOD(CA11-BZ11,1))</f>
        <v>0</v>
      </c>
      <c r="CS11" s="31"/>
    </row>
    <row r="12" spans="1:97">
      <c r="A12" s="213"/>
      <c r="B12" s="198" t="s">
        <v>370</v>
      </c>
      <c r="C12" s="236" t="s">
        <v>401</v>
      </c>
      <c r="D12" s="218" t="s">
        <v>401</v>
      </c>
      <c r="E12" s="216" t="s">
        <v>401</v>
      </c>
      <c r="F12" s="215" t="s">
        <v>401</v>
      </c>
      <c r="G12" s="236" t="s">
        <v>401</v>
      </c>
      <c r="H12" s="218" t="s">
        <v>401</v>
      </c>
      <c r="I12" s="216" t="s">
        <v>401</v>
      </c>
      <c r="J12" s="215" t="s">
        <v>401</v>
      </c>
      <c r="K12" s="236" t="s">
        <v>401</v>
      </c>
      <c r="L12" s="218" t="s">
        <v>401</v>
      </c>
      <c r="M12" s="216" t="s">
        <v>401</v>
      </c>
      <c r="N12" s="215" t="s">
        <v>401</v>
      </c>
      <c r="O12" s="236" t="s">
        <v>401</v>
      </c>
      <c r="P12" s="218" t="s">
        <v>401</v>
      </c>
      <c r="Q12" s="216" t="s">
        <v>401</v>
      </c>
      <c r="R12" s="215" t="s">
        <v>401</v>
      </c>
      <c r="S12" s="236" t="s">
        <v>401</v>
      </c>
      <c r="T12" s="218" t="s">
        <v>401</v>
      </c>
      <c r="U12" s="216" t="s">
        <v>401</v>
      </c>
      <c r="V12" s="215" t="s">
        <v>401</v>
      </c>
      <c r="W12" s="236" t="s">
        <v>401</v>
      </c>
      <c r="X12" s="218" t="s">
        <v>401</v>
      </c>
      <c r="Y12" s="216" t="s">
        <v>401</v>
      </c>
      <c r="Z12" s="215" t="s">
        <v>401</v>
      </c>
      <c r="AA12" s="236" t="s">
        <v>401</v>
      </c>
      <c r="AB12" s="218" t="s">
        <v>401</v>
      </c>
      <c r="AC12" s="216" t="s">
        <v>401</v>
      </c>
      <c r="AD12" s="215" t="s">
        <v>401</v>
      </c>
      <c r="AE12" s="238">
        <f t="shared" si="28"/>
        <v>0</v>
      </c>
      <c r="AF12" s="240" t="s">
        <v>385</v>
      </c>
      <c r="AG12" s="344"/>
      <c r="AH12" s="191">
        <f>IF(ISERROR(VALUE((MOD(D12-#REF!,1))))=TRUE,0,MOD(D12-#REF!,1))</f>
        <v>0</v>
      </c>
      <c r="AI12" s="191">
        <f t="shared" si="1"/>
        <v>0</v>
      </c>
      <c r="AJ12" s="191">
        <f t="shared" si="2"/>
        <v>0</v>
      </c>
      <c r="AK12" s="191">
        <f t="shared" si="3"/>
        <v>0</v>
      </c>
      <c r="AL12" s="191">
        <f t="shared" si="4"/>
        <v>0</v>
      </c>
      <c r="AM12" s="191">
        <f t="shared" si="5"/>
        <v>0</v>
      </c>
      <c r="AN12" s="191">
        <f t="shared" si="6"/>
        <v>0</v>
      </c>
      <c r="AO12" s="191">
        <f t="shared" si="7"/>
        <v>0</v>
      </c>
      <c r="AP12" s="191">
        <f t="shared" si="8"/>
        <v>0</v>
      </c>
      <c r="AQ12" s="191">
        <f t="shared" si="9"/>
        <v>0</v>
      </c>
      <c r="AR12" s="191">
        <f t="shared" si="10"/>
        <v>0</v>
      </c>
      <c r="AS12" s="191">
        <f t="shared" si="11"/>
        <v>0</v>
      </c>
      <c r="AT12" s="191">
        <f t="shared" si="12"/>
        <v>0</v>
      </c>
      <c r="AU12" s="191">
        <f t="shared" si="13"/>
        <v>0</v>
      </c>
      <c r="AV12" s="31"/>
      <c r="AX12" s="213"/>
      <c r="AY12" s="198" t="s">
        <v>370</v>
      </c>
      <c r="AZ12" s="217" t="s">
        <v>42</v>
      </c>
      <c r="BA12" s="214" t="s">
        <v>42</v>
      </c>
      <c r="BB12" s="214" t="s">
        <v>42</v>
      </c>
      <c r="BC12" s="215" t="s">
        <v>42</v>
      </c>
      <c r="BD12" s="217" t="s">
        <v>42</v>
      </c>
      <c r="BE12" s="214" t="s">
        <v>42</v>
      </c>
      <c r="BF12" s="214" t="s">
        <v>42</v>
      </c>
      <c r="BG12" s="215" t="s">
        <v>42</v>
      </c>
      <c r="BH12" s="217" t="s">
        <v>42</v>
      </c>
      <c r="BI12" s="214" t="s">
        <v>42</v>
      </c>
      <c r="BJ12" s="214" t="s">
        <v>42</v>
      </c>
      <c r="BK12" s="215" t="s">
        <v>42</v>
      </c>
      <c r="BL12" s="217"/>
      <c r="BM12" s="214"/>
      <c r="BN12" s="214">
        <v>0.45833333333333331</v>
      </c>
      <c r="BO12" s="215">
        <v>0.95833333333333337</v>
      </c>
      <c r="BP12" s="236"/>
      <c r="BQ12" s="218"/>
      <c r="BR12" s="214">
        <v>0.70833333333333337</v>
      </c>
      <c r="BS12" s="215">
        <v>0.97916666666666663</v>
      </c>
      <c r="BT12" s="217">
        <v>0.45833333333333331</v>
      </c>
      <c r="BU12" s="214">
        <v>0.58333333333333337</v>
      </c>
      <c r="BV12" s="214">
        <v>0.70833333333333337</v>
      </c>
      <c r="BW12" s="215">
        <v>0.97916666666666663</v>
      </c>
      <c r="BX12" s="217"/>
      <c r="BY12" s="214"/>
      <c r="BZ12" s="214">
        <v>0.45833333333333331</v>
      </c>
      <c r="CA12" s="215">
        <v>0.97916666666666663</v>
      </c>
      <c r="CB12" s="238">
        <f t="shared" si="29"/>
        <v>1.6874999999999998</v>
      </c>
      <c r="CC12" s="240" t="s">
        <v>385</v>
      </c>
      <c r="CD12" s="344"/>
      <c r="CE12" s="191">
        <f>IF(ISERROR(VALUE((MOD(BA12-#REF!,1))))=TRUE,0,MOD(BA12-#REF!,1))</f>
        <v>0</v>
      </c>
      <c r="CF12" s="191">
        <f t="shared" si="15"/>
        <v>0</v>
      </c>
      <c r="CG12" s="191">
        <f t="shared" si="16"/>
        <v>0</v>
      </c>
      <c r="CH12" s="191">
        <f t="shared" si="17"/>
        <v>0</v>
      </c>
      <c r="CI12" s="191">
        <f t="shared" si="18"/>
        <v>0</v>
      </c>
      <c r="CJ12" s="191">
        <f t="shared" si="19"/>
        <v>0</v>
      </c>
      <c r="CK12" s="191">
        <f t="shared" si="20"/>
        <v>0</v>
      </c>
      <c r="CL12" s="191">
        <f t="shared" si="21"/>
        <v>0.5</v>
      </c>
      <c r="CM12" s="191">
        <f t="shared" si="22"/>
        <v>0</v>
      </c>
      <c r="CN12" s="191">
        <f t="shared" si="23"/>
        <v>0.27083333333333326</v>
      </c>
      <c r="CO12" s="191">
        <f t="shared" si="24"/>
        <v>0.12500000000000006</v>
      </c>
      <c r="CP12" s="191">
        <f t="shared" si="25"/>
        <v>0.27083333333333326</v>
      </c>
      <c r="CQ12" s="191">
        <f t="shared" ref="CQ12:CQ14" si="30">IF(ISERROR(VALUE((MOD(BY12-BX12,1))))=TRUE,0,MOD(BY12-BX12,1))</f>
        <v>0</v>
      </c>
      <c r="CR12" s="191">
        <f t="shared" ref="CR12:CR14" si="31">IF(ISERROR(VALUE((MOD(CA12-BZ12,1))))=TRUE,0,MOD(CA12-BZ12,1))</f>
        <v>0.52083333333333326</v>
      </c>
      <c r="CS12" s="31"/>
    </row>
    <row r="13" spans="1:97">
      <c r="A13" s="213"/>
      <c r="B13" s="199" t="s">
        <v>381</v>
      </c>
      <c r="C13" s="217" t="s">
        <v>42</v>
      </c>
      <c r="D13" s="214" t="s">
        <v>42</v>
      </c>
      <c r="E13" s="214" t="s">
        <v>42</v>
      </c>
      <c r="F13" s="215" t="s">
        <v>42</v>
      </c>
      <c r="G13" s="217"/>
      <c r="H13" s="214"/>
      <c r="I13" s="214">
        <v>0.45833333333333331</v>
      </c>
      <c r="J13" s="215">
        <v>0.9375</v>
      </c>
      <c r="K13" s="217"/>
      <c r="L13" s="214"/>
      <c r="M13" s="214">
        <v>0.58333333333333337</v>
      </c>
      <c r="N13" s="215">
        <v>4.1666666666666664E-2</v>
      </c>
      <c r="O13" s="217" t="s">
        <v>42</v>
      </c>
      <c r="P13" s="214" t="s">
        <v>42</v>
      </c>
      <c r="Q13" s="214" t="s">
        <v>42</v>
      </c>
      <c r="R13" s="215" t="s">
        <v>42</v>
      </c>
      <c r="S13" s="217" t="s">
        <v>42</v>
      </c>
      <c r="T13" s="214" t="s">
        <v>42</v>
      </c>
      <c r="U13" s="214" t="s">
        <v>42</v>
      </c>
      <c r="V13" s="215" t="s">
        <v>42</v>
      </c>
      <c r="W13" s="217" t="s">
        <v>42</v>
      </c>
      <c r="X13" s="214" t="s">
        <v>42</v>
      </c>
      <c r="Y13" s="214" t="s">
        <v>42</v>
      </c>
      <c r="Z13" s="215" t="s">
        <v>42</v>
      </c>
      <c r="AA13" s="217"/>
      <c r="AB13" s="214"/>
      <c r="AC13" s="218">
        <v>0.375</v>
      </c>
      <c r="AD13" s="219">
        <v>0.875</v>
      </c>
      <c r="AE13" s="238">
        <f t="shared" si="28"/>
        <v>1.4375</v>
      </c>
      <c r="AF13" s="238"/>
      <c r="AG13" s="344"/>
      <c r="AH13" s="191">
        <f>IF(ISERROR(VALUE((MOD(D13-C12,1))))=TRUE,0,MOD(D13-C12,1))</f>
        <v>0</v>
      </c>
      <c r="AI13" s="191">
        <f t="shared" si="1"/>
        <v>0</v>
      </c>
      <c r="AJ13" s="191">
        <f t="shared" si="2"/>
        <v>0</v>
      </c>
      <c r="AK13" s="191">
        <f t="shared" si="3"/>
        <v>0.47916666666666669</v>
      </c>
      <c r="AL13" s="191">
        <f t="shared" si="4"/>
        <v>0</v>
      </c>
      <c r="AM13" s="191">
        <f t="shared" si="5"/>
        <v>0.45833333333333326</v>
      </c>
      <c r="AN13" s="191">
        <f t="shared" si="6"/>
        <v>0</v>
      </c>
      <c r="AO13" s="191">
        <f t="shared" si="7"/>
        <v>0</v>
      </c>
      <c r="AP13" s="191">
        <f t="shared" si="8"/>
        <v>0</v>
      </c>
      <c r="AQ13" s="191">
        <f t="shared" si="9"/>
        <v>0</v>
      </c>
      <c r="AR13" s="191">
        <f t="shared" si="10"/>
        <v>0</v>
      </c>
      <c r="AS13" s="191">
        <f t="shared" si="11"/>
        <v>0</v>
      </c>
      <c r="AT13" s="191">
        <f t="shared" si="12"/>
        <v>0</v>
      </c>
      <c r="AU13" s="191">
        <f t="shared" si="13"/>
        <v>0.5</v>
      </c>
      <c r="AV13" s="31"/>
      <c r="AX13" s="213"/>
      <c r="AY13" s="199" t="s">
        <v>381</v>
      </c>
      <c r="AZ13" s="217"/>
      <c r="BA13" s="214"/>
      <c r="BB13" s="214">
        <v>0.41666666666666669</v>
      </c>
      <c r="BC13" s="215">
        <v>0.9375</v>
      </c>
      <c r="BD13" s="217" t="s">
        <v>42</v>
      </c>
      <c r="BE13" s="214" t="s">
        <v>42</v>
      </c>
      <c r="BF13" s="214" t="s">
        <v>42</v>
      </c>
      <c r="BG13" s="215" t="s">
        <v>42</v>
      </c>
      <c r="BH13" s="217" t="s">
        <v>42</v>
      </c>
      <c r="BI13" s="214" t="s">
        <v>42</v>
      </c>
      <c r="BJ13" s="214" t="s">
        <v>42</v>
      </c>
      <c r="BK13" s="215" t="s">
        <v>42</v>
      </c>
      <c r="BL13" s="217" t="s">
        <v>42</v>
      </c>
      <c r="BM13" s="214" t="s">
        <v>42</v>
      </c>
      <c r="BN13" s="214" t="s">
        <v>42</v>
      </c>
      <c r="BO13" s="215" t="s">
        <v>42</v>
      </c>
      <c r="BP13" s="217"/>
      <c r="BQ13" s="214"/>
      <c r="BR13" s="216">
        <v>0.45833333333333331</v>
      </c>
      <c r="BS13" s="235">
        <v>0.97916666666666663</v>
      </c>
      <c r="BT13" s="217"/>
      <c r="BU13" s="214"/>
      <c r="BV13" s="214">
        <v>0.58333333333333337</v>
      </c>
      <c r="BW13" s="215">
        <v>2.0833333333333332E-2</v>
      </c>
      <c r="BX13" s="217" t="s">
        <v>42</v>
      </c>
      <c r="BY13" s="214" t="s">
        <v>42</v>
      </c>
      <c r="BZ13" s="214" t="s">
        <v>42</v>
      </c>
      <c r="CA13" s="215" t="s">
        <v>42</v>
      </c>
      <c r="CB13" s="238">
        <f t="shared" si="29"/>
        <v>1.4791666666666665</v>
      </c>
      <c r="CC13" s="238"/>
      <c r="CD13" s="344"/>
      <c r="CE13" s="191">
        <f>IF(ISERROR(VALUE((MOD(BA13-AZ12,1))))=TRUE,0,MOD(BA13-AZ12,1))</f>
        <v>0</v>
      </c>
      <c r="CF13" s="191">
        <f t="shared" si="15"/>
        <v>0.52083333333333326</v>
      </c>
      <c r="CG13" s="191">
        <f t="shared" si="16"/>
        <v>0</v>
      </c>
      <c r="CH13" s="191">
        <f t="shared" si="17"/>
        <v>0</v>
      </c>
      <c r="CI13" s="191">
        <f t="shared" si="18"/>
        <v>0</v>
      </c>
      <c r="CJ13" s="191">
        <f t="shared" si="19"/>
        <v>0</v>
      </c>
      <c r="CK13" s="191">
        <f t="shared" si="20"/>
        <v>0</v>
      </c>
      <c r="CL13" s="191">
        <f t="shared" si="21"/>
        <v>0</v>
      </c>
      <c r="CM13" s="191">
        <f t="shared" si="22"/>
        <v>0</v>
      </c>
      <c r="CN13" s="191">
        <f t="shared" si="23"/>
        <v>0.52083333333333326</v>
      </c>
      <c r="CO13" s="191">
        <f t="shared" si="24"/>
        <v>0</v>
      </c>
      <c r="CP13" s="191">
        <f t="shared" si="25"/>
        <v>0.4375</v>
      </c>
      <c r="CQ13" s="191">
        <f t="shared" si="30"/>
        <v>0</v>
      </c>
      <c r="CR13" s="191">
        <f t="shared" si="31"/>
        <v>0</v>
      </c>
      <c r="CS13" s="31"/>
    </row>
    <row r="14" spans="1:97">
      <c r="A14" s="213"/>
      <c r="B14" s="248" t="s">
        <v>388</v>
      </c>
      <c r="C14" s="217">
        <v>0.45833333333333331</v>
      </c>
      <c r="D14" s="214">
        <v>0.58333333333333337</v>
      </c>
      <c r="E14" s="214">
        <v>0.70833333333333337</v>
      </c>
      <c r="F14" s="215">
        <v>0.97916666666666663</v>
      </c>
      <c r="G14" s="217" t="s">
        <v>42</v>
      </c>
      <c r="H14" s="214" t="s">
        <v>42</v>
      </c>
      <c r="I14" s="214" t="s">
        <v>42</v>
      </c>
      <c r="J14" s="215" t="s">
        <v>42</v>
      </c>
      <c r="K14" s="217"/>
      <c r="L14" s="214"/>
      <c r="M14" s="214">
        <v>0.70833333333333337</v>
      </c>
      <c r="N14" s="215">
        <v>0.125</v>
      </c>
      <c r="O14" s="217" t="s">
        <v>42</v>
      </c>
      <c r="P14" s="214" t="s">
        <v>42</v>
      </c>
      <c r="Q14" s="214" t="s">
        <v>42</v>
      </c>
      <c r="R14" s="215" t="s">
        <v>42</v>
      </c>
      <c r="S14" s="217">
        <v>0.47916666666666669</v>
      </c>
      <c r="T14" s="214">
        <v>0.58333333333333337</v>
      </c>
      <c r="U14" s="214">
        <v>0.70833333333333337</v>
      </c>
      <c r="V14" s="215">
        <v>2.0833333333333332E-2</v>
      </c>
      <c r="W14" s="217">
        <v>0.41666666666666669</v>
      </c>
      <c r="X14" s="214">
        <v>0.58333333333333337</v>
      </c>
      <c r="Y14" s="214">
        <v>0.70833333333333337</v>
      </c>
      <c r="Z14" s="215">
        <v>2.0833333333333332E-2</v>
      </c>
      <c r="AA14" s="217" t="s">
        <v>42</v>
      </c>
      <c r="AB14" s="214" t="s">
        <v>42</v>
      </c>
      <c r="AC14" s="214" t="s">
        <v>42</v>
      </c>
      <c r="AD14" s="215" t="s">
        <v>42</v>
      </c>
      <c r="AE14" s="249">
        <f t="shared" si="28"/>
        <v>1.7083333333333335</v>
      </c>
      <c r="AF14" s="238">
        <v>0</v>
      </c>
      <c r="AG14" s="41"/>
      <c r="AH14" s="191">
        <f t="shared" si="0"/>
        <v>0.12500000000000006</v>
      </c>
      <c r="AI14" s="191">
        <f t="shared" si="1"/>
        <v>0.27083333333333326</v>
      </c>
      <c r="AJ14" s="191">
        <f t="shared" si="2"/>
        <v>0</v>
      </c>
      <c r="AK14" s="191">
        <f t="shared" si="3"/>
        <v>0</v>
      </c>
      <c r="AL14" s="191">
        <f t="shared" si="4"/>
        <v>0</v>
      </c>
      <c r="AM14" s="191">
        <f t="shared" si="5"/>
        <v>0.41666666666666663</v>
      </c>
      <c r="AN14" s="191">
        <f t="shared" si="6"/>
        <v>0</v>
      </c>
      <c r="AO14" s="191">
        <f t="shared" si="7"/>
        <v>0</v>
      </c>
      <c r="AP14" s="191">
        <f t="shared" si="8"/>
        <v>0.10416666666666669</v>
      </c>
      <c r="AQ14" s="191">
        <f t="shared" si="9"/>
        <v>0.3125</v>
      </c>
      <c r="AR14" s="191">
        <f t="shared" si="10"/>
        <v>0.16666666666666669</v>
      </c>
      <c r="AS14" s="191">
        <f t="shared" si="11"/>
        <v>0.3125</v>
      </c>
      <c r="AT14" s="191">
        <f t="shared" si="12"/>
        <v>0</v>
      </c>
      <c r="AU14" s="191">
        <f t="shared" si="13"/>
        <v>0</v>
      </c>
      <c r="AV14" s="31"/>
      <c r="AX14" s="213"/>
      <c r="AY14" s="248" t="s">
        <v>388</v>
      </c>
      <c r="AZ14" s="217" t="s">
        <v>42</v>
      </c>
      <c r="BA14" s="214" t="s">
        <v>42</v>
      </c>
      <c r="BB14" s="214" t="s">
        <v>42</v>
      </c>
      <c r="BC14" s="215" t="s">
        <v>42</v>
      </c>
      <c r="BD14" s="217" t="s">
        <v>42</v>
      </c>
      <c r="BE14" s="214" t="s">
        <v>42</v>
      </c>
      <c r="BF14" s="214" t="s">
        <v>42</v>
      </c>
      <c r="BG14" s="215" t="s">
        <v>42</v>
      </c>
      <c r="BH14" s="217">
        <v>0.41666666666666669</v>
      </c>
      <c r="BI14" s="214">
        <v>0.58333333333333337</v>
      </c>
      <c r="BJ14" s="214">
        <v>0.70833333333333337</v>
      </c>
      <c r="BK14" s="215">
        <v>0.97916666666666663</v>
      </c>
      <c r="BL14" s="217">
        <v>0.47916666666666669</v>
      </c>
      <c r="BM14" s="214">
        <v>0.625</v>
      </c>
      <c r="BN14" s="214">
        <v>0.72916666666666663</v>
      </c>
      <c r="BO14" s="215">
        <v>0.97916666666666663</v>
      </c>
      <c r="BP14" s="217" t="s">
        <v>42</v>
      </c>
      <c r="BQ14" s="214" t="s">
        <v>42</v>
      </c>
      <c r="BR14" s="214" t="s">
        <v>42</v>
      </c>
      <c r="BS14" s="215" t="s">
        <v>42</v>
      </c>
      <c r="BT14" s="217"/>
      <c r="BU14" s="214"/>
      <c r="BV14" s="269">
        <v>0.58333333333333337</v>
      </c>
      <c r="BW14" s="265">
        <v>0.97916666666666663</v>
      </c>
      <c r="BX14" s="217"/>
      <c r="BY14" s="214"/>
      <c r="BZ14" s="218">
        <v>0.375</v>
      </c>
      <c r="CA14" s="219">
        <v>0.875</v>
      </c>
      <c r="CB14" s="249">
        <f t="shared" si="29"/>
        <v>1.7291666666666665</v>
      </c>
      <c r="CC14" s="238">
        <v>0</v>
      </c>
      <c r="CD14" s="41"/>
      <c r="CE14" s="191">
        <f t="shared" ref="CE14:CE27" si="32">IF(ISERROR(VALUE((MOD(BA14-AZ14,1))))=TRUE,0,MOD(BA14-AZ14,1))</f>
        <v>0</v>
      </c>
      <c r="CF14" s="191">
        <f t="shared" si="15"/>
        <v>0</v>
      </c>
      <c r="CG14" s="191">
        <f t="shared" si="16"/>
        <v>0</v>
      </c>
      <c r="CH14" s="191">
        <f t="shared" si="17"/>
        <v>0</v>
      </c>
      <c r="CI14" s="191">
        <f t="shared" si="18"/>
        <v>0.16666666666666669</v>
      </c>
      <c r="CJ14" s="191">
        <f t="shared" si="19"/>
        <v>0.27083333333333326</v>
      </c>
      <c r="CK14" s="191">
        <f t="shared" si="20"/>
        <v>0.14583333333333331</v>
      </c>
      <c r="CL14" s="191">
        <f t="shared" si="21"/>
        <v>0.25</v>
      </c>
      <c r="CM14" s="191">
        <f t="shared" si="22"/>
        <v>0</v>
      </c>
      <c r="CN14" s="191">
        <f t="shared" si="23"/>
        <v>0</v>
      </c>
      <c r="CO14" s="191">
        <f t="shared" si="24"/>
        <v>0</v>
      </c>
      <c r="CP14" s="191">
        <f t="shared" si="25"/>
        <v>0.39583333333333326</v>
      </c>
      <c r="CQ14" s="191">
        <f t="shared" si="30"/>
        <v>0</v>
      </c>
      <c r="CR14" s="191">
        <f t="shared" si="31"/>
        <v>0.5</v>
      </c>
      <c r="CS14" s="31"/>
    </row>
    <row r="15" spans="1:97" ht="15" customHeight="1">
      <c r="A15" s="321"/>
      <c r="B15" s="248" t="s">
        <v>380</v>
      </c>
      <c r="C15" s="217" t="s">
        <v>42</v>
      </c>
      <c r="D15" s="214" t="s">
        <v>42</v>
      </c>
      <c r="E15" s="214" t="s">
        <v>42</v>
      </c>
      <c r="F15" s="215" t="s">
        <v>42</v>
      </c>
      <c r="G15" s="268">
        <v>0.45833333333333331</v>
      </c>
      <c r="H15" s="264">
        <v>0.58333333333333337</v>
      </c>
      <c r="I15" s="216">
        <v>0.70833333333333337</v>
      </c>
      <c r="J15" s="235">
        <v>0.9375</v>
      </c>
      <c r="K15" s="264"/>
      <c r="L15" s="264"/>
      <c r="M15" s="216">
        <v>0.625</v>
      </c>
      <c r="N15" s="235">
        <v>0.125</v>
      </c>
      <c r="O15" s="217" t="s">
        <v>42</v>
      </c>
      <c r="P15" s="214" t="s">
        <v>42</v>
      </c>
      <c r="Q15" s="214" t="s">
        <v>42</v>
      </c>
      <c r="R15" s="215" t="s">
        <v>42</v>
      </c>
      <c r="S15" s="217"/>
      <c r="T15" s="214"/>
      <c r="U15" s="266">
        <v>0.66666666666666663</v>
      </c>
      <c r="V15" s="267">
        <v>0.97916666666666663</v>
      </c>
      <c r="W15" s="217">
        <v>0.45833333333333331</v>
      </c>
      <c r="X15" s="214">
        <v>0.83333333333333337</v>
      </c>
      <c r="Y15" s="214"/>
      <c r="Z15" s="215"/>
      <c r="AA15" s="217" t="s">
        <v>42</v>
      </c>
      <c r="AB15" s="214" t="s">
        <v>42</v>
      </c>
      <c r="AC15" s="214" t="s">
        <v>42</v>
      </c>
      <c r="AD15" s="215" t="s">
        <v>42</v>
      </c>
      <c r="AE15" s="249">
        <f t="shared" si="28"/>
        <v>1.5416666666666667</v>
      </c>
      <c r="AF15" s="238">
        <v>0.64097222222222228</v>
      </c>
      <c r="AG15" s="41"/>
      <c r="AH15" s="191">
        <f t="shared" si="0"/>
        <v>0</v>
      </c>
      <c r="AI15" s="191">
        <f t="shared" si="1"/>
        <v>0</v>
      </c>
      <c r="AJ15" s="191">
        <f>IF(ISERROR(VALUE((MOD(H15-G15,1))))=TRUE,0,MOD(H15-G15,1))</f>
        <v>0.12500000000000006</v>
      </c>
      <c r="AK15" s="191">
        <f>IF(ISERROR(VALUE((MOD(J15-I15,1))))=TRUE,0,MOD(J15-I15,1))</f>
        <v>0.22916666666666663</v>
      </c>
      <c r="AL15" s="191">
        <f t="shared" si="4"/>
        <v>0</v>
      </c>
      <c r="AM15" s="191">
        <f t="shared" si="5"/>
        <v>0.5</v>
      </c>
      <c r="AN15" s="191">
        <f t="shared" si="6"/>
        <v>0</v>
      </c>
      <c r="AO15" s="191">
        <f t="shared" si="7"/>
        <v>0</v>
      </c>
      <c r="AP15" s="191">
        <f t="shared" si="8"/>
        <v>0</v>
      </c>
      <c r="AQ15" s="191">
        <f t="shared" si="9"/>
        <v>0.3125</v>
      </c>
      <c r="AR15" s="191">
        <f t="shared" si="10"/>
        <v>0.37500000000000006</v>
      </c>
      <c r="AS15" s="191">
        <f t="shared" si="11"/>
        <v>0</v>
      </c>
      <c r="AT15" s="191">
        <f>IF(ISERROR(VALUE((MOD(AB15-AA15,1))))=TRUE,0,MOD(AB15-AA15,1))</f>
        <v>0</v>
      </c>
      <c r="AU15" s="191">
        <f>IF(ISERROR(VALUE((MOD(AD15-AC15,1))))=TRUE,0,MOD(AD15-AC15,1))</f>
        <v>0</v>
      </c>
      <c r="AV15" s="31"/>
      <c r="AX15" s="321"/>
      <c r="AY15" s="248" t="s">
        <v>380</v>
      </c>
      <c r="AZ15" s="217" t="s">
        <v>42</v>
      </c>
      <c r="BA15" s="214" t="s">
        <v>42</v>
      </c>
      <c r="BB15" s="214" t="s">
        <v>42</v>
      </c>
      <c r="BC15" s="215" t="s">
        <v>42</v>
      </c>
      <c r="BD15" s="217">
        <v>0.45833333333333331</v>
      </c>
      <c r="BE15" s="214">
        <v>0.58333333333333337</v>
      </c>
      <c r="BF15" s="214">
        <v>0.70833333333333337</v>
      </c>
      <c r="BG15" s="215">
        <v>0.9375</v>
      </c>
      <c r="BH15" s="217">
        <v>0.45833333333333331</v>
      </c>
      <c r="BI15" s="214">
        <v>0.58333333333333337</v>
      </c>
      <c r="BJ15" s="214">
        <v>0.70833333333333337</v>
      </c>
      <c r="BK15" s="215">
        <v>0.9375</v>
      </c>
      <c r="BL15" s="217" t="s">
        <v>42</v>
      </c>
      <c r="BM15" s="214" t="s">
        <v>42</v>
      </c>
      <c r="BN15" s="214" t="s">
        <v>42</v>
      </c>
      <c r="BO15" s="215" t="s">
        <v>42</v>
      </c>
      <c r="BP15" s="217"/>
      <c r="BQ15" s="246"/>
      <c r="BR15" s="247">
        <v>0.58333333333333337</v>
      </c>
      <c r="BS15" s="216">
        <v>0.97916666666666663</v>
      </c>
      <c r="BT15" s="217"/>
      <c r="BU15" s="246"/>
      <c r="BV15" s="272">
        <v>0.58333333333333337</v>
      </c>
      <c r="BW15" s="273">
        <v>0.97916666666666663</v>
      </c>
      <c r="BX15" s="217" t="s">
        <v>42</v>
      </c>
      <c r="BY15" s="214" t="s">
        <v>42</v>
      </c>
      <c r="BZ15" s="214" t="s">
        <v>42</v>
      </c>
      <c r="CA15" s="215" t="s">
        <v>42</v>
      </c>
      <c r="CB15" s="249">
        <f t="shared" si="29"/>
        <v>1.4999999999999998</v>
      </c>
      <c r="CC15" s="238">
        <v>0.64097222222222228</v>
      </c>
      <c r="CD15" s="41"/>
      <c r="CE15" s="191">
        <f t="shared" si="32"/>
        <v>0</v>
      </c>
      <c r="CF15" s="191">
        <f t="shared" si="15"/>
        <v>0</v>
      </c>
      <c r="CG15" s="191">
        <f>IF(ISERROR(VALUE((MOD(BE15-BD15,1))))=TRUE,0,MOD(BE15-BD15,1))</f>
        <v>0.12500000000000006</v>
      </c>
      <c r="CH15" s="191">
        <f>IF(ISERROR(VALUE((MOD(BG15-BF15,1))))=TRUE,0,MOD(BG15-BF15,1))</f>
        <v>0.22916666666666663</v>
      </c>
      <c r="CI15" s="191">
        <f t="shared" si="18"/>
        <v>0.12500000000000006</v>
      </c>
      <c r="CJ15" s="191">
        <f t="shared" si="19"/>
        <v>0.22916666666666663</v>
      </c>
      <c r="CK15" s="191">
        <f t="shared" si="20"/>
        <v>0</v>
      </c>
      <c r="CL15" s="191">
        <f t="shared" si="21"/>
        <v>0</v>
      </c>
      <c r="CM15" s="191">
        <f t="shared" si="22"/>
        <v>0</v>
      </c>
      <c r="CN15" s="191">
        <f t="shared" si="23"/>
        <v>0.39583333333333326</v>
      </c>
      <c r="CO15" s="191">
        <f t="shared" si="24"/>
        <v>0</v>
      </c>
      <c r="CP15" s="191">
        <f t="shared" si="25"/>
        <v>0.39583333333333326</v>
      </c>
      <c r="CQ15" s="191">
        <f>IF(ISERROR(VALUE((MOD(BY15-BX15,1))))=TRUE,0,MOD(BY15-BX15,1))</f>
        <v>0</v>
      </c>
      <c r="CR15" s="191">
        <f>IF(ISERROR(VALUE((MOD(CA15-BZ15,1))))=TRUE,0,MOD(CA15-BZ15,1))</f>
        <v>0</v>
      </c>
      <c r="CS15" s="31"/>
    </row>
    <row r="16" spans="1:97">
      <c r="A16" s="321"/>
      <c r="B16" s="250" t="s">
        <v>382</v>
      </c>
      <c r="C16" s="217">
        <v>0.45833333333333331</v>
      </c>
      <c r="D16" s="214">
        <v>0.58333333333333337</v>
      </c>
      <c r="E16" s="214">
        <v>0.70833333333333337</v>
      </c>
      <c r="F16" s="215">
        <v>0.9375</v>
      </c>
      <c r="G16" s="217" t="s">
        <v>42</v>
      </c>
      <c r="H16" s="214" t="s">
        <v>42</v>
      </c>
      <c r="I16" s="214" t="s">
        <v>42</v>
      </c>
      <c r="J16" s="215" t="s">
        <v>42</v>
      </c>
      <c r="K16" s="217">
        <v>0.45833333333333331</v>
      </c>
      <c r="L16" s="214">
        <v>0.58333333333333337</v>
      </c>
      <c r="M16" s="214">
        <v>0.70833333333333337</v>
      </c>
      <c r="N16" s="215">
        <v>0.125</v>
      </c>
      <c r="O16" s="217" t="s">
        <v>42</v>
      </c>
      <c r="P16" s="214" t="s">
        <v>42</v>
      </c>
      <c r="Q16" s="214" t="s">
        <v>42</v>
      </c>
      <c r="R16" s="215" t="s">
        <v>42</v>
      </c>
      <c r="S16" s="217">
        <v>0.45833333333333331</v>
      </c>
      <c r="T16" s="214">
        <v>0.83333333333333337</v>
      </c>
      <c r="U16" s="214"/>
      <c r="V16" s="215"/>
      <c r="W16" s="217"/>
      <c r="X16" s="214"/>
      <c r="Y16" s="214">
        <v>0.625</v>
      </c>
      <c r="Z16" s="215">
        <v>0.97916666666666663</v>
      </c>
      <c r="AA16" s="217" t="s">
        <v>42</v>
      </c>
      <c r="AB16" s="214" t="s">
        <v>42</v>
      </c>
      <c r="AC16" s="214" t="s">
        <v>42</v>
      </c>
      <c r="AD16" s="215" t="s">
        <v>42</v>
      </c>
      <c r="AE16" s="249">
        <f t="shared" si="28"/>
        <v>1.625</v>
      </c>
      <c r="AF16" s="239" t="s">
        <v>386</v>
      </c>
      <c r="AG16" s="41"/>
      <c r="AH16" s="191">
        <f t="shared" si="0"/>
        <v>0.12500000000000006</v>
      </c>
      <c r="AI16" s="191">
        <f t="shared" si="1"/>
        <v>0.22916666666666663</v>
      </c>
      <c r="AJ16" s="191">
        <f t="shared" si="2"/>
        <v>0</v>
      </c>
      <c r="AK16" s="191">
        <f t="shared" si="3"/>
        <v>0</v>
      </c>
      <c r="AL16" s="191">
        <f t="shared" si="4"/>
        <v>0.12500000000000006</v>
      </c>
      <c r="AM16" s="191">
        <f t="shared" si="5"/>
        <v>0.41666666666666663</v>
      </c>
      <c r="AN16" s="191">
        <f t="shared" si="6"/>
        <v>0</v>
      </c>
      <c r="AO16" s="191">
        <f t="shared" si="7"/>
        <v>0</v>
      </c>
      <c r="AP16" s="191">
        <f t="shared" si="8"/>
        <v>0.37500000000000006</v>
      </c>
      <c r="AQ16" s="191">
        <f t="shared" si="9"/>
        <v>0</v>
      </c>
      <c r="AR16" s="191">
        <f t="shared" si="10"/>
        <v>0</v>
      </c>
      <c r="AS16" s="191">
        <f t="shared" si="11"/>
        <v>0.35416666666666663</v>
      </c>
      <c r="AT16" s="191">
        <f t="shared" si="12"/>
        <v>0</v>
      </c>
      <c r="AU16" s="191">
        <f t="shared" si="13"/>
        <v>0</v>
      </c>
      <c r="AV16" s="31"/>
      <c r="AX16" s="321"/>
      <c r="AY16" s="250" t="s">
        <v>382</v>
      </c>
      <c r="AZ16" s="216">
        <v>0.45833333333333331</v>
      </c>
      <c r="BA16" s="216">
        <v>0.58333333333333337</v>
      </c>
      <c r="BB16" s="264">
        <v>0.70833333333333337</v>
      </c>
      <c r="BC16" s="265">
        <v>0.9375</v>
      </c>
      <c r="BD16" s="217" t="s">
        <v>42</v>
      </c>
      <c r="BE16" s="214" t="s">
        <v>42</v>
      </c>
      <c r="BF16" s="214" t="s">
        <v>42</v>
      </c>
      <c r="BG16" s="215" t="s">
        <v>42</v>
      </c>
      <c r="BH16" s="217" t="s">
        <v>42</v>
      </c>
      <c r="BI16" s="214" t="s">
        <v>42</v>
      </c>
      <c r="BJ16" s="214" t="s">
        <v>42</v>
      </c>
      <c r="BK16" s="215" t="s">
        <v>42</v>
      </c>
      <c r="BL16" s="216"/>
      <c r="BM16" s="216"/>
      <c r="BN16" s="214">
        <v>0.45833333333333331</v>
      </c>
      <c r="BO16" s="215">
        <v>0.97916666666666663</v>
      </c>
      <c r="BP16" s="216"/>
      <c r="BQ16" s="216"/>
      <c r="BR16" s="270">
        <v>0.70833333333333337</v>
      </c>
      <c r="BS16" s="271">
        <v>0.97916666666666663</v>
      </c>
      <c r="BT16" s="216">
        <v>0.45833333333333331</v>
      </c>
      <c r="BU16" s="216">
        <v>0.58333333333333337</v>
      </c>
      <c r="BV16" s="269">
        <v>0.70833333333333337</v>
      </c>
      <c r="BW16" s="265">
        <v>0.97916666666666663</v>
      </c>
      <c r="BX16" s="217" t="s">
        <v>42</v>
      </c>
      <c r="BY16" s="214" t="s">
        <v>42</v>
      </c>
      <c r="BZ16" s="214" t="s">
        <v>42</v>
      </c>
      <c r="CA16" s="215" t="s">
        <v>42</v>
      </c>
      <c r="CB16" s="249">
        <f t="shared" si="29"/>
        <v>1.5416666666666665</v>
      </c>
      <c r="CC16" s="239" t="s">
        <v>386</v>
      </c>
      <c r="CD16" s="41"/>
      <c r="CE16" s="191">
        <f t="shared" si="32"/>
        <v>0.12500000000000006</v>
      </c>
      <c r="CF16" s="191">
        <f t="shared" si="15"/>
        <v>0.22916666666666663</v>
      </c>
      <c r="CG16" s="191">
        <f t="shared" ref="CG16:CG27" si="33">IF(ISERROR(VALUE((MOD(BE16-BD16,1))))=TRUE,0,MOD(BE16-BD16,1))</f>
        <v>0</v>
      </c>
      <c r="CH16" s="191">
        <f t="shared" ref="CH16:CH27" si="34">IF(ISERROR(VALUE((MOD(BG16-BF16,1))))=TRUE,0,MOD(BG16-BF16,1))</f>
        <v>0</v>
      </c>
      <c r="CI16" s="191">
        <f t="shared" si="18"/>
        <v>0</v>
      </c>
      <c r="CJ16" s="191">
        <f t="shared" si="19"/>
        <v>0</v>
      </c>
      <c r="CK16" s="191">
        <f t="shared" si="20"/>
        <v>0</v>
      </c>
      <c r="CL16" s="191">
        <f t="shared" si="21"/>
        <v>0.52083333333333326</v>
      </c>
      <c r="CM16" s="191">
        <f t="shared" si="22"/>
        <v>0</v>
      </c>
      <c r="CN16" s="191">
        <f t="shared" si="23"/>
        <v>0.27083333333333326</v>
      </c>
      <c r="CO16" s="191">
        <f t="shared" si="24"/>
        <v>0.12500000000000006</v>
      </c>
      <c r="CP16" s="191">
        <f t="shared" si="25"/>
        <v>0.27083333333333326</v>
      </c>
      <c r="CQ16" s="191">
        <f t="shared" ref="CQ16:CQ27" si="35">IF(ISERROR(VALUE((MOD(BY16-BX16,1))))=TRUE,0,MOD(BY16-BX16,1))</f>
        <v>0</v>
      </c>
      <c r="CR16" s="191">
        <f t="shared" ref="CR16:CR27" si="36">IF(ISERROR(VALUE((MOD(CA16-BZ16,1))))=TRUE,0,MOD(CA16-BZ16,1))</f>
        <v>0</v>
      </c>
      <c r="CS16" s="31"/>
    </row>
    <row r="17" spans="1:220" ht="16" thickBot="1">
      <c r="A17" s="321"/>
      <c r="B17" s="251" t="s">
        <v>376</v>
      </c>
      <c r="C17" s="217" t="s">
        <v>42</v>
      </c>
      <c r="D17" s="214" t="s">
        <v>42</v>
      </c>
      <c r="E17" s="214" t="s">
        <v>42</v>
      </c>
      <c r="F17" s="215" t="s">
        <v>42</v>
      </c>
      <c r="G17" s="217" t="s">
        <v>42</v>
      </c>
      <c r="H17" s="214" t="s">
        <v>42</v>
      </c>
      <c r="I17" s="214" t="s">
        <v>42</v>
      </c>
      <c r="J17" s="215" t="s">
        <v>42</v>
      </c>
      <c r="K17" s="217" t="s">
        <v>42</v>
      </c>
      <c r="L17" s="214" t="s">
        <v>42</v>
      </c>
      <c r="M17" s="214" t="s">
        <v>42</v>
      </c>
      <c r="N17" s="215" t="s">
        <v>42</v>
      </c>
      <c r="O17" s="217" t="s">
        <v>42</v>
      </c>
      <c r="P17" s="214" t="s">
        <v>42</v>
      </c>
      <c r="Q17" s="214" t="s">
        <v>42</v>
      </c>
      <c r="R17" s="215" t="s">
        <v>42</v>
      </c>
      <c r="S17" s="217" t="s">
        <v>42</v>
      </c>
      <c r="T17" s="214" t="s">
        <v>42</v>
      </c>
      <c r="U17" s="214" t="s">
        <v>42</v>
      </c>
      <c r="V17" s="215" t="s">
        <v>42</v>
      </c>
      <c r="W17" s="217" t="s">
        <v>42</v>
      </c>
      <c r="X17" s="214" t="s">
        <v>42</v>
      </c>
      <c r="Y17" s="214" t="s">
        <v>42</v>
      </c>
      <c r="Z17" s="215" t="s">
        <v>42</v>
      </c>
      <c r="AA17" s="216"/>
      <c r="AB17" s="216"/>
      <c r="AC17" s="264">
        <v>0.375</v>
      </c>
      <c r="AD17" s="265">
        <v>0.875</v>
      </c>
      <c r="AE17" s="249">
        <f t="shared" si="28"/>
        <v>0.5</v>
      </c>
      <c r="AF17" s="238"/>
      <c r="AG17" s="41"/>
      <c r="AH17" s="191">
        <f t="shared" si="0"/>
        <v>0</v>
      </c>
      <c r="AI17" s="191">
        <f t="shared" si="1"/>
        <v>0</v>
      </c>
      <c r="AJ17" s="191">
        <f t="shared" si="2"/>
        <v>0</v>
      </c>
      <c r="AK17" s="191">
        <f t="shared" si="3"/>
        <v>0</v>
      </c>
      <c r="AL17" s="191">
        <f t="shared" si="4"/>
        <v>0</v>
      </c>
      <c r="AM17" s="191">
        <f t="shared" si="5"/>
        <v>0</v>
      </c>
      <c r="AN17" s="191">
        <f t="shared" si="6"/>
        <v>0</v>
      </c>
      <c r="AO17" s="191">
        <f t="shared" si="7"/>
        <v>0</v>
      </c>
      <c r="AP17" s="191">
        <f t="shared" si="8"/>
        <v>0</v>
      </c>
      <c r="AQ17" s="191">
        <f t="shared" si="9"/>
        <v>0</v>
      </c>
      <c r="AR17" s="191">
        <f t="shared" si="10"/>
        <v>0</v>
      </c>
      <c r="AS17" s="191">
        <f t="shared" si="11"/>
        <v>0</v>
      </c>
      <c r="AT17" s="191">
        <f t="shared" si="12"/>
        <v>0</v>
      </c>
      <c r="AU17" s="191">
        <f t="shared" si="13"/>
        <v>0.5</v>
      </c>
      <c r="AV17" s="31"/>
      <c r="AX17" s="321"/>
      <c r="AY17" s="251" t="s">
        <v>376</v>
      </c>
      <c r="AZ17" s="217" t="s">
        <v>42</v>
      </c>
      <c r="BA17" s="214" t="s">
        <v>42</v>
      </c>
      <c r="BB17" s="214" t="s">
        <v>42</v>
      </c>
      <c r="BC17" s="215" t="s">
        <v>42</v>
      </c>
      <c r="BD17" s="217" t="s">
        <v>42</v>
      </c>
      <c r="BE17" s="214" t="s">
        <v>42</v>
      </c>
      <c r="BF17" s="214" t="s">
        <v>42</v>
      </c>
      <c r="BG17" s="215" t="s">
        <v>42</v>
      </c>
      <c r="BH17" s="217" t="s">
        <v>42</v>
      </c>
      <c r="BI17" s="214" t="s">
        <v>42</v>
      </c>
      <c r="BJ17" s="214" t="s">
        <v>42</v>
      </c>
      <c r="BK17" s="215" t="s">
        <v>42</v>
      </c>
      <c r="BL17" s="217" t="s">
        <v>42</v>
      </c>
      <c r="BM17" s="214" t="s">
        <v>42</v>
      </c>
      <c r="BN17" s="214" t="s">
        <v>42</v>
      </c>
      <c r="BO17" s="215" t="s">
        <v>42</v>
      </c>
      <c r="BP17" s="217" t="s">
        <v>42</v>
      </c>
      <c r="BQ17" s="214" t="s">
        <v>42</v>
      </c>
      <c r="BR17" s="214" t="s">
        <v>42</v>
      </c>
      <c r="BS17" s="215" t="s">
        <v>42</v>
      </c>
      <c r="BT17" s="217" t="s">
        <v>42</v>
      </c>
      <c r="BU17" s="214" t="s">
        <v>42</v>
      </c>
      <c r="BV17" s="214" t="s">
        <v>42</v>
      </c>
      <c r="BW17" s="215" t="s">
        <v>42</v>
      </c>
      <c r="BX17" s="217"/>
      <c r="BY17" s="214"/>
      <c r="BZ17" s="214">
        <v>0.375</v>
      </c>
      <c r="CA17" s="215">
        <v>0.875</v>
      </c>
      <c r="CB17" s="249">
        <f t="shared" si="29"/>
        <v>0.5</v>
      </c>
      <c r="CC17" s="238"/>
      <c r="CD17" s="41"/>
      <c r="CE17" s="191">
        <f t="shared" si="32"/>
        <v>0</v>
      </c>
      <c r="CF17" s="191">
        <f t="shared" si="15"/>
        <v>0</v>
      </c>
      <c r="CG17" s="191">
        <f t="shared" si="33"/>
        <v>0</v>
      </c>
      <c r="CH17" s="191">
        <f t="shared" si="34"/>
        <v>0</v>
      </c>
      <c r="CI17" s="191">
        <f t="shared" si="18"/>
        <v>0</v>
      </c>
      <c r="CJ17" s="191">
        <f t="shared" si="19"/>
        <v>0</v>
      </c>
      <c r="CK17" s="191">
        <f t="shared" si="20"/>
        <v>0</v>
      </c>
      <c r="CL17" s="191">
        <f t="shared" si="21"/>
        <v>0</v>
      </c>
      <c r="CM17" s="191">
        <f t="shared" si="22"/>
        <v>0</v>
      </c>
      <c r="CN17" s="191">
        <f t="shared" si="23"/>
        <v>0</v>
      </c>
      <c r="CO17" s="191">
        <f t="shared" si="24"/>
        <v>0</v>
      </c>
      <c r="CP17" s="191">
        <f t="shared" si="25"/>
        <v>0</v>
      </c>
      <c r="CQ17" s="191">
        <f t="shared" si="35"/>
        <v>0</v>
      </c>
      <c r="CR17" s="191">
        <f t="shared" si="36"/>
        <v>0.5</v>
      </c>
      <c r="CS17" s="31"/>
    </row>
    <row r="18" spans="1:220">
      <c r="A18" s="321"/>
      <c r="B18" s="253"/>
      <c r="C18" s="217"/>
      <c r="D18" s="214"/>
      <c r="E18" s="214"/>
      <c r="F18" s="215"/>
      <c r="G18" s="217"/>
      <c r="H18" s="214"/>
      <c r="I18" s="214"/>
      <c r="J18" s="215"/>
      <c r="K18" s="217"/>
      <c r="L18" s="214"/>
      <c r="M18" s="214"/>
      <c r="N18" s="215"/>
      <c r="O18" s="217"/>
      <c r="P18" s="214"/>
      <c r="Q18" s="214"/>
      <c r="R18" s="215"/>
      <c r="S18" s="217"/>
      <c r="T18" s="214"/>
      <c r="U18" s="214"/>
      <c r="V18" s="215"/>
      <c r="W18" s="217"/>
      <c r="X18" s="214"/>
      <c r="Y18" s="214"/>
      <c r="Z18" s="215"/>
      <c r="AA18" s="217"/>
      <c r="AB18" s="214"/>
      <c r="AC18" s="214"/>
      <c r="AD18" s="215"/>
      <c r="AE18" s="249">
        <f t="shared" si="28"/>
        <v>0</v>
      </c>
      <c r="AF18" s="239">
        <v>0.86111111111111116</v>
      </c>
      <c r="AG18" s="41"/>
      <c r="AH18" s="191">
        <f t="shared" si="0"/>
        <v>0</v>
      </c>
      <c r="AI18" s="191">
        <f t="shared" si="1"/>
        <v>0</v>
      </c>
      <c r="AJ18" s="191">
        <f t="shared" si="2"/>
        <v>0</v>
      </c>
      <c r="AK18" s="191">
        <f t="shared" si="3"/>
        <v>0</v>
      </c>
      <c r="AL18" s="191">
        <f t="shared" si="4"/>
        <v>0</v>
      </c>
      <c r="AM18" s="191">
        <f t="shared" si="5"/>
        <v>0</v>
      </c>
      <c r="AN18" s="191">
        <f t="shared" si="6"/>
        <v>0</v>
      </c>
      <c r="AO18" s="191">
        <f t="shared" si="7"/>
        <v>0</v>
      </c>
      <c r="AP18" s="191">
        <f t="shared" si="8"/>
        <v>0</v>
      </c>
      <c r="AQ18" s="191">
        <f t="shared" si="9"/>
        <v>0</v>
      </c>
      <c r="AR18" s="191">
        <f t="shared" si="10"/>
        <v>0</v>
      </c>
      <c r="AS18" s="191">
        <f t="shared" si="11"/>
        <v>0</v>
      </c>
      <c r="AT18" s="191">
        <f t="shared" si="12"/>
        <v>0</v>
      </c>
      <c r="AU18" s="191">
        <f t="shared" si="13"/>
        <v>0</v>
      </c>
      <c r="AV18" s="31"/>
      <c r="AX18" s="321"/>
      <c r="AY18" s="252" t="s">
        <v>374</v>
      </c>
      <c r="AZ18" s="217" t="s">
        <v>412</v>
      </c>
      <c r="BA18" s="214" t="s">
        <v>412</v>
      </c>
      <c r="BB18" s="214" t="s">
        <v>412</v>
      </c>
      <c r="BC18" s="215" t="s">
        <v>412</v>
      </c>
      <c r="BD18" s="217">
        <v>0.41666666666666669</v>
      </c>
      <c r="BE18" s="214">
        <v>0.58333333333333337</v>
      </c>
      <c r="BF18" s="214">
        <v>0.70833333333333337</v>
      </c>
      <c r="BG18" s="215">
        <v>0.9375</v>
      </c>
      <c r="BH18" s="217" t="s">
        <v>412</v>
      </c>
      <c r="BI18" s="214" t="s">
        <v>412</v>
      </c>
      <c r="BJ18" s="214" t="s">
        <v>412</v>
      </c>
      <c r="BK18" s="215" t="s">
        <v>412</v>
      </c>
      <c r="BL18" s="217">
        <v>0.41666666666666669</v>
      </c>
      <c r="BM18" s="214">
        <v>0.58333333333333337</v>
      </c>
      <c r="BN18" s="214">
        <v>0.70833333333333337</v>
      </c>
      <c r="BO18" s="215">
        <v>0.95833333333333337</v>
      </c>
      <c r="BP18" s="217">
        <v>0.41666666666666669</v>
      </c>
      <c r="BQ18" s="214">
        <v>0.58333333333333337</v>
      </c>
      <c r="BR18" s="266">
        <v>0.70833333333333337</v>
      </c>
      <c r="BS18" s="267">
        <v>0.97916666666666663</v>
      </c>
      <c r="BT18" s="217">
        <v>0.41666666666666669</v>
      </c>
      <c r="BU18" s="214">
        <v>0.58333333333333337</v>
      </c>
      <c r="BV18" s="214">
        <v>0.70833333333333337</v>
      </c>
      <c r="BW18" s="215">
        <v>0.97916666666666663</v>
      </c>
      <c r="BX18" s="217">
        <v>0.41666666666666669</v>
      </c>
      <c r="BY18" s="214">
        <v>0.58333333333333337</v>
      </c>
      <c r="BZ18" s="214">
        <v>0.70833333333333337</v>
      </c>
      <c r="CA18" s="215">
        <v>0.9375</v>
      </c>
      <c r="CB18" s="249">
        <f t="shared" si="29"/>
        <v>2.0833333333333335</v>
      </c>
      <c r="CC18" s="239">
        <v>0.86111111111111116</v>
      </c>
      <c r="CD18" s="41"/>
      <c r="CE18" s="191">
        <f t="shared" si="32"/>
        <v>0</v>
      </c>
      <c r="CF18" s="191">
        <f t="shared" si="15"/>
        <v>0</v>
      </c>
      <c r="CG18" s="191">
        <f t="shared" si="33"/>
        <v>0.16666666666666669</v>
      </c>
      <c r="CH18" s="191">
        <f t="shared" si="34"/>
        <v>0.22916666666666663</v>
      </c>
      <c r="CI18" s="191">
        <f t="shared" si="18"/>
        <v>0</v>
      </c>
      <c r="CJ18" s="191">
        <f t="shared" si="19"/>
        <v>0</v>
      </c>
      <c r="CK18" s="191">
        <f t="shared" si="20"/>
        <v>0.16666666666666669</v>
      </c>
      <c r="CL18" s="191">
        <f t="shared" si="21"/>
        <v>0.25</v>
      </c>
      <c r="CM18" s="191">
        <f t="shared" si="22"/>
        <v>0.16666666666666669</v>
      </c>
      <c r="CN18" s="191">
        <f t="shared" si="23"/>
        <v>0.27083333333333326</v>
      </c>
      <c r="CO18" s="191">
        <f t="shared" si="24"/>
        <v>0.16666666666666669</v>
      </c>
      <c r="CP18" s="191">
        <f t="shared" si="25"/>
        <v>0.27083333333333326</v>
      </c>
      <c r="CQ18" s="191">
        <f t="shared" si="35"/>
        <v>0.16666666666666669</v>
      </c>
      <c r="CR18" s="191">
        <f t="shared" si="36"/>
        <v>0.22916666666666663</v>
      </c>
      <c r="CS18" s="31"/>
    </row>
    <row r="19" spans="1:220">
      <c r="A19" s="321"/>
      <c r="B19" s="252" t="s">
        <v>374</v>
      </c>
      <c r="C19" s="217">
        <v>0.41666666666666669</v>
      </c>
      <c r="D19" s="214">
        <v>0.58333333333333337</v>
      </c>
      <c r="E19" s="214">
        <v>0.70833333333333337</v>
      </c>
      <c r="F19" s="215">
        <v>0.97916666666666663</v>
      </c>
      <c r="G19" s="217">
        <v>0.41666666666666669</v>
      </c>
      <c r="H19" s="214">
        <v>0.58333333333333337</v>
      </c>
      <c r="I19" s="214">
        <v>0.70833333333333337</v>
      </c>
      <c r="J19" s="215">
        <v>0.97916666666666663</v>
      </c>
      <c r="K19" s="217">
        <v>0.41666666666666669</v>
      </c>
      <c r="L19" s="214">
        <v>0.58333333333333337</v>
      </c>
      <c r="M19" s="214">
        <v>0.70833333333333337</v>
      </c>
      <c r="N19" s="215">
        <v>0.97916666666666663</v>
      </c>
      <c r="O19" s="217" t="s">
        <v>42</v>
      </c>
      <c r="P19" s="214" t="s">
        <v>42</v>
      </c>
      <c r="Q19" s="214" t="s">
        <v>42</v>
      </c>
      <c r="R19" s="215" t="s">
        <v>42</v>
      </c>
      <c r="S19" s="217">
        <v>0.41666666666666669</v>
      </c>
      <c r="T19" s="214">
        <v>0.58333333333333337</v>
      </c>
      <c r="U19" s="214">
        <v>0.70833333333333337</v>
      </c>
      <c r="V19" s="215">
        <v>0.97916666666666663</v>
      </c>
      <c r="W19" s="217" t="s">
        <v>42</v>
      </c>
      <c r="X19" s="214" t="s">
        <v>42</v>
      </c>
      <c r="Y19" s="214" t="s">
        <v>42</v>
      </c>
      <c r="Z19" s="215" t="s">
        <v>42</v>
      </c>
      <c r="AA19" s="217" t="s">
        <v>42</v>
      </c>
      <c r="AB19" s="214" t="s">
        <v>42</v>
      </c>
      <c r="AC19" s="214" t="s">
        <v>42</v>
      </c>
      <c r="AD19" s="215" t="s">
        <v>42</v>
      </c>
      <c r="AE19" s="249">
        <f t="shared" si="28"/>
        <v>1.7499999999999998</v>
      </c>
      <c r="AF19" s="238"/>
      <c r="AG19" s="41"/>
      <c r="AH19" s="191">
        <f t="shared" si="0"/>
        <v>0.16666666666666669</v>
      </c>
      <c r="AI19" s="191">
        <f t="shared" si="1"/>
        <v>0.27083333333333326</v>
      </c>
      <c r="AJ19" s="191">
        <f t="shared" si="2"/>
        <v>0.16666666666666669</v>
      </c>
      <c r="AK19" s="191">
        <f t="shared" si="3"/>
        <v>0.27083333333333326</v>
      </c>
      <c r="AL19" s="191">
        <f t="shared" si="4"/>
        <v>0.16666666666666669</v>
      </c>
      <c r="AM19" s="191">
        <f t="shared" si="5"/>
        <v>0.27083333333333326</v>
      </c>
      <c r="AN19" s="191">
        <f t="shared" si="6"/>
        <v>0</v>
      </c>
      <c r="AO19" s="191">
        <f t="shared" si="7"/>
        <v>0</v>
      </c>
      <c r="AP19" s="191">
        <f t="shared" si="8"/>
        <v>0.16666666666666669</v>
      </c>
      <c r="AQ19" s="191">
        <f t="shared" si="9"/>
        <v>0.27083333333333326</v>
      </c>
      <c r="AR19" s="191">
        <f t="shared" si="10"/>
        <v>0</v>
      </c>
      <c r="AS19" s="191">
        <f t="shared" si="11"/>
        <v>0</v>
      </c>
      <c r="AT19" s="191">
        <f t="shared" si="12"/>
        <v>0</v>
      </c>
      <c r="AU19" s="191">
        <f t="shared" si="13"/>
        <v>0</v>
      </c>
      <c r="AV19" s="31"/>
      <c r="AX19" s="321"/>
      <c r="AY19" s="248" t="s">
        <v>375</v>
      </c>
      <c r="AZ19" s="217"/>
      <c r="BA19" s="214"/>
      <c r="BB19" s="214">
        <v>0.70833333333333337</v>
      </c>
      <c r="BC19" s="215">
        <v>0.97916666666666663</v>
      </c>
      <c r="BD19" s="217" t="s">
        <v>412</v>
      </c>
      <c r="BE19" s="214" t="s">
        <v>412</v>
      </c>
      <c r="BF19" s="214" t="s">
        <v>412</v>
      </c>
      <c r="BG19" s="215" t="s">
        <v>412</v>
      </c>
      <c r="BH19" s="217"/>
      <c r="BI19" s="214"/>
      <c r="BJ19" s="214">
        <v>0.45833333333333331</v>
      </c>
      <c r="BK19" s="215">
        <v>0.9375</v>
      </c>
      <c r="BL19" s="217" t="s">
        <v>42</v>
      </c>
      <c r="BM19" s="214" t="s">
        <v>42</v>
      </c>
      <c r="BN19" s="214" t="s">
        <v>42</v>
      </c>
      <c r="BO19" s="215" t="s">
        <v>42</v>
      </c>
      <c r="BP19" s="217">
        <v>0.47916666666666669</v>
      </c>
      <c r="BQ19" s="214">
        <v>0.625</v>
      </c>
      <c r="BR19" s="214">
        <v>0.72916666666666663</v>
      </c>
      <c r="BS19" s="215">
        <v>0.97916666666666663</v>
      </c>
      <c r="BT19" s="217">
        <v>0.45833333333333331</v>
      </c>
      <c r="BU19" s="214">
        <v>0.66666666666666663</v>
      </c>
      <c r="BV19" s="266">
        <v>0.66666666666666663</v>
      </c>
      <c r="BW19" s="267">
        <v>0.97916666666666663</v>
      </c>
      <c r="BX19" s="217" t="s">
        <v>42</v>
      </c>
      <c r="BY19" s="214" t="s">
        <v>42</v>
      </c>
      <c r="BZ19" s="214" t="s">
        <v>42</v>
      </c>
      <c r="CA19" s="215" t="s">
        <v>42</v>
      </c>
      <c r="CB19" s="249">
        <f t="shared" si="29"/>
        <v>1.6666666666666665</v>
      </c>
      <c r="CC19" s="238"/>
      <c r="CD19" s="41"/>
      <c r="CE19" s="191">
        <f t="shared" si="32"/>
        <v>0</v>
      </c>
      <c r="CF19" s="191">
        <f t="shared" si="15"/>
        <v>0.27083333333333326</v>
      </c>
      <c r="CG19" s="191">
        <f t="shared" si="33"/>
        <v>0</v>
      </c>
      <c r="CH19" s="191">
        <f t="shared" si="34"/>
        <v>0</v>
      </c>
      <c r="CI19" s="191">
        <f t="shared" si="18"/>
        <v>0</v>
      </c>
      <c r="CJ19" s="191">
        <f t="shared" si="19"/>
        <v>0.47916666666666669</v>
      </c>
      <c r="CK19" s="191">
        <f t="shared" si="20"/>
        <v>0</v>
      </c>
      <c r="CL19" s="191">
        <f t="shared" si="21"/>
        <v>0</v>
      </c>
      <c r="CM19" s="191">
        <f t="shared" si="22"/>
        <v>0.14583333333333331</v>
      </c>
      <c r="CN19" s="191">
        <f t="shared" si="23"/>
        <v>0.25</v>
      </c>
      <c r="CO19" s="191">
        <f t="shared" si="24"/>
        <v>0.20833333333333331</v>
      </c>
      <c r="CP19" s="191">
        <f t="shared" si="25"/>
        <v>0.3125</v>
      </c>
      <c r="CQ19" s="191">
        <f t="shared" si="35"/>
        <v>0</v>
      </c>
      <c r="CR19" s="191">
        <f t="shared" si="36"/>
        <v>0</v>
      </c>
      <c r="CS19" s="31"/>
    </row>
    <row r="20" spans="1:220">
      <c r="A20" s="321"/>
      <c r="B20" s="248" t="s">
        <v>375</v>
      </c>
      <c r="C20" s="217" t="s">
        <v>42</v>
      </c>
      <c r="D20" s="214" t="s">
        <v>42</v>
      </c>
      <c r="E20" s="214" t="s">
        <v>42</v>
      </c>
      <c r="F20" s="215" t="s">
        <v>42</v>
      </c>
      <c r="G20" s="217" t="s">
        <v>42</v>
      </c>
      <c r="H20" s="214" t="s">
        <v>42</v>
      </c>
      <c r="I20" s="214" t="s">
        <v>42</v>
      </c>
      <c r="J20" s="215" t="s">
        <v>42</v>
      </c>
      <c r="K20" s="217"/>
      <c r="L20" s="214"/>
      <c r="M20" s="214">
        <v>0.45833333333333331</v>
      </c>
      <c r="N20" s="215">
        <v>0.875</v>
      </c>
      <c r="O20" s="217" t="s">
        <v>42</v>
      </c>
      <c r="P20" s="214" t="s">
        <v>42</v>
      </c>
      <c r="Q20" s="214" t="s">
        <v>42</v>
      </c>
      <c r="R20" s="215" t="s">
        <v>42</v>
      </c>
      <c r="S20" s="236"/>
      <c r="T20" s="218"/>
      <c r="U20" s="216">
        <v>0.45833333333333331</v>
      </c>
      <c r="V20" s="215">
        <v>0.9375</v>
      </c>
      <c r="W20" s="236"/>
      <c r="X20" s="218"/>
      <c r="Y20" s="216">
        <v>0.45833333333333331</v>
      </c>
      <c r="Z20" s="215">
        <v>0.9375</v>
      </c>
      <c r="AA20" s="217">
        <v>0.47916666666666669</v>
      </c>
      <c r="AB20" s="214">
        <v>0.58333333333333337</v>
      </c>
      <c r="AC20" s="218">
        <v>0.70833333333333337</v>
      </c>
      <c r="AD20" s="219">
        <v>0.97916666666666663</v>
      </c>
      <c r="AE20" s="249">
        <f t="shared" si="28"/>
        <v>1.75</v>
      </c>
      <c r="AF20" s="238"/>
      <c r="AG20" s="41"/>
      <c r="AH20" s="191">
        <f t="shared" si="0"/>
        <v>0</v>
      </c>
      <c r="AI20" s="191">
        <f t="shared" si="1"/>
        <v>0</v>
      </c>
      <c r="AJ20" s="191">
        <f t="shared" si="2"/>
        <v>0</v>
      </c>
      <c r="AK20" s="191">
        <f t="shared" si="3"/>
        <v>0</v>
      </c>
      <c r="AL20" s="191">
        <f t="shared" si="4"/>
        <v>0</v>
      </c>
      <c r="AM20" s="191">
        <f t="shared" si="5"/>
        <v>0.41666666666666669</v>
      </c>
      <c r="AN20" s="191">
        <f t="shared" si="6"/>
        <v>0</v>
      </c>
      <c r="AO20" s="191">
        <f t="shared" si="7"/>
        <v>0</v>
      </c>
      <c r="AP20" s="191">
        <f t="shared" si="8"/>
        <v>0</v>
      </c>
      <c r="AQ20" s="191">
        <f t="shared" si="9"/>
        <v>0.47916666666666669</v>
      </c>
      <c r="AR20" s="191">
        <f t="shared" si="10"/>
        <v>0</v>
      </c>
      <c r="AS20" s="191">
        <f t="shared" si="11"/>
        <v>0.47916666666666669</v>
      </c>
      <c r="AT20" s="191">
        <f t="shared" si="12"/>
        <v>0.10416666666666669</v>
      </c>
      <c r="AU20" s="191">
        <f t="shared" si="13"/>
        <v>0.27083333333333326</v>
      </c>
      <c r="AV20" s="31"/>
      <c r="AX20" s="321"/>
      <c r="AY20" s="248" t="s">
        <v>399</v>
      </c>
      <c r="AZ20" s="217" t="s">
        <v>42</v>
      </c>
      <c r="BA20" s="214" t="s">
        <v>42</v>
      </c>
      <c r="BB20" s="214" t="s">
        <v>42</v>
      </c>
      <c r="BC20" s="215" t="s">
        <v>42</v>
      </c>
      <c r="BD20" s="217"/>
      <c r="BE20" s="214"/>
      <c r="BF20" s="214"/>
      <c r="BG20" s="215"/>
      <c r="BH20" s="217"/>
      <c r="BI20" s="214"/>
      <c r="BJ20" s="214"/>
      <c r="BK20" s="215"/>
      <c r="BL20" s="236"/>
      <c r="BM20" s="218"/>
      <c r="BN20" s="214">
        <v>0.45833333333333331</v>
      </c>
      <c r="BO20" s="215">
        <v>0.9375</v>
      </c>
      <c r="BP20" s="216">
        <v>0.45833333333333331</v>
      </c>
      <c r="BQ20" s="216">
        <v>0.58333333333333337</v>
      </c>
      <c r="BR20" s="269">
        <v>0.70833333333333337</v>
      </c>
      <c r="BS20" s="265">
        <v>0.97916666666666663</v>
      </c>
      <c r="BT20" s="217" t="s">
        <v>412</v>
      </c>
      <c r="BU20" s="214" t="s">
        <v>412</v>
      </c>
      <c r="BV20" s="214" t="s">
        <v>412</v>
      </c>
      <c r="BW20" s="215" t="s">
        <v>412</v>
      </c>
      <c r="BX20" s="217" t="s">
        <v>42</v>
      </c>
      <c r="BY20" s="214" t="s">
        <v>42</v>
      </c>
      <c r="BZ20" s="214" t="s">
        <v>42</v>
      </c>
      <c r="CA20" s="215" t="s">
        <v>42</v>
      </c>
      <c r="CB20" s="249">
        <f t="shared" si="29"/>
        <v>0.875</v>
      </c>
      <c r="CC20" s="238"/>
      <c r="CD20" s="41"/>
      <c r="CE20" s="191">
        <f t="shared" si="32"/>
        <v>0</v>
      </c>
      <c r="CF20" s="191">
        <f t="shared" si="15"/>
        <v>0</v>
      </c>
      <c r="CG20" s="191">
        <f t="shared" si="33"/>
        <v>0</v>
      </c>
      <c r="CH20" s="191">
        <f t="shared" si="34"/>
        <v>0</v>
      </c>
      <c r="CI20" s="191">
        <f t="shared" si="18"/>
        <v>0</v>
      </c>
      <c r="CJ20" s="191">
        <f t="shared" si="19"/>
        <v>0</v>
      </c>
      <c r="CK20" s="191">
        <f t="shared" si="20"/>
        <v>0</v>
      </c>
      <c r="CL20" s="191">
        <f t="shared" si="21"/>
        <v>0.47916666666666669</v>
      </c>
      <c r="CM20" s="191">
        <f t="shared" si="22"/>
        <v>0.12500000000000006</v>
      </c>
      <c r="CN20" s="191">
        <f t="shared" si="23"/>
        <v>0.27083333333333326</v>
      </c>
      <c r="CO20" s="191">
        <f t="shared" si="24"/>
        <v>0</v>
      </c>
      <c r="CP20" s="191">
        <f t="shared" si="25"/>
        <v>0</v>
      </c>
      <c r="CQ20" s="191">
        <f t="shared" si="35"/>
        <v>0</v>
      </c>
      <c r="CR20" s="191">
        <f t="shared" si="36"/>
        <v>0</v>
      </c>
      <c r="CS20" s="31"/>
    </row>
    <row r="21" spans="1:220">
      <c r="A21" s="321"/>
      <c r="B21" s="248" t="s">
        <v>399</v>
      </c>
      <c r="C21" s="217" t="s">
        <v>42</v>
      </c>
      <c r="D21" s="214" t="s">
        <v>42</v>
      </c>
      <c r="E21" s="214" t="s">
        <v>42</v>
      </c>
      <c r="F21" s="215" t="s">
        <v>42</v>
      </c>
      <c r="G21" s="217" t="s">
        <v>42</v>
      </c>
      <c r="H21" s="214" t="s">
        <v>42</v>
      </c>
      <c r="I21" s="214" t="s">
        <v>42</v>
      </c>
      <c r="J21" s="215" t="s">
        <v>42</v>
      </c>
      <c r="K21" s="217"/>
      <c r="L21" s="214"/>
      <c r="M21" s="214">
        <v>0.58333333333333337</v>
      </c>
      <c r="N21" s="215">
        <v>4.1666666666666664E-2</v>
      </c>
      <c r="O21" s="217" t="s">
        <v>42</v>
      </c>
      <c r="P21" s="214" t="s">
        <v>42</v>
      </c>
      <c r="Q21" s="214" t="s">
        <v>42</v>
      </c>
      <c r="R21" s="215" t="s">
        <v>42</v>
      </c>
      <c r="S21" s="217"/>
      <c r="T21" s="214"/>
      <c r="U21" s="214">
        <v>0.70833333333333337</v>
      </c>
      <c r="V21" s="215">
        <v>0.97916666666666663</v>
      </c>
      <c r="W21" s="217"/>
      <c r="X21" s="214"/>
      <c r="Y21" s="214">
        <v>0.47916666666666669</v>
      </c>
      <c r="Z21" s="215">
        <v>0.97916666666666663</v>
      </c>
      <c r="AA21" s="217"/>
      <c r="AB21" s="214"/>
      <c r="AC21" s="214">
        <v>0.45833333333333331</v>
      </c>
      <c r="AD21" s="215">
        <v>0.9375</v>
      </c>
      <c r="AE21" s="249">
        <f t="shared" si="28"/>
        <v>1.7083333333333333</v>
      </c>
      <c r="AF21" s="238"/>
      <c r="AG21" s="41"/>
      <c r="AH21" s="191">
        <f t="shared" si="0"/>
        <v>0</v>
      </c>
      <c r="AI21" s="191">
        <f t="shared" si="1"/>
        <v>0</v>
      </c>
      <c r="AJ21" s="191">
        <f t="shared" si="2"/>
        <v>0</v>
      </c>
      <c r="AK21" s="191">
        <f t="shared" si="3"/>
        <v>0</v>
      </c>
      <c r="AL21" s="191">
        <f t="shared" si="4"/>
        <v>0</v>
      </c>
      <c r="AM21" s="191">
        <f t="shared" si="5"/>
        <v>0.45833333333333326</v>
      </c>
      <c r="AN21" s="191">
        <f t="shared" si="6"/>
        <v>0</v>
      </c>
      <c r="AO21" s="191">
        <f t="shared" si="7"/>
        <v>0</v>
      </c>
      <c r="AP21" s="191">
        <f t="shared" si="8"/>
        <v>0</v>
      </c>
      <c r="AQ21" s="191">
        <f t="shared" si="9"/>
        <v>0.27083333333333326</v>
      </c>
      <c r="AR21" s="191">
        <f t="shared" si="10"/>
        <v>0</v>
      </c>
      <c r="AS21" s="191">
        <f t="shared" si="11"/>
        <v>0.49999999999999994</v>
      </c>
      <c r="AT21" s="191">
        <f t="shared" si="12"/>
        <v>0</v>
      </c>
      <c r="AU21" s="191">
        <f t="shared" si="13"/>
        <v>0.47916666666666669</v>
      </c>
      <c r="AV21" s="31"/>
      <c r="AX21" s="321"/>
      <c r="AY21" s="253" t="s">
        <v>403</v>
      </c>
      <c r="AZ21" s="217">
        <v>0.47916666666666669</v>
      </c>
      <c r="BA21" s="214">
        <v>0.625</v>
      </c>
      <c r="BB21" s="214">
        <v>0.72916666666666663</v>
      </c>
      <c r="BC21" s="215">
        <v>0.97916666666666663</v>
      </c>
      <c r="BD21" s="217">
        <v>0.45833333333333331</v>
      </c>
      <c r="BE21" s="214">
        <v>0.58333333333333337</v>
      </c>
      <c r="BF21" s="214">
        <v>0.72916666666666663</v>
      </c>
      <c r="BG21" s="215">
        <v>0.97916666666666663</v>
      </c>
      <c r="BH21" s="217" t="s">
        <v>42</v>
      </c>
      <c r="BI21" s="214" t="s">
        <v>42</v>
      </c>
      <c r="BJ21" s="214" t="s">
        <v>42</v>
      </c>
      <c r="BK21" s="215" t="s">
        <v>42</v>
      </c>
      <c r="BL21" s="217" t="s">
        <v>42</v>
      </c>
      <c r="BM21" s="214" t="s">
        <v>42</v>
      </c>
      <c r="BN21" s="214" t="s">
        <v>42</v>
      </c>
      <c r="BO21" s="215" t="s">
        <v>42</v>
      </c>
      <c r="BP21" s="217"/>
      <c r="BQ21" s="214"/>
      <c r="BR21" s="266">
        <v>0.70833333333333337</v>
      </c>
      <c r="BS21" s="267">
        <v>0.97916666666666663</v>
      </c>
      <c r="BT21" s="217"/>
      <c r="BU21" s="214"/>
      <c r="BV21" s="214">
        <v>0.45833333333333331</v>
      </c>
      <c r="BW21" s="215">
        <v>0.97916666666666663</v>
      </c>
      <c r="BX21" s="217"/>
      <c r="BY21" s="214"/>
      <c r="BZ21" s="214">
        <v>0.5</v>
      </c>
      <c r="CA21" s="215">
        <v>0.97916666666666663</v>
      </c>
      <c r="CB21" s="249">
        <f t="shared" si="29"/>
        <v>2.0416666666666665</v>
      </c>
      <c r="CC21" s="238"/>
      <c r="CD21" s="41"/>
      <c r="CE21" s="191">
        <f t="shared" si="32"/>
        <v>0.14583333333333331</v>
      </c>
      <c r="CF21" s="191">
        <f t="shared" si="15"/>
        <v>0.25</v>
      </c>
      <c r="CG21" s="191">
        <f t="shared" si="33"/>
        <v>0.12500000000000006</v>
      </c>
      <c r="CH21" s="191">
        <f t="shared" si="34"/>
        <v>0.25</v>
      </c>
      <c r="CI21" s="191">
        <f t="shared" si="18"/>
        <v>0</v>
      </c>
      <c r="CJ21" s="191">
        <f t="shared" si="19"/>
        <v>0</v>
      </c>
      <c r="CK21" s="191">
        <f t="shared" si="20"/>
        <v>0</v>
      </c>
      <c r="CL21" s="191">
        <f t="shared" si="21"/>
        <v>0</v>
      </c>
      <c r="CM21" s="191">
        <f t="shared" si="22"/>
        <v>0</v>
      </c>
      <c r="CN21" s="191">
        <f t="shared" si="23"/>
        <v>0.27083333333333326</v>
      </c>
      <c r="CO21" s="191">
        <f t="shared" si="24"/>
        <v>0</v>
      </c>
      <c r="CP21" s="191">
        <f t="shared" si="25"/>
        <v>0.52083333333333326</v>
      </c>
      <c r="CQ21" s="191">
        <f t="shared" si="35"/>
        <v>0</v>
      </c>
      <c r="CR21" s="191">
        <f t="shared" si="36"/>
        <v>0.47916666666666663</v>
      </c>
      <c r="CS21" s="31"/>
    </row>
    <row r="22" spans="1:220">
      <c r="A22" s="321"/>
      <c r="B22" s="253" t="s">
        <v>403</v>
      </c>
      <c r="C22" s="217"/>
      <c r="D22" s="214"/>
      <c r="E22" s="214">
        <v>0.47916666666666669</v>
      </c>
      <c r="F22" s="215">
        <v>0.97916666666666663</v>
      </c>
      <c r="G22" s="217">
        <v>0.45833333333333331</v>
      </c>
      <c r="H22" s="214">
        <v>0.625</v>
      </c>
      <c r="I22" s="214">
        <v>0.70833333333333337</v>
      </c>
      <c r="J22" s="215">
        <v>0.97916666666666663</v>
      </c>
      <c r="K22" s="217">
        <v>0.47916666666666669</v>
      </c>
      <c r="L22" s="214">
        <v>0.58333333333333337</v>
      </c>
      <c r="M22" s="214">
        <v>0.70833333333333337</v>
      </c>
      <c r="N22" s="215">
        <v>0.97916666666666663</v>
      </c>
      <c r="O22" s="217" t="s">
        <v>42</v>
      </c>
      <c r="P22" s="214" t="s">
        <v>42</v>
      </c>
      <c r="Q22" s="214" t="s">
        <v>42</v>
      </c>
      <c r="R22" s="215" t="s">
        <v>42</v>
      </c>
      <c r="S22" s="217" t="s">
        <v>42</v>
      </c>
      <c r="T22" s="214" t="s">
        <v>42</v>
      </c>
      <c r="U22" s="214" t="s">
        <v>42</v>
      </c>
      <c r="V22" s="215" t="s">
        <v>42</v>
      </c>
      <c r="W22" s="217" t="s">
        <v>42</v>
      </c>
      <c r="X22" s="214" t="s">
        <v>42</v>
      </c>
      <c r="Y22" s="214" t="s">
        <v>42</v>
      </c>
      <c r="Z22" s="215" t="s">
        <v>42</v>
      </c>
      <c r="AA22" s="217">
        <v>0.41666666666666669</v>
      </c>
      <c r="AB22" s="214">
        <v>0.58333333333333337</v>
      </c>
      <c r="AC22" s="214">
        <v>0.70833333333333337</v>
      </c>
      <c r="AD22" s="215">
        <v>0.97916666666666663</v>
      </c>
      <c r="AE22" s="249">
        <f t="shared" si="28"/>
        <v>1.7499999999999998</v>
      </c>
      <c r="AF22" s="238"/>
      <c r="AG22" s="41"/>
      <c r="AH22" s="191">
        <f t="shared" si="0"/>
        <v>0</v>
      </c>
      <c r="AI22" s="191">
        <f t="shared" si="1"/>
        <v>0.49999999999999994</v>
      </c>
      <c r="AJ22" s="191">
        <f t="shared" si="2"/>
        <v>0.16666666666666669</v>
      </c>
      <c r="AK22" s="191">
        <f t="shared" si="3"/>
        <v>0.27083333333333326</v>
      </c>
      <c r="AL22" s="191">
        <f t="shared" si="4"/>
        <v>0.10416666666666669</v>
      </c>
      <c r="AM22" s="191">
        <f t="shared" si="5"/>
        <v>0.27083333333333326</v>
      </c>
      <c r="AN22" s="191">
        <f t="shared" si="6"/>
        <v>0</v>
      </c>
      <c r="AO22" s="191">
        <f t="shared" si="7"/>
        <v>0</v>
      </c>
      <c r="AP22" s="191">
        <f t="shared" si="8"/>
        <v>0</v>
      </c>
      <c r="AQ22" s="191">
        <f t="shared" si="9"/>
        <v>0</v>
      </c>
      <c r="AR22" s="191">
        <f t="shared" si="10"/>
        <v>0</v>
      </c>
      <c r="AS22" s="191">
        <f t="shared" si="11"/>
        <v>0</v>
      </c>
      <c r="AT22" s="191">
        <f t="shared" si="12"/>
        <v>0.16666666666666669</v>
      </c>
      <c r="AU22" s="191">
        <f t="shared" si="13"/>
        <v>0.27083333333333326</v>
      </c>
      <c r="AV22" s="31"/>
      <c r="AX22" s="321"/>
      <c r="AY22" s="253" t="s">
        <v>406</v>
      </c>
      <c r="AZ22" s="217" t="s">
        <v>42</v>
      </c>
      <c r="BA22" s="214" t="s">
        <v>42</v>
      </c>
      <c r="BB22" s="214" t="s">
        <v>42</v>
      </c>
      <c r="BC22" s="215" t="s">
        <v>42</v>
      </c>
      <c r="BD22" s="217" t="s">
        <v>42</v>
      </c>
      <c r="BE22" s="214" t="s">
        <v>42</v>
      </c>
      <c r="BF22" s="214" t="s">
        <v>42</v>
      </c>
      <c r="BG22" s="215" t="s">
        <v>42</v>
      </c>
      <c r="BH22" s="217" t="s">
        <v>42</v>
      </c>
      <c r="BI22" s="214" t="s">
        <v>42</v>
      </c>
      <c r="BJ22" s="214" t="s">
        <v>42</v>
      </c>
      <c r="BK22" s="215" t="s">
        <v>42</v>
      </c>
      <c r="BL22" s="217" t="s">
        <v>42</v>
      </c>
      <c r="BM22" s="214" t="s">
        <v>42</v>
      </c>
      <c r="BN22" s="214" t="s">
        <v>42</v>
      </c>
      <c r="BO22" s="215" t="s">
        <v>42</v>
      </c>
      <c r="BP22" s="217" t="s">
        <v>42</v>
      </c>
      <c r="BQ22" s="214" t="s">
        <v>42</v>
      </c>
      <c r="BR22" s="214" t="s">
        <v>42</v>
      </c>
      <c r="BS22" s="215" t="s">
        <v>42</v>
      </c>
      <c r="BT22" s="217" t="s">
        <v>42</v>
      </c>
      <c r="BU22" s="214" t="s">
        <v>42</v>
      </c>
      <c r="BV22" s="214" t="s">
        <v>42</v>
      </c>
      <c r="BW22" s="215" t="s">
        <v>42</v>
      </c>
      <c r="BX22" s="217" t="s">
        <v>42</v>
      </c>
      <c r="BY22" s="214" t="s">
        <v>42</v>
      </c>
      <c r="BZ22" s="214" t="s">
        <v>42</v>
      </c>
      <c r="CA22" s="215" t="s">
        <v>42</v>
      </c>
      <c r="CB22" s="249">
        <f t="shared" si="29"/>
        <v>0</v>
      </c>
      <c r="CC22" s="238"/>
      <c r="CD22" s="41"/>
      <c r="CE22" s="191">
        <f t="shared" si="32"/>
        <v>0</v>
      </c>
      <c r="CF22" s="191">
        <f t="shared" si="15"/>
        <v>0</v>
      </c>
      <c r="CG22" s="191">
        <f t="shared" si="33"/>
        <v>0</v>
      </c>
      <c r="CH22" s="191">
        <f t="shared" si="34"/>
        <v>0</v>
      </c>
      <c r="CI22" s="191">
        <f t="shared" si="18"/>
        <v>0</v>
      </c>
      <c r="CJ22" s="191">
        <f t="shared" si="19"/>
        <v>0</v>
      </c>
      <c r="CK22" s="191">
        <f t="shared" si="20"/>
        <v>0</v>
      </c>
      <c r="CL22" s="191">
        <f t="shared" si="21"/>
        <v>0</v>
      </c>
      <c r="CM22" s="191">
        <f t="shared" si="22"/>
        <v>0</v>
      </c>
      <c r="CN22" s="191">
        <f t="shared" si="23"/>
        <v>0</v>
      </c>
      <c r="CO22" s="191">
        <f t="shared" si="24"/>
        <v>0</v>
      </c>
      <c r="CP22" s="191">
        <f t="shared" si="25"/>
        <v>0</v>
      </c>
      <c r="CQ22" s="191">
        <f t="shared" si="35"/>
        <v>0</v>
      </c>
      <c r="CR22" s="191">
        <f t="shared" si="36"/>
        <v>0</v>
      </c>
      <c r="CS22" s="31"/>
    </row>
    <row r="23" spans="1:220">
      <c r="A23" s="321"/>
      <c r="B23" s="253" t="s">
        <v>406</v>
      </c>
      <c r="C23" s="217" t="s">
        <v>42</v>
      </c>
      <c r="D23" s="214" t="s">
        <v>42</v>
      </c>
      <c r="E23" s="214" t="s">
        <v>42</v>
      </c>
      <c r="F23" s="215" t="s">
        <v>42</v>
      </c>
      <c r="G23" s="217" t="s">
        <v>42</v>
      </c>
      <c r="H23" s="214" t="s">
        <v>42</v>
      </c>
      <c r="I23" s="214" t="s">
        <v>42</v>
      </c>
      <c r="J23" s="215" t="s">
        <v>42</v>
      </c>
      <c r="K23" s="217" t="s">
        <v>42</v>
      </c>
      <c r="L23" s="214" t="s">
        <v>42</v>
      </c>
      <c r="M23" s="214" t="s">
        <v>42</v>
      </c>
      <c r="N23" s="215" t="s">
        <v>42</v>
      </c>
      <c r="O23" s="217" t="s">
        <v>42</v>
      </c>
      <c r="P23" s="214" t="s">
        <v>42</v>
      </c>
      <c r="Q23" s="214" t="s">
        <v>42</v>
      </c>
      <c r="R23" s="215" t="s">
        <v>42</v>
      </c>
      <c r="S23" s="217"/>
      <c r="T23" s="214"/>
      <c r="U23" s="266">
        <v>0.66666666666666663</v>
      </c>
      <c r="V23" s="267">
        <v>0.97916666666666663</v>
      </c>
      <c r="W23" s="217"/>
      <c r="X23" s="214"/>
      <c r="Y23" s="214">
        <v>0.70833333333333337</v>
      </c>
      <c r="Z23" s="215">
        <v>0.97916666666666663</v>
      </c>
      <c r="AA23" s="217" t="s">
        <v>42</v>
      </c>
      <c r="AB23" s="214" t="s">
        <v>42</v>
      </c>
      <c r="AC23" s="214" t="s">
        <v>42</v>
      </c>
      <c r="AD23" s="215" t="s">
        <v>42</v>
      </c>
      <c r="AE23" s="249">
        <f t="shared" si="28"/>
        <v>0.58333333333333326</v>
      </c>
      <c r="AF23" s="238"/>
      <c r="AG23" s="41"/>
      <c r="AH23" s="191">
        <f t="shared" si="0"/>
        <v>0</v>
      </c>
      <c r="AI23" s="191">
        <f t="shared" si="1"/>
        <v>0</v>
      </c>
      <c r="AJ23" s="191">
        <f t="shared" si="2"/>
        <v>0</v>
      </c>
      <c r="AK23" s="191">
        <f t="shared" si="3"/>
        <v>0</v>
      </c>
      <c r="AL23" s="191">
        <f t="shared" si="4"/>
        <v>0</v>
      </c>
      <c r="AM23" s="191">
        <f t="shared" si="5"/>
        <v>0</v>
      </c>
      <c r="AN23" s="191">
        <f t="shared" si="6"/>
        <v>0</v>
      </c>
      <c r="AO23" s="191">
        <f t="shared" si="7"/>
        <v>0</v>
      </c>
      <c r="AP23" s="191">
        <f t="shared" si="8"/>
        <v>0</v>
      </c>
      <c r="AQ23" s="191">
        <f t="shared" si="9"/>
        <v>0.3125</v>
      </c>
      <c r="AR23" s="191">
        <f t="shared" si="10"/>
        <v>0</v>
      </c>
      <c r="AS23" s="191">
        <f t="shared" si="11"/>
        <v>0.27083333333333326</v>
      </c>
      <c r="AT23" s="191">
        <f t="shared" si="12"/>
        <v>0</v>
      </c>
      <c r="AU23" s="191">
        <f t="shared" si="13"/>
        <v>0</v>
      </c>
      <c r="AV23" s="31"/>
      <c r="AX23" s="321"/>
      <c r="AY23" s="253" t="s">
        <v>404</v>
      </c>
      <c r="AZ23" s="217"/>
      <c r="BA23" s="214"/>
      <c r="BB23" s="214">
        <v>0.5</v>
      </c>
      <c r="BC23" s="215">
        <v>0.97916666666666663</v>
      </c>
      <c r="BD23" s="236" t="s">
        <v>42</v>
      </c>
      <c r="BE23" s="218" t="s">
        <v>42</v>
      </c>
      <c r="BF23" s="214" t="s">
        <v>42</v>
      </c>
      <c r="BG23" s="215" t="s">
        <v>42</v>
      </c>
      <c r="BH23" s="217" t="s">
        <v>42</v>
      </c>
      <c r="BI23" s="214" t="s">
        <v>42</v>
      </c>
      <c r="BJ23" s="214" t="s">
        <v>42</v>
      </c>
      <c r="BK23" s="215" t="s">
        <v>42</v>
      </c>
      <c r="BL23" s="217"/>
      <c r="BM23" s="214"/>
      <c r="BN23" s="214">
        <v>0.5</v>
      </c>
      <c r="BO23" s="215">
        <v>0.97916666666666663</v>
      </c>
      <c r="BP23" s="217"/>
      <c r="BQ23" s="214"/>
      <c r="BR23" s="214">
        <v>0.70833333333333337</v>
      </c>
      <c r="BS23" s="215">
        <v>0.97916666666666663</v>
      </c>
      <c r="BT23" s="230"/>
      <c r="BU23" s="218"/>
      <c r="BV23" s="266">
        <v>0.66666666666666663</v>
      </c>
      <c r="BW23" s="267">
        <v>0.97916666666666663</v>
      </c>
      <c r="BX23" s="236"/>
      <c r="BY23" s="218"/>
      <c r="BZ23" s="214">
        <v>0.5</v>
      </c>
      <c r="CA23" s="215">
        <v>0.97916666666666663</v>
      </c>
      <c r="CB23" s="249">
        <f t="shared" si="29"/>
        <v>2.020833333333333</v>
      </c>
      <c r="CC23" s="238"/>
      <c r="CD23" s="41"/>
      <c r="CE23" s="191">
        <f t="shared" si="32"/>
        <v>0</v>
      </c>
      <c r="CF23" s="191">
        <f t="shared" si="15"/>
        <v>0.47916666666666663</v>
      </c>
      <c r="CG23" s="191">
        <f t="shared" si="33"/>
        <v>0</v>
      </c>
      <c r="CH23" s="191">
        <f t="shared" si="34"/>
        <v>0</v>
      </c>
      <c r="CI23" s="191">
        <f t="shared" si="18"/>
        <v>0</v>
      </c>
      <c r="CJ23" s="191">
        <f t="shared" si="19"/>
        <v>0</v>
      </c>
      <c r="CK23" s="191">
        <f t="shared" si="20"/>
        <v>0</v>
      </c>
      <c r="CL23" s="191">
        <f t="shared" si="21"/>
        <v>0.47916666666666663</v>
      </c>
      <c r="CM23" s="191">
        <f t="shared" si="22"/>
        <v>0</v>
      </c>
      <c r="CN23" s="191">
        <f t="shared" si="23"/>
        <v>0.27083333333333326</v>
      </c>
      <c r="CO23" s="191">
        <f t="shared" si="24"/>
        <v>0</v>
      </c>
      <c r="CP23" s="191">
        <f t="shared" si="25"/>
        <v>0.3125</v>
      </c>
      <c r="CQ23" s="191">
        <f t="shared" si="35"/>
        <v>0</v>
      </c>
      <c r="CR23" s="191">
        <f t="shared" si="36"/>
        <v>0.47916666666666663</v>
      </c>
      <c r="CS23" s="31"/>
    </row>
    <row r="24" spans="1:220">
      <c r="A24" s="321"/>
      <c r="B24" s="253" t="s">
        <v>404</v>
      </c>
      <c r="C24" s="217"/>
      <c r="D24" s="214"/>
      <c r="E24" s="214">
        <v>0.58333333333333337</v>
      </c>
      <c r="F24" s="215">
        <v>0.97916666666666663</v>
      </c>
      <c r="G24" s="217"/>
      <c r="H24" s="214"/>
      <c r="I24" s="214">
        <v>0.5</v>
      </c>
      <c r="J24" s="215">
        <v>0.83333333333333337</v>
      </c>
      <c r="K24" s="264"/>
      <c r="L24" s="264"/>
      <c r="M24" s="216">
        <v>0.58333333333333337</v>
      </c>
      <c r="N24" s="235">
        <v>0.125</v>
      </c>
      <c r="O24" s="217" t="s">
        <v>42</v>
      </c>
      <c r="P24" s="214" t="s">
        <v>42</v>
      </c>
      <c r="Q24" s="214" t="s">
        <v>42</v>
      </c>
      <c r="R24" s="215" t="s">
        <v>42</v>
      </c>
      <c r="S24" s="217"/>
      <c r="T24" s="214"/>
      <c r="U24" s="214">
        <v>0.58333333333333337</v>
      </c>
      <c r="V24" s="215">
        <v>0.97916666666666663</v>
      </c>
      <c r="W24" s="217" t="s">
        <v>42</v>
      </c>
      <c r="X24" s="214" t="s">
        <v>42</v>
      </c>
      <c r="Y24" s="214" t="s">
        <v>42</v>
      </c>
      <c r="Z24" s="215" t="s">
        <v>42</v>
      </c>
      <c r="AA24" s="230" t="s">
        <v>42</v>
      </c>
      <c r="AB24" s="218" t="s">
        <v>42</v>
      </c>
      <c r="AC24" s="218" t="s">
        <v>42</v>
      </c>
      <c r="AD24" s="219" t="s">
        <v>42</v>
      </c>
      <c r="AE24" s="249">
        <f t="shared" si="28"/>
        <v>1.6666666666666665</v>
      </c>
      <c r="AF24" s="238"/>
      <c r="AG24" s="41"/>
      <c r="AH24" s="191">
        <f t="shared" si="0"/>
        <v>0</v>
      </c>
      <c r="AI24" s="191">
        <f t="shared" si="1"/>
        <v>0.39583333333333326</v>
      </c>
      <c r="AJ24" s="191">
        <f t="shared" si="2"/>
        <v>0</v>
      </c>
      <c r="AK24" s="191">
        <f t="shared" si="3"/>
        <v>0.33333333333333337</v>
      </c>
      <c r="AL24" s="191">
        <f t="shared" si="4"/>
        <v>0</v>
      </c>
      <c r="AM24" s="191">
        <f t="shared" si="5"/>
        <v>0.54166666666666663</v>
      </c>
      <c r="AN24" s="191">
        <f t="shared" si="6"/>
        <v>0</v>
      </c>
      <c r="AO24" s="191">
        <f t="shared" si="7"/>
        <v>0</v>
      </c>
      <c r="AP24" s="191">
        <f t="shared" si="8"/>
        <v>0</v>
      </c>
      <c r="AQ24" s="191">
        <f t="shared" si="9"/>
        <v>0.39583333333333326</v>
      </c>
      <c r="AR24" s="191">
        <f t="shared" si="10"/>
        <v>0</v>
      </c>
      <c r="AS24" s="191">
        <f t="shared" si="11"/>
        <v>0</v>
      </c>
      <c r="AT24" s="191">
        <f t="shared" si="12"/>
        <v>0</v>
      </c>
      <c r="AU24" s="191">
        <f t="shared" si="13"/>
        <v>0</v>
      </c>
      <c r="AV24" s="31"/>
      <c r="AX24" s="321"/>
      <c r="AY24" s="253"/>
      <c r="AZ24" s="217"/>
      <c r="BA24" s="214"/>
      <c r="BB24" s="214"/>
      <c r="BC24" s="215"/>
      <c r="BD24" s="217"/>
      <c r="BE24" s="214"/>
      <c r="BF24" s="214"/>
      <c r="BG24" s="215"/>
      <c r="BH24" s="217"/>
      <c r="BI24" s="214"/>
      <c r="BJ24" s="214"/>
      <c r="BK24" s="215"/>
      <c r="BL24" s="217"/>
      <c r="BM24" s="214"/>
      <c r="BN24" s="214"/>
      <c r="BO24" s="215"/>
      <c r="BP24" s="217"/>
      <c r="BQ24" s="214"/>
      <c r="BR24" s="214"/>
      <c r="BS24" s="215"/>
      <c r="BT24" s="217"/>
      <c r="BU24" s="214"/>
      <c r="BV24" s="214"/>
      <c r="BW24" s="215"/>
      <c r="BX24" s="230"/>
      <c r="BY24" s="218"/>
      <c r="BZ24" s="218"/>
      <c r="CA24" s="219"/>
      <c r="CB24" s="249">
        <f t="shared" si="29"/>
        <v>0</v>
      </c>
      <c r="CC24" s="238"/>
      <c r="CD24" s="41"/>
      <c r="CE24" s="191">
        <f t="shared" si="32"/>
        <v>0</v>
      </c>
      <c r="CF24" s="191">
        <f t="shared" si="15"/>
        <v>0</v>
      </c>
      <c r="CG24" s="191">
        <f t="shared" si="33"/>
        <v>0</v>
      </c>
      <c r="CH24" s="191">
        <f t="shared" si="34"/>
        <v>0</v>
      </c>
      <c r="CI24" s="191">
        <f t="shared" si="18"/>
        <v>0</v>
      </c>
      <c r="CJ24" s="191">
        <f t="shared" si="19"/>
        <v>0</v>
      </c>
      <c r="CK24" s="191">
        <f t="shared" si="20"/>
        <v>0</v>
      </c>
      <c r="CL24" s="191">
        <f t="shared" si="21"/>
        <v>0</v>
      </c>
      <c r="CM24" s="191">
        <f t="shared" si="22"/>
        <v>0</v>
      </c>
      <c r="CN24" s="191">
        <f t="shared" si="23"/>
        <v>0</v>
      </c>
      <c r="CO24" s="191">
        <f t="shared" si="24"/>
        <v>0</v>
      </c>
      <c r="CP24" s="191">
        <f t="shared" si="25"/>
        <v>0</v>
      </c>
      <c r="CQ24" s="191">
        <f t="shared" si="35"/>
        <v>0</v>
      </c>
      <c r="CR24" s="191">
        <f t="shared" si="36"/>
        <v>0</v>
      </c>
      <c r="CS24" s="31"/>
    </row>
    <row r="25" spans="1:220">
      <c r="A25" s="321"/>
      <c r="B25" s="255" t="s">
        <v>398</v>
      </c>
      <c r="C25" s="256"/>
      <c r="D25" s="257"/>
      <c r="E25" s="258"/>
      <c r="F25" s="259"/>
      <c r="G25" s="256"/>
      <c r="H25" s="257"/>
      <c r="I25" s="258"/>
      <c r="J25" s="259"/>
      <c r="K25" s="260"/>
      <c r="L25" s="261"/>
      <c r="M25" s="261"/>
      <c r="N25" s="262"/>
      <c r="O25" s="260"/>
      <c r="P25" s="261"/>
      <c r="Q25" s="261"/>
      <c r="R25" s="262"/>
      <c r="S25" s="260"/>
      <c r="T25" s="261"/>
      <c r="U25" s="261"/>
      <c r="V25" s="262"/>
      <c r="W25" s="263"/>
      <c r="X25" s="257"/>
      <c r="Y25" s="261"/>
      <c r="Z25" s="259"/>
      <c r="AA25" s="256"/>
      <c r="AB25" s="257"/>
      <c r="AC25" s="258"/>
      <c r="AD25" s="259"/>
      <c r="AE25" s="249">
        <f t="shared" si="28"/>
        <v>0</v>
      </c>
      <c r="AF25" s="238"/>
      <c r="AG25" s="41"/>
      <c r="AH25" s="191">
        <f t="shared" si="0"/>
        <v>0</v>
      </c>
      <c r="AI25" s="191">
        <f t="shared" si="1"/>
        <v>0</v>
      </c>
      <c r="AJ25" s="191">
        <f t="shared" si="2"/>
        <v>0</v>
      </c>
      <c r="AK25" s="191">
        <f t="shared" si="3"/>
        <v>0</v>
      </c>
      <c r="AL25" s="191">
        <f t="shared" si="4"/>
        <v>0</v>
      </c>
      <c r="AM25" s="191">
        <f t="shared" si="5"/>
        <v>0</v>
      </c>
      <c r="AN25" s="191">
        <f t="shared" si="6"/>
        <v>0</v>
      </c>
      <c r="AO25" s="191">
        <f t="shared" si="7"/>
        <v>0</v>
      </c>
      <c r="AP25" s="191">
        <f t="shared" si="8"/>
        <v>0</v>
      </c>
      <c r="AQ25" s="191">
        <f t="shared" si="9"/>
        <v>0</v>
      </c>
      <c r="AR25" s="191">
        <f t="shared" si="10"/>
        <v>0</v>
      </c>
      <c r="AS25" s="191">
        <f t="shared" si="11"/>
        <v>0</v>
      </c>
      <c r="AT25" s="191">
        <f t="shared" si="12"/>
        <v>0</v>
      </c>
      <c r="AU25" s="191">
        <f t="shared" si="13"/>
        <v>0</v>
      </c>
      <c r="AV25" s="31"/>
      <c r="AX25" s="321"/>
      <c r="AY25" s="255" t="s">
        <v>398</v>
      </c>
      <c r="AZ25" s="256"/>
      <c r="BA25" s="257"/>
      <c r="BB25" s="258"/>
      <c r="BC25" s="259"/>
      <c r="BD25" s="256"/>
      <c r="BE25" s="257"/>
      <c r="BF25" s="258"/>
      <c r="BG25" s="259"/>
      <c r="BH25" s="256"/>
      <c r="BI25" s="257"/>
      <c r="BJ25" s="258"/>
      <c r="BK25" s="259"/>
      <c r="BL25" s="260"/>
      <c r="BM25" s="261"/>
      <c r="BN25" s="261"/>
      <c r="BO25" s="262"/>
      <c r="BP25" s="379"/>
      <c r="BQ25" s="380"/>
      <c r="BR25" s="380"/>
      <c r="BS25" s="381"/>
      <c r="BT25" s="263"/>
      <c r="BU25" s="257"/>
      <c r="BV25" s="380"/>
      <c r="BW25" s="382"/>
      <c r="BX25" s="256"/>
      <c r="BY25" s="257"/>
      <c r="BZ25" s="258"/>
      <c r="CA25" s="259"/>
      <c r="CB25" s="249">
        <f t="shared" si="29"/>
        <v>0</v>
      </c>
      <c r="CC25" s="238"/>
      <c r="CD25" s="41"/>
      <c r="CE25" s="191">
        <f t="shared" si="32"/>
        <v>0</v>
      </c>
      <c r="CF25" s="191">
        <f t="shared" si="15"/>
        <v>0</v>
      </c>
      <c r="CG25" s="191">
        <f t="shared" si="33"/>
        <v>0</v>
      </c>
      <c r="CH25" s="191">
        <f t="shared" si="34"/>
        <v>0</v>
      </c>
      <c r="CI25" s="191">
        <f t="shared" si="18"/>
        <v>0</v>
      </c>
      <c r="CJ25" s="191">
        <f t="shared" si="19"/>
        <v>0</v>
      </c>
      <c r="CK25" s="191">
        <f t="shared" si="20"/>
        <v>0</v>
      </c>
      <c r="CL25" s="191">
        <f t="shared" si="21"/>
        <v>0</v>
      </c>
      <c r="CM25" s="191">
        <f t="shared" si="22"/>
        <v>0</v>
      </c>
      <c r="CN25" s="191">
        <f t="shared" si="23"/>
        <v>0</v>
      </c>
      <c r="CO25" s="191">
        <f t="shared" si="24"/>
        <v>0</v>
      </c>
      <c r="CP25" s="191">
        <f t="shared" si="25"/>
        <v>0</v>
      </c>
      <c r="CQ25" s="191">
        <f t="shared" si="35"/>
        <v>0</v>
      </c>
      <c r="CR25" s="191">
        <f t="shared" si="36"/>
        <v>0</v>
      </c>
      <c r="CS25" s="31"/>
    </row>
    <row r="26" spans="1:220">
      <c r="A26" s="321"/>
      <c r="B26" s="253"/>
      <c r="C26" s="217"/>
      <c r="D26" s="214"/>
      <c r="E26" s="214"/>
      <c r="F26" s="215"/>
      <c r="G26" s="217"/>
      <c r="H26" s="214"/>
      <c r="I26" s="214"/>
      <c r="J26" s="215"/>
      <c r="K26" s="217"/>
      <c r="L26" s="214"/>
      <c r="M26" s="214"/>
      <c r="N26" s="215"/>
      <c r="O26" s="217"/>
      <c r="P26" s="214"/>
      <c r="Q26" s="214"/>
      <c r="R26" s="215"/>
      <c r="S26" s="217"/>
      <c r="T26" s="214"/>
      <c r="U26" s="214"/>
      <c r="V26" s="215"/>
      <c r="W26" s="217"/>
      <c r="X26" s="214"/>
      <c r="Y26" s="214"/>
      <c r="Z26" s="215"/>
      <c r="AA26" s="230"/>
      <c r="AB26" s="218"/>
      <c r="AC26" s="218"/>
      <c r="AD26" s="219"/>
      <c r="AE26" s="238">
        <f t="shared" si="28"/>
        <v>0</v>
      </c>
      <c r="AF26" s="238">
        <v>0</v>
      </c>
      <c r="AG26" s="41"/>
      <c r="AH26" s="191">
        <f t="shared" si="0"/>
        <v>0</v>
      </c>
      <c r="AI26" s="191">
        <f t="shared" si="1"/>
        <v>0</v>
      </c>
      <c r="AJ26" s="191">
        <f t="shared" si="2"/>
        <v>0</v>
      </c>
      <c r="AK26" s="191">
        <f t="shared" si="3"/>
        <v>0</v>
      </c>
      <c r="AL26" s="191">
        <f t="shared" si="4"/>
        <v>0</v>
      </c>
      <c r="AM26" s="191">
        <f t="shared" si="5"/>
        <v>0</v>
      </c>
      <c r="AN26" s="191">
        <f t="shared" si="6"/>
        <v>0</v>
      </c>
      <c r="AO26" s="191">
        <f t="shared" si="7"/>
        <v>0</v>
      </c>
      <c r="AP26" s="191">
        <f t="shared" si="8"/>
        <v>0</v>
      </c>
      <c r="AQ26" s="191">
        <f t="shared" si="9"/>
        <v>0</v>
      </c>
      <c r="AR26" s="191">
        <f t="shared" si="10"/>
        <v>0</v>
      </c>
      <c r="AS26" s="191">
        <f t="shared" si="11"/>
        <v>0</v>
      </c>
      <c r="AT26" s="191">
        <f t="shared" si="12"/>
        <v>0</v>
      </c>
      <c r="AU26" s="191">
        <f t="shared" si="13"/>
        <v>0</v>
      </c>
      <c r="AV26" s="31"/>
      <c r="AX26" s="321"/>
      <c r="AY26" s="253"/>
      <c r="AZ26" s="217"/>
      <c r="BA26" s="214"/>
      <c r="BB26" s="214"/>
      <c r="BC26" s="215"/>
      <c r="BD26" s="217"/>
      <c r="BE26" s="214"/>
      <c r="BF26" s="214"/>
      <c r="BG26" s="215"/>
      <c r="BH26" s="217"/>
      <c r="BI26" s="214"/>
      <c r="BJ26" s="214"/>
      <c r="BK26" s="215"/>
      <c r="BL26" s="217"/>
      <c r="BM26" s="214"/>
      <c r="BN26" s="214"/>
      <c r="BO26" s="215"/>
      <c r="BP26" s="217"/>
      <c r="BQ26" s="214"/>
      <c r="BR26" s="214"/>
      <c r="BS26" s="215"/>
      <c r="BT26" s="217"/>
      <c r="BU26" s="214"/>
      <c r="BV26" s="214"/>
      <c r="BW26" s="215"/>
      <c r="BX26" s="230"/>
      <c r="BY26" s="218"/>
      <c r="BZ26" s="218"/>
      <c r="CA26" s="219"/>
      <c r="CB26" s="238">
        <f t="shared" si="29"/>
        <v>0</v>
      </c>
      <c r="CC26" s="238">
        <v>0</v>
      </c>
      <c r="CD26" s="41"/>
      <c r="CE26" s="191">
        <f t="shared" si="32"/>
        <v>0</v>
      </c>
      <c r="CF26" s="191">
        <f t="shared" si="15"/>
        <v>0</v>
      </c>
      <c r="CG26" s="191">
        <f t="shared" si="33"/>
        <v>0</v>
      </c>
      <c r="CH26" s="191">
        <f t="shared" si="34"/>
        <v>0</v>
      </c>
      <c r="CI26" s="191">
        <f t="shared" si="18"/>
        <v>0</v>
      </c>
      <c r="CJ26" s="191">
        <f t="shared" si="19"/>
        <v>0</v>
      </c>
      <c r="CK26" s="191">
        <f t="shared" si="20"/>
        <v>0</v>
      </c>
      <c r="CL26" s="191">
        <f t="shared" si="21"/>
        <v>0</v>
      </c>
      <c r="CM26" s="191">
        <f t="shared" si="22"/>
        <v>0</v>
      </c>
      <c r="CN26" s="191">
        <f t="shared" si="23"/>
        <v>0</v>
      </c>
      <c r="CO26" s="191">
        <f t="shared" si="24"/>
        <v>0</v>
      </c>
      <c r="CP26" s="191">
        <f t="shared" si="25"/>
        <v>0</v>
      </c>
      <c r="CQ26" s="191">
        <f t="shared" si="35"/>
        <v>0</v>
      </c>
      <c r="CR26" s="191">
        <f t="shared" si="36"/>
        <v>0</v>
      </c>
      <c r="CS26" s="31"/>
    </row>
    <row r="27" spans="1:220" ht="16" customHeight="1" thickBot="1">
      <c r="A27" s="321"/>
      <c r="B27" s="232"/>
      <c r="C27" s="216"/>
      <c r="D27" s="214"/>
      <c r="E27" s="214"/>
      <c r="F27" s="215"/>
      <c r="G27" s="217"/>
      <c r="H27" s="214"/>
      <c r="I27" s="214"/>
      <c r="J27" s="215"/>
      <c r="K27" s="217"/>
      <c r="L27" s="214"/>
      <c r="M27" s="214"/>
      <c r="N27" s="215"/>
      <c r="O27" s="217"/>
      <c r="P27" s="214"/>
      <c r="Q27" s="214"/>
      <c r="R27" s="215"/>
      <c r="S27" s="217"/>
      <c r="T27" s="214"/>
      <c r="U27" s="214"/>
      <c r="V27" s="215"/>
      <c r="W27" s="217"/>
      <c r="X27" s="214"/>
      <c r="Y27" s="214"/>
      <c r="Z27" s="215"/>
      <c r="AA27" s="217"/>
      <c r="AB27" s="214"/>
      <c r="AC27" s="214"/>
      <c r="AD27" s="215"/>
      <c r="AE27" s="238">
        <f t="shared" si="28"/>
        <v>0</v>
      </c>
      <c r="AF27" s="238"/>
      <c r="AG27" s="41"/>
      <c r="AH27" s="191">
        <f t="shared" si="0"/>
        <v>0</v>
      </c>
      <c r="AI27" s="191">
        <f t="shared" si="1"/>
        <v>0</v>
      </c>
      <c r="AJ27" s="191">
        <f t="shared" si="2"/>
        <v>0</v>
      </c>
      <c r="AK27" s="191">
        <f t="shared" si="3"/>
        <v>0</v>
      </c>
      <c r="AL27" s="191">
        <f t="shared" si="4"/>
        <v>0</v>
      </c>
      <c r="AM27" s="191">
        <f t="shared" si="5"/>
        <v>0</v>
      </c>
      <c r="AN27" s="191">
        <f t="shared" si="6"/>
        <v>0</v>
      </c>
      <c r="AO27" s="191">
        <f t="shared" si="7"/>
        <v>0</v>
      </c>
      <c r="AP27" s="191">
        <f t="shared" si="8"/>
        <v>0</v>
      </c>
      <c r="AQ27" s="191">
        <f t="shared" si="9"/>
        <v>0</v>
      </c>
      <c r="AR27" s="191">
        <f t="shared" si="10"/>
        <v>0</v>
      </c>
      <c r="AS27" s="191">
        <f t="shared" si="11"/>
        <v>0</v>
      </c>
      <c r="AT27" s="191">
        <f t="shared" si="12"/>
        <v>0</v>
      </c>
      <c r="AU27" s="191">
        <f t="shared" si="13"/>
        <v>0</v>
      </c>
      <c r="AV27" s="31"/>
      <c r="AX27" s="321"/>
      <c r="AY27" s="232"/>
      <c r="AZ27" s="216"/>
      <c r="BA27" s="214"/>
      <c r="BB27" s="214"/>
      <c r="BC27" s="215"/>
      <c r="BD27" s="217"/>
      <c r="BE27" s="214"/>
      <c r="BF27" s="214"/>
      <c r="BG27" s="215"/>
      <c r="BH27" s="217"/>
      <c r="BI27" s="214"/>
      <c r="BJ27" s="214"/>
      <c r="BK27" s="215"/>
      <c r="BL27" s="217"/>
      <c r="BM27" s="214"/>
      <c r="BN27" s="214"/>
      <c r="BO27" s="215"/>
      <c r="BP27" s="217"/>
      <c r="BQ27" s="214"/>
      <c r="BR27" s="214"/>
      <c r="BS27" s="215"/>
      <c r="BT27" s="217"/>
      <c r="BU27" s="214"/>
      <c r="BV27" s="214"/>
      <c r="BW27" s="215"/>
      <c r="BX27" s="217"/>
      <c r="BY27" s="214"/>
      <c r="BZ27" s="214"/>
      <c r="CA27" s="215"/>
      <c r="CB27" s="238">
        <f t="shared" si="29"/>
        <v>0</v>
      </c>
      <c r="CC27" s="238"/>
      <c r="CD27" s="41"/>
      <c r="CE27" s="191">
        <f t="shared" si="32"/>
        <v>0</v>
      </c>
      <c r="CF27" s="191">
        <f t="shared" si="15"/>
        <v>0</v>
      </c>
      <c r="CG27" s="191">
        <f t="shared" si="33"/>
        <v>0</v>
      </c>
      <c r="CH27" s="191">
        <f t="shared" si="34"/>
        <v>0</v>
      </c>
      <c r="CI27" s="191">
        <f t="shared" si="18"/>
        <v>0</v>
      </c>
      <c r="CJ27" s="191">
        <f t="shared" si="19"/>
        <v>0</v>
      </c>
      <c r="CK27" s="191">
        <f t="shared" si="20"/>
        <v>0</v>
      </c>
      <c r="CL27" s="191">
        <f t="shared" si="21"/>
        <v>0</v>
      </c>
      <c r="CM27" s="191">
        <f t="shared" si="22"/>
        <v>0</v>
      </c>
      <c r="CN27" s="191">
        <f t="shared" si="23"/>
        <v>0</v>
      </c>
      <c r="CO27" s="191">
        <f t="shared" si="24"/>
        <v>0</v>
      </c>
      <c r="CP27" s="191">
        <f t="shared" si="25"/>
        <v>0</v>
      </c>
      <c r="CQ27" s="191">
        <f t="shared" si="35"/>
        <v>0</v>
      </c>
      <c r="CR27" s="191">
        <f t="shared" si="36"/>
        <v>0</v>
      </c>
      <c r="CS27" s="31"/>
    </row>
    <row r="28" spans="1:220" ht="11.5" customHeight="1" thickBot="1">
      <c r="A28" s="45"/>
      <c r="B28" s="210"/>
      <c r="C28" s="308" t="s">
        <v>369</v>
      </c>
      <c r="D28" s="309"/>
      <c r="E28" s="309"/>
      <c r="F28" s="310"/>
      <c r="G28" s="311" t="s">
        <v>378</v>
      </c>
      <c r="H28" s="312"/>
      <c r="I28" s="312"/>
      <c r="J28" s="313"/>
      <c r="K28" s="314" t="s">
        <v>379</v>
      </c>
      <c r="L28" s="315"/>
      <c r="M28" s="315"/>
      <c r="N28" s="315"/>
      <c r="O28" s="316" t="s">
        <v>390</v>
      </c>
      <c r="P28" s="317"/>
      <c r="Q28" s="317"/>
      <c r="R28" s="317"/>
      <c r="S28" s="354" t="s">
        <v>407</v>
      </c>
      <c r="T28" s="354"/>
      <c r="U28" s="354"/>
      <c r="V28" s="354"/>
      <c r="W28" s="318"/>
      <c r="X28" s="318"/>
      <c r="Y28" s="318"/>
      <c r="Z28" s="318"/>
      <c r="AA28" s="319" t="s">
        <v>400</v>
      </c>
      <c r="AB28" s="319"/>
      <c r="AC28" s="319"/>
      <c r="AD28" s="319"/>
      <c r="AE28" s="44"/>
      <c r="AF28" s="44"/>
      <c r="AG28" s="44"/>
      <c r="AH28" s="42"/>
      <c r="AI28" s="43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31"/>
      <c r="AX28" s="45"/>
      <c r="AY28" s="210"/>
      <c r="AZ28" s="308" t="s">
        <v>369</v>
      </c>
      <c r="BA28" s="309"/>
      <c r="BB28" s="309"/>
      <c r="BC28" s="310"/>
      <c r="BD28" s="311" t="s">
        <v>378</v>
      </c>
      <c r="BE28" s="312"/>
      <c r="BF28" s="312"/>
      <c r="BG28" s="313"/>
      <c r="BH28" s="314" t="s">
        <v>379</v>
      </c>
      <c r="BI28" s="315"/>
      <c r="BJ28" s="315"/>
      <c r="BK28" s="315"/>
      <c r="BL28" s="318"/>
      <c r="BM28" s="318"/>
      <c r="BN28" s="318"/>
      <c r="BO28" s="318"/>
      <c r="BP28" s="318"/>
      <c r="BQ28" s="318"/>
      <c r="BR28" s="318"/>
      <c r="BS28" s="318"/>
      <c r="BT28" s="354" t="s">
        <v>411</v>
      </c>
      <c r="BU28" s="354"/>
      <c r="BV28" s="354"/>
      <c r="BW28" s="354"/>
      <c r="BX28" s="319" t="s">
        <v>400</v>
      </c>
      <c r="BY28" s="319"/>
      <c r="BZ28" s="319"/>
      <c r="CA28" s="319"/>
      <c r="CB28" s="44"/>
      <c r="CC28" s="44"/>
      <c r="CD28" s="44"/>
      <c r="CE28" s="42"/>
      <c r="CF28" s="43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31"/>
    </row>
    <row r="29" spans="1:220" s="23" customFormat="1" ht="12.75" customHeight="1" thickBot="1">
      <c r="A29" s="47"/>
      <c r="B29" s="48" t="s">
        <v>262</v>
      </c>
      <c r="C29" s="288">
        <v>0.10416666666666667</v>
      </c>
      <c r="D29" s="288"/>
      <c r="E29" s="288"/>
      <c r="F29" s="288"/>
      <c r="G29" s="288">
        <v>0.10416666666666667</v>
      </c>
      <c r="H29" s="288"/>
      <c r="I29" s="288"/>
      <c r="J29" s="288"/>
      <c r="K29" s="288">
        <v>0.10416666666666667</v>
      </c>
      <c r="L29" s="288"/>
      <c r="M29" s="288"/>
      <c r="N29" s="288"/>
      <c r="O29" s="288">
        <v>0.17708333333333334</v>
      </c>
      <c r="P29" s="288"/>
      <c r="Q29" s="288"/>
      <c r="R29" s="288"/>
      <c r="S29" s="288">
        <v>0.24305555555555555</v>
      </c>
      <c r="T29" s="288"/>
      <c r="U29" s="288"/>
      <c r="V29" s="288"/>
      <c r="W29" s="288">
        <v>0.27083333333333331</v>
      </c>
      <c r="X29" s="288"/>
      <c r="Y29" s="288"/>
      <c r="Z29" s="288"/>
      <c r="AA29" s="288">
        <v>0.125</v>
      </c>
      <c r="AB29" s="288"/>
      <c r="AC29" s="288"/>
      <c r="AD29" s="288"/>
      <c r="AE29" s="27"/>
      <c r="AF29" s="27"/>
      <c r="AG29" s="27"/>
      <c r="AH29" s="42"/>
      <c r="AI29" s="43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31"/>
      <c r="AW29" s="24"/>
      <c r="AX29" s="47"/>
      <c r="AY29" s="48" t="s">
        <v>262</v>
      </c>
      <c r="AZ29" s="288">
        <v>0.10416666666666667</v>
      </c>
      <c r="BA29" s="288"/>
      <c r="BB29" s="288"/>
      <c r="BC29" s="288"/>
      <c r="BD29" s="288">
        <v>0.10416666666666667</v>
      </c>
      <c r="BE29" s="288"/>
      <c r="BF29" s="288"/>
      <c r="BG29" s="288"/>
      <c r="BH29" s="288">
        <v>0.10416666666666667</v>
      </c>
      <c r="BI29" s="288"/>
      <c r="BJ29" s="288"/>
      <c r="BK29" s="288"/>
      <c r="BL29" s="288">
        <v>0.17708333333333334</v>
      </c>
      <c r="BM29" s="288"/>
      <c r="BN29" s="288"/>
      <c r="BO29" s="288"/>
      <c r="BP29" s="288">
        <v>0.24305555555555555</v>
      </c>
      <c r="BQ29" s="288"/>
      <c r="BR29" s="288"/>
      <c r="BS29" s="288"/>
      <c r="BT29" s="288">
        <v>0.27083333333333331</v>
      </c>
      <c r="BU29" s="288"/>
      <c r="BV29" s="288"/>
      <c r="BW29" s="288"/>
      <c r="BX29" s="288">
        <v>0.125</v>
      </c>
      <c r="BY29" s="288"/>
      <c r="BZ29" s="288"/>
      <c r="CA29" s="288"/>
      <c r="CB29" s="27"/>
      <c r="CC29" s="27"/>
      <c r="CD29" s="27"/>
      <c r="CE29" s="42"/>
      <c r="CF29" s="43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31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</row>
    <row r="30" spans="1:220" s="23" customFormat="1" ht="14.25" customHeight="1">
      <c r="B30" s="49"/>
      <c r="C30" s="49"/>
      <c r="D30" s="49"/>
      <c r="E30" s="49"/>
      <c r="F30" s="49"/>
      <c r="G30" s="49"/>
      <c r="H30" s="49"/>
      <c r="I30" s="49"/>
      <c r="J30" s="49"/>
      <c r="K30" s="50"/>
      <c r="L30" s="51"/>
      <c r="M30" s="51"/>
      <c r="N30" s="51"/>
      <c r="O30" s="51"/>
      <c r="P30" s="51"/>
      <c r="Q30" s="51"/>
      <c r="R30" s="51"/>
      <c r="S30" s="287"/>
      <c r="T30" s="287"/>
      <c r="U30" s="287"/>
      <c r="V30" s="287"/>
      <c r="W30" s="52"/>
      <c r="X30" s="52"/>
      <c r="Y30" s="52"/>
      <c r="Z30" s="52"/>
      <c r="AA30" s="287"/>
      <c r="AB30" s="287"/>
      <c r="AC30" s="287"/>
      <c r="AD30" s="287"/>
      <c r="AE30" s="27"/>
      <c r="AF30" s="27"/>
      <c r="AG30" s="27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31"/>
      <c r="AW30" s="24"/>
      <c r="AY30" s="49"/>
      <c r="AZ30" s="49"/>
      <c r="BA30" s="49"/>
      <c r="BB30" s="49"/>
      <c r="BC30" s="49"/>
      <c r="BD30" s="49"/>
      <c r="BE30" s="49"/>
      <c r="BF30" s="49"/>
      <c r="BG30" s="49"/>
      <c r="BH30" s="50"/>
      <c r="BI30" s="51"/>
      <c r="BJ30" s="51"/>
      <c r="BK30" s="51"/>
      <c r="BL30" s="51"/>
      <c r="BM30" s="51"/>
      <c r="BN30" s="51"/>
      <c r="BO30" s="51"/>
      <c r="BP30" s="287"/>
      <c r="BQ30" s="287"/>
      <c r="BR30" s="287"/>
      <c r="BS30" s="287"/>
      <c r="BT30" s="52"/>
      <c r="BU30" s="52"/>
      <c r="BV30" s="52"/>
      <c r="BW30" s="52"/>
      <c r="BX30" s="287"/>
      <c r="BY30" s="287"/>
      <c r="BZ30" s="287"/>
      <c r="CA30" s="287"/>
      <c r="CB30" s="27"/>
      <c r="CC30" s="27"/>
      <c r="CD30" s="27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31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</row>
    <row r="31" spans="1:220" s="23" customFormat="1" ht="14.25" customHeight="1">
      <c r="A31" s="54"/>
      <c r="B31" s="55" t="s">
        <v>263</v>
      </c>
      <c r="C31" s="56"/>
      <c r="D31" s="56" t="s">
        <v>264</v>
      </c>
      <c r="E31" s="56"/>
      <c r="F31" s="56"/>
      <c r="G31" s="56"/>
      <c r="H31" s="56"/>
      <c r="I31" s="56"/>
      <c r="J31" s="57"/>
      <c r="K31" s="283"/>
      <c r="L31" s="283"/>
      <c r="M31" s="283"/>
      <c r="N31" s="283"/>
      <c r="O31" s="283"/>
      <c r="P31" s="283"/>
      <c r="Q31" s="283"/>
      <c r="R31" s="283"/>
      <c r="S31" s="283"/>
      <c r="T31" s="52"/>
      <c r="U31" s="52"/>
      <c r="V31" s="52"/>
      <c r="W31" s="52" t="s">
        <v>383</v>
      </c>
      <c r="X31" s="52"/>
      <c r="Y31" s="52" t="s">
        <v>384</v>
      </c>
      <c r="Z31" s="52"/>
      <c r="AA31" s="52"/>
      <c r="AB31" s="52"/>
      <c r="AC31" s="52"/>
      <c r="AD31" s="58"/>
      <c r="AE31" s="27"/>
      <c r="AF31" s="27"/>
      <c r="AG31" s="59" t="s">
        <v>265</v>
      </c>
      <c r="AH31" s="60">
        <f>SUM(AH10:AH29)</f>
        <v>0.4166666666666668</v>
      </c>
      <c r="AI31" s="60">
        <f>SUM(AI10:AI28)</f>
        <v>2.1666666666666661</v>
      </c>
      <c r="AJ31" s="60">
        <f t="shared" ref="AJ31:AU31" si="37">SUM(AJ10:AJ29)</f>
        <v>0.45833333333333343</v>
      </c>
      <c r="AK31" s="60">
        <f t="shared" si="37"/>
        <v>2.0833333333333335</v>
      </c>
      <c r="AL31" s="60">
        <f t="shared" si="37"/>
        <v>0.39583333333333343</v>
      </c>
      <c r="AM31" s="60">
        <f t="shared" si="37"/>
        <v>4.4166666666666661</v>
      </c>
      <c r="AN31" s="60">
        <f t="shared" si="37"/>
        <v>0</v>
      </c>
      <c r="AO31" s="60">
        <f t="shared" si="37"/>
        <v>0</v>
      </c>
      <c r="AP31" s="60">
        <f t="shared" si="37"/>
        <v>0.64583333333333348</v>
      </c>
      <c r="AQ31" s="60">
        <f t="shared" si="37"/>
        <v>2.8541666666666661</v>
      </c>
      <c r="AR31" s="60">
        <f t="shared" si="37"/>
        <v>0.54166666666666674</v>
      </c>
      <c r="AS31" s="60">
        <f t="shared" si="37"/>
        <v>2.4375</v>
      </c>
      <c r="AT31" s="60">
        <f t="shared" si="37"/>
        <v>0.27083333333333337</v>
      </c>
      <c r="AU31" s="60">
        <f t="shared" si="37"/>
        <v>2.520833333333333</v>
      </c>
      <c r="AV31" s="31"/>
      <c r="AW31" s="24"/>
      <c r="AX31" s="54"/>
      <c r="AY31" s="55" t="s">
        <v>263</v>
      </c>
      <c r="AZ31" s="56"/>
      <c r="BA31" s="56" t="s">
        <v>264</v>
      </c>
      <c r="BB31" s="56"/>
      <c r="BC31" s="56"/>
      <c r="BD31" s="56"/>
      <c r="BE31" s="56"/>
      <c r="BF31" s="56"/>
      <c r="BG31" s="57"/>
      <c r="BH31" s="283"/>
      <c r="BI31" s="283"/>
      <c r="BJ31" s="283"/>
      <c r="BK31" s="283"/>
      <c r="BL31" s="283"/>
      <c r="BM31" s="283"/>
      <c r="BN31" s="283"/>
      <c r="BO31" s="283"/>
      <c r="BP31" s="283"/>
      <c r="BQ31" s="52"/>
      <c r="BR31" s="52"/>
      <c r="BS31" s="52"/>
      <c r="BT31" s="52" t="s">
        <v>383</v>
      </c>
      <c r="BU31" s="52"/>
      <c r="BV31" s="52" t="s">
        <v>384</v>
      </c>
      <c r="BW31" s="52"/>
      <c r="BX31" s="52"/>
      <c r="BY31" s="52"/>
      <c r="BZ31" s="52"/>
      <c r="CA31" s="58"/>
      <c r="CB31" s="27"/>
      <c r="CC31" s="27"/>
      <c r="CD31" s="59" t="s">
        <v>265</v>
      </c>
      <c r="CE31" s="60">
        <f>SUM(CE10:CE29)</f>
        <v>0.27083333333333337</v>
      </c>
      <c r="CF31" s="60">
        <f>SUM(CF10:CF28)</f>
        <v>2.25</v>
      </c>
      <c r="CG31" s="60">
        <f t="shared" ref="CG31:CR31" si="38">SUM(CG10:CG29)</f>
        <v>0.4166666666666668</v>
      </c>
      <c r="CH31" s="60">
        <f t="shared" si="38"/>
        <v>1.2083333333333333</v>
      </c>
      <c r="CI31" s="60">
        <f t="shared" si="38"/>
        <v>0.29166666666666674</v>
      </c>
      <c r="CJ31" s="60">
        <f t="shared" si="38"/>
        <v>1.4791666666666665</v>
      </c>
      <c r="CK31" s="60">
        <f t="shared" si="38"/>
        <v>0.3125</v>
      </c>
      <c r="CL31" s="60">
        <f t="shared" si="38"/>
        <v>2.4791666666666665</v>
      </c>
      <c r="CM31" s="60">
        <f t="shared" si="38"/>
        <v>0.43750000000000006</v>
      </c>
      <c r="CN31" s="60">
        <f t="shared" si="38"/>
        <v>2.7916666666666661</v>
      </c>
      <c r="CO31" s="60">
        <f t="shared" si="38"/>
        <v>0.62500000000000011</v>
      </c>
      <c r="CP31" s="60">
        <f t="shared" si="38"/>
        <v>3.1874999999999991</v>
      </c>
      <c r="CQ31" s="60">
        <f t="shared" si="38"/>
        <v>0.16666666666666669</v>
      </c>
      <c r="CR31" s="60">
        <f t="shared" si="38"/>
        <v>2.708333333333333</v>
      </c>
      <c r="CS31" s="31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</row>
    <row r="32" spans="1:220" s="23" customFormat="1" ht="14.25" customHeight="1">
      <c r="A32" s="54"/>
      <c r="B32" s="61" t="s">
        <v>266</v>
      </c>
      <c r="C32" s="62"/>
      <c r="D32" s="62" t="s">
        <v>267</v>
      </c>
      <c r="E32" s="62"/>
      <c r="F32" s="62"/>
      <c r="G32" s="62"/>
      <c r="H32" s="62"/>
      <c r="I32" s="62"/>
      <c r="J32" s="63"/>
      <c r="K32" s="283"/>
      <c r="L32" s="283"/>
      <c r="M32" s="283"/>
      <c r="N32" s="283"/>
      <c r="O32" s="283"/>
      <c r="P32" s="283"/>
      <c r="Q32" s="283"/>
      <c r="R32" s="283"/>
      <c r="S32" s="283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8"/>
      <c r="AE32" s="27"/>
      <c r="AF32" s="27"/>
      <c r="AG32" s="64" t="s">
        <v>268</v>
      </c>
      <c r="AH32" s="284">
        <f>SUM(AH31:AI31)-C29</f>
        <v>2.4791666666666665</v>
      </c>
      <c r="AI32" s="284"/>
      <c r="AJ32" s="284">
        <f>SUM(AJ31:AK31)-G29</f>
        <v>2.4375000000000004</v>
      </c>
      <c r="AK32" s="284"/>
      <c r="AL32" s="284">
        <f>SUM(AL31:AM31)-K29</f>
        <v>4.7083333333333321</v>
      </c>
      <c r="AM32" s="284"/>
      <c r="AN32" s="284">
        <f>SUM(AN31:AO31)-O29</f>
        <v>-0.17708333333333334</v>
      </c>
      <c r="AO32" s="284"/>
      <c r="AP32" s="284">
        <f>SUM(AP31:AQ31)-S29</f>
        <v>3.2569444444444442</v>
      </c>
      <c r="AQ32" s="284"/>
      <c r="AR32" s="284">
        <f>SUM(AR31:AS31)-W29</f>
        <v>2.7083333333333335</v>
      </c>
      <c r="AS32" s="284"/>
      <c r="AT32" s="284">
        <f>SUM(AT31:AU31)-AA29</f>
        <v>2.6666666666666665</v>
      </c>
      <c r="AU32" s="284"/>
      <c r="AV32" s="65">
        <f>SUM(AH32:AU32)</f>
        <v>18.079861111111111</v>
      </c>
      <c r="AW32" s="24">
        <v>1362</v>
      </c>
      <c r="AX32" s="54"/>
      <c r="AY32" s="61" t="s">
        <v>266</v>
      </c>
      <c r="AZ32" s="62"/>
      <c r="BA32" s="62" t="s">
        <v>267</v>
      </c>
      <c r="BB32" s="62"/>
      <c r="BC32" s="62"/>
      <c r="BD32" s="62"/>
      <c r="BE32" s="62"/>
      <c r="BF32" s="62"/>
      <c r="BG32" s="63"/>
      <c r="BH32" s="283"/>
      <c r="BI32" s="283"/>
      <c r="BJ32" s="283"/>
      <c r="BK32" s="283"/>
      <c r="BL32" s="283"/>
      <c r="BM32" s="283"/>
      <c r="BN32" s="283"/>
      <c r="BO32" s="283"/>
      <c r="BP32" s="283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8"/>
      <c r="CB32" s="27"/>
      <c r="CC32" s="27"/>
      <c r="CD32" s="64" t="s">
        <v>268</v>
      </c>
      <c r="CE32" s="284">
        <f>SUM(CE31:CF31)-AZ29</f>
        <v>2.416666666666667</v>
      </c>
      <c r="CF32" s="284"/>
      <c r="CG32" s="284">
        <f>SUM(CG31:CH31)-BD29</f>
        <v>1.5208333333333333</v>
      </c>
      <c r="CH32" s="284"/>
      <c r="CI32" s="284">
        <f>SUM(CI31:CJ31)-BH29</f>
        <v>1.6666666666666665</v>
      </c>
      <c r="CJ32" s="284"/>
      <c r="CK32" s="284">
        <f>SUM(CK31:CL31)-BL29</f>
        <v>2.614583333333333</v>
      </c>
      <c r="CL32" s="284"/>
      <c r="CM32" s="284">
        <f>SUM(CM31:CN31)-BP29</f>
        <v>2.9861111111111107</v>
      </c>
      <c r="CN32" s="284"/>
      <c r="CO32" s="284">
        <f>SUM(CO31:CP31)-BT29</f>
        <v>3.5416666666666656</v>
      </c>
      <c r="CP32" s="284"/>
      <c r="CQ32" s="284">
        <f>SUM(CQ31:CR31)-BX29</f>
        <v>2.7499999999999996</v>
      </c>
      <c r="CR32" s="284"/>
      <c r="CS32" s="65">
        <f>SUM(CE32:CR32)</f>
        <v>17.496527777777775</v>
      </c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</row>
    <row r="33" spans="1:200" s="23" customFormat="1" ht="14.25" customHeight="1">
      <c r="A33" s="54"/>
      <c r="B33" s="66" t="s">
        <v>269</v>
      </c>
      <c r="C33" s="67"/>
      <c r="D33" s="67" t="s">
        <v>270</v>
      </c>
      <c r="E33" s="67"/>
      <c r="F33" s="67"/>
      <c r="G33" s="67"/>
      <c r="H33" s="67"/>
      <c r="I33" s="67"/>
      <c r="J33" s="68"/>
      <c r="K33" s="285"/>
      <c r="L33" s="285"/>
      <c r="M33" s="285"/>
      <c r="N33" s="285"/>
      <c r="O33" s="285"/>
      <c r="P33" s="285"/>
      <c r="Q33" s="285"/>
      <c r="R33" s="285"/>
      <c r="S33" s="285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8"/>
      <c r="AE33" s="27"/>
      <c r="AF33" s="27"/>
      <c r="AG33" s="69">
        <f>AJ1</f>
        <v>28</v>
      </c>
      <c r="AH33" s="286">
        <f>AH32*24*AG33</f>
        <v>1666</v>
      </c>
      <c r="AI33" s="286"/>
      <c r="AJ33" s="286">
        <f>AJ32*24*AG33</f>
        <v>1638.0000000000005</v>
      </c>
      <c r="AK33" s="286"/>
      <c r="AL33" s="286">
        <f>AL32*24*AG33</f>
        <v>3163.9999999999991</v>
      </c>
      <c r="AM33" s="286"/>
      <c r="AN33" s="286">
        <f>AN32*24*AG33</f>
        <v>-119</v>
      </c>
      <c r="AO33" s="286"/>
      <c r="AP33" s="286">
        <f>AP32*24*AG33</f>
        <v>2188.6666666666665</v>
      </c>
      <c r="AQ33" s="286"/>
      <c r="AR33" s="286">
        <f>AR32*24*AG33</f>
        <v>1820</v>
      </c>
      <c r="AS33" s="286"/>
      <c r="AT33" s="286">
        <f>AT32*24*AG33</f>
        <v>1792</v>
      </c>
      <c r="AU33" s="286"/>
      <c r="AV33" s="31"/>
      <c r="AW33" s="24"/>
      <c r="AX33" s="54"/>
      <c r="AY33" s="66" t="s">
        <v>269</v>
      </c>
      <c r="AZ33" s="67"/>
      <c r="BA33" s="67" t="s">
        <v>270</v>
      </c>
      <c r="BB33" s="67"/>
      <c r="BC33" s="67"/>
      <c r="BD33" s="67"/>
      <c r="BE33" s="67"/>
      <c r="BF33" s="67"/>
      <c r="BG33" s="68"/>
      <c r="BH33" s="285"/>
      <c r="BI33" s="285"/>
      <c r="BJ33" s="285"/>
      <c r="BK33" s="285"/>
      <c r="BL33" s="285"/>
      <c r="BM33" s="285"/>
      <c r="BN33" s="285"/>
      <c r="BO33" s="285"/>
      <c r="BP33" s="285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8"/>
      <c r="CB33" s="27"/>
      <c r="CC33" s="27"/>
      <c r="CD33" s="69">
        <f>CG1</f>
        <v>28</v>
      </c>
      <c r="CE33" s="286">
        <f>CE32*24*CD33</f>
        <v>1624.0000000000002</v>
      </c>
      <c r="CF33" s="286"/>
      <c r="CG33" s="286">
        <f>CG32*24*CD33</f>
        <v>1022</v>
      </c>
      <c r="CH33" s="286"/>
      <c r="CI33" s="286">
        <f>CI32*24*CD33</f>
        <v>1120</v>
      </c>
      <c r="CJ33" s="286"/>
      <c r="CK33" s="286">
        <f>CK32*24*CD33</f>
        <v>1756.9999999999998</v>
      </c>
      <c r="CL33" s="286"/>
      <c r="CM33" s="286">
        <f>CM32*24*CD33</f>
        <v>2006.6666666666665</v>
      </c>
      <c r="CN33" s="286"/>
      <c r="CO33" s="286">
        <f>CO32*24*CD33</f>
        <v>2379.9999999999991</v>
      </c>
      <c r="CP33" s="286"/>
      <c r="CQ33" s="286">
        <f>CQ32*24*CD33</f>
        <v>1847.9999999999995</v>
      </c>
      <c r="CR33" s="286"/>
      <c r="CS33" s="31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</row>
    <row r="34" spans="1:200" s="23" customFormat="1" ht="14.25" customHeight="1">
      <c r="A34" s="54"/>
      <c r="B34" s="61" t="s">
        <v>271</v>
      </c>
      <c r="C34" s="71"/>
      <c r="D34" s="71" t="s">
        <v>272</v>
      </c>
      <c r="E34" s="71"/>
      <c r="F34" s="71"/>
      <c r="G34" s="71"/>
      <c r="H34" s="71"/>
      <c r="I34" s="71"/>
      <c r="J34" s="72"/>
      <c r="K34" s="290"/>
      <c r="L34" s="290"/>
      <c r="M34" s="290"/>
      <c r="N34" s="290"/>
      <c r="O34" s="290"/>
      <c r="P34" s="290"/>
      <c r="Q34" s="290"/>
      <c r="R34" s="290"/>
      <c r="S34" s="290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8"/>
      <c r="AE34" s="27"/>
      <c r="AF34" s="27"/>
      <c r="AG34" s="28" t="s">
        <v>258</v>
      </c>
      <c r="AH34" s="281">
        <f>100/AH5*AH33/100</f>
        <v>0.3332</v>
      </c>
      <c r="AI34" s="281"/>
      <c r="AJ34" s="281">
        <f>100/AJ5*AJ33/100</f>
        <v>0.27300000000000008</v>
      </c>
      <c r="AK34" s="281"/>
      <c r="AL34" s="281">
        <f>100/AL5*AL33/100</f>
        <v>0.52733333333333321</v>
      </c>
      <c r="AM34" s="281"/>
      <c r="AN34" s="281">
        <f>100/AN5*AN33/100</f>
        <v>-1.4875000000000001E-2</v>
      </c>
      <c r="AO34" s="281"/>
      <c r="AP34" s="281">
        <f>100/AP5*AP33/100</f>
        <v>0.18238888888888888</v>
      </c>
      <c r="AQ34" s="281"/>
      <c r="AR34" s="281">
        <f>100/AR5*AR33/100</f>
        <v>0.15166666666666667</v>
      </c>
      <c r="AS34" s="281"/>
      <c r="AT34" s="281">
        <f>100/AT5*AT33/100</f>
        <v>0.25600000000000001</v>
      </c>
      <c r="AU34" s="281"/>
      <c r="AV34" s="31"/>
      <c r="AW34" s="24"/>
      <c r="AX34" s="54"/>
      <c r="AY34" s="61" t="s">
        <v>271</v>
      </c>
      <c r="AZ34" s="71"/>
      <c r="BA34" s="71" t="s">
        <v>272</v>
      </c>
      <c r="BB34" s="71"/>
      <c r="BC34" s="71"/>
      <c r="BD34" s="71"/>
      <c r="BE34" s="71"/>
      <c r="BF34" s="71"/>
      <c r="BG34" s="72"/>
      <c r="BH34" s="290"/>
      <c r="BI34" s="290"/>
      <c r="BJ34" s="290"/>
      <c r="BK34" s="290"/>
      <c r="BL34" s="290"/>
      <c r="BM34" s="290"/>
      <c r="BN34" s="290"/>
      <c r="BO34" s="290"/>
      <c r="BP34" s="290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8"/>
      <c r="CB34" s="27"/>
      <c r="CC34" s="27"/>
      <c r="CD34" s="28" t="s">
        <v>258</v>
      </c>
      <c r="CE34" s="281">
        <f>100/CE5*CE33/100</f>
        <v>0.32480000000000003</v>
      </c>
      <c r="CF34" s="281"/>
      <c r="CG34" s="281">
        <f>100/CG5*CG33/100</f>
        <v>0.17033333333333331</v>
      </c>
      <c r="CH34" s="281"/>
      <c r="CI34" s="281">
        <f>100/CI5*CI33/100</f>
        <v>0.18666666666666668</v>
      </c>
      <c r="CJ34" s="281"/>
      <c r="CK34" s="281">
        <f>100/CK5*CK33/100</f>
        <v>0.21962499999999999</v>
      </c>
      <c r="CL34" s="281"/>
      <c r="CM34" s="281">
        <f>100/CM5*CM33/100</f>
        <v>0.16722222222222222</v>
      </c>
      <c r="CN34" s="281"/>
      <c r="CO34" s="281">
        <f>100/CO5*CO33/100</f>
        <v>0.19833333333333325</v>
      </c>
      <c r="CP34" s="281"/>
      <c r="CQ34" s="281">
        <f>100/CQ5*CQ33/100</f>
        <v>0.2639999999999999</v>
      </c>
      <c r="CR34" s="281"/>
      <c r="CS34" s="31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</row>
    <row r="35" spans="1:200" s="23" customFormat="1" ht="14.25" customHeight="1">
      <c r="A35" s="73"/>
      <c r="B35" s="74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E35" s="27"/>
      <c r="AF35" s="27"/>
      <c r="AG35" s="28" t="s">
        <v>273</v>
      </c>
      <c r="AH35" s="70">
        <f>SUM(AH34:AU34)</f>
        <v>1.7087138888888889</v>
      </c>
      <c r="AI35" s="76">
        <f>AH35/7</f>
        <v>0.24410198412698411</v>
      </c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31"/>
      <c r="AW35" s="24"/>
      <c r="AX35" s="73"/>
      <c r="AY35" s="74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B35" s="27"/>
      <c r="CC35" s="27"/>
      <c r="CD35" s="28" t="s">
        <v>273</v>
      </c>
      <c r="CE35" s="70">
        <f>SUM(CE34:CR34)</f>
        <v>1.5309805555555553</v>
      </c>
      <c r="CF35" s="76">
        <f>CE35/7</f>
        <v>0.2187115079365079</v>
      </c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31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</row>
    <row r="36" spans="1:200" s="23" customFormat="1" ht="14.25" customHeight="1">
      <c r="A36" s="20"/>
      <c r="B36" s="74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E36" s="192"/>
      <c r="AF36" s="24"/>
      <c r="AG36" s="24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25"/>
      <c r="AV36" s="26"/>
      <c r="AW36" s="24"/>
      <c r="AX36" s="20"/>
      <c r="AY36" s="74"/>
      <c r="AZ36" s="282"/>
      <c r="BA36" s="282"/>
      <c r="BB36" s="282"/>
      <c r="BC36" s="282"/>
      <c r="BD36" s="282"/>
      <c r="BE36" s="282"/>
      <c r="BF36" s="282"/>
      <c r="BG36" s="282"/>
      <c r="BH36" s="282"/>
      <c r="BI36" s="282"/>
      <c r="BJ36" s="282"/>
      <c r="BK36" s="282"/>
      <c r="BL36" s="282"/>
      <c r="BM36" s="282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B36" s="192"/>
      <c r="CC36" s="24"/>
      <c r="CD36" s="24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25"/>
      <c r="CS36" s="26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</row>
    <row r="37" spans="1:200" s="23" customFormat="1" ht="14.25" customHeight="1">
      <c r="A37" s="20"/>
      <c r="B37" s="74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E37" s="24"/>
      <c r="AF37" s="24"/>
      <c r="AG37" s="24"/>
      <c r="AH37" s="78"/>
      <c r="AI37" s="25"/>
      <c r="AJ37" s="78"/>
      <c r="AK37" s="25"/>
      <c r="AL37" s="78"/>
      <c r="AM37" s="25"/>
      <c r="AN37" s="78"/>
      <c r="AO37" s="25"/>
      <c r="AP37" s="78"/>
      <c r="AQ37" s="25"/>
      <c r="AR37" s="78"/>
      <c r="AS37" s="25"/>
      <c r="AT37" s="78"/>
      <c r="AU37" s="25"/>
      <c r="AV37" s="26"/>
      <c r="AW37" s="24"/>
      <c r="AX37" s="20"/>
      <c r="AY37" s="74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B37" s="24"/>
      <c r="CC37" s="24"/>
      <c r="CD37" s="24"/>
      <c r="CE37" s="78"/>
      <c r="CF37" s="25"/>
      <c r="CG37" s="78"/>
      <c r="CH37" s="25"/>
      <c r="CI37" s="78"/>
      <c r="CJ37" s="25"/>
      <c r="CK37" s="78"/>
      <c r="CL37" s="25"/>
      <c r="CM37" s="78"/>
      <c r="CN37" s="25"/>
      <c r="CO37" s="78"/>
      <c r="CP37" s="25"/>
      <c r="CQ37" s="78"/>
      <c r="CR37" s="25"/>
      <c r="CS37" s="26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</row>
    <row r="38" spans="1:200" s="23" customFormat="1" ht="14.25" customHeight="1">
      <c r="A38" s="348" t="s">
        <v>366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348"/>
      <c r="AB38" s="348"/>
      <c r="AC38" s="348"/>
      <c r="AD38" s="348"/>
      <c r="AE38" s="27"/>
      <c r="AF38" s="27"/>
      <c r="AG38" s="28" t="s">
        <v>244</v>
      </c>
      <c r="AH38" s="336" t="s">
        <v>245</v>
      </c>
      <c r="AI38" s="336"/>
      <c r="AJ38" s="29">
        <v>28</v>
      </c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1"/>
      <c r="AW38" s="24"/>
      <c r="AX38" s="348" t="s">
        <v>366</v>
      </c>
      <c r="AY38" s="348"/>
      <c r="AZ38" s="348"/>
      <c r="BA38" s="348"/>
      <c r="BB38" s="348"/>
      <c r="BC38" s="348"/>
      <c r="BD38" s="348"/>
      <c r="BE38" s="348"/>
      <c r="BF38" s="348"/>
      <c r="BG38" s="348"/>
      <c r="BH38" s="348"/>
      <c r="BI38" s="348"/>
      <c r="BJ38" s="348"/>
      <c r="BK38" s="348"/>
      <c r="BL38" s="348"/>
      <c r="BM38" s="348"/>
      <c r="BN38" s="348"/>
      <c r="BO38" s="348"/>
      <c r="BP38" s="348"/>
      <c r="BQ38" s="348"/>
      <c r="BR38" s="348"/>
      <c r="BS38" s="348"/>
      <c r="BT38" s="348"/>
      <c r="BU38" s="348"/>
      <c r="BV38" s="348"/>
      <c r="BW38" s="348"/>
      <c r="BX38" s="348"/>
      <c r="BY38" s="348"/>
      <c r="BZ38" s="348"/>
      <c r="CA38" s="348"/>
      <c r="CB38" s="27"/>
      <c r="CC38" s="27"/>
      <c r="CD38" s="28" t="s">
        <v>244</v>
      </c>
      <c r="CE38" s="336" t="s">
        <v>245</v>
      </c>
      <c r="CF38" s="336"/>
      <c r="CG38" s="29">
        <v>28</v>
      </c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1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</row>
    <row r="39" spans="1:200" s="23" customFormat="1" ht="14.25" customHeight="1" thickBot="1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27"/>
      <c r="AF39" s="27"/>
      <c r="AG39" s="32" t="str">
        <f>A40</f>
        <v>KW3</v>
      </c>
      <c r="AH39" s="337" t="s">
        <v>246</v>
      </c>
      <c r="AI39" s="337"/>
      <c r="AJ39" s="33">
        <v>42</v>
      </c>
      <c r="AK39" s="34">
        <f>AJ39/100</f>
        <v>0.42</v>
      </c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1"/>
      <c r="AW39" s="24"/>
      <c r="AX39" s="349"/>
      <c r="AY39" s="349"/>
      <c r="AZ39" s="349"/>
      <c r="BA39" s="349"/>
      <c r="BB39" s="349"/>
      <c r="BC39" s="349"/>
      <c r="BD39" s="349"/>
      <c r="BE39" s="349"/>
      <c r="BF39" s="349"/>
      <c r="BG39" s="349"/>
      <c r="BH39" s="349"/>
      <c r="BI39" s="349"/>
      <c r="BJ39" s="349"/>
      <c r="BK39" s="349"/>
      <c r="BL39" s="349"/>
      <c r="BM39" s="349"/>
      <c r="BN39" s="349"/>
      <c r="BO39" s="349"/>
      <c r="BP39" s="349"/>
      <c r="BQ39" s="349"/>
      <c r="BR39" s="349"/>
      <c r="BS39" s="349"/>
      <c r="BT39" s="349"/>
      <c r="BU39" s="349"/>
      <c r="BV39" s="349"/>
      <c r="BW39" s="349"/>
      <c r="BX39" s="349"/>
      <c r="BY39" s="349"/>
      <c r="BZ39" s="349"/>
      <c r="CA39" s="349"/>
      <c r="CB39" s="27"/>
      <c r="CC39" s="27"/>
      <c r="CD39" s="32" t="str">
        <f>AX40</f>
        <v>KW 4</v>
      </c>
      <c r="CE39" s="337" t="s">
        <v>246</v>
      </c>
      <c r="CF39" s="337"/>
      <c r="CG39" s="33">
        <v>42</v>
      </c>
      <c r="CH39" s="34">
        <f>CG39/100</f>
        <v>0.42</v>
      </c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1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</row>
    <row r="40" spans="1:200" s="23" customFormat="1" ht="14.25" customHeight="1" thickBot="1">
      <c r="A40" s="338" t="s">
        <v>409</v>
      </c>
      <c r="B40" s="339" t="s">
        <v>247</v>
      </c>
      <c r="C40" s="331" t="s">
        <v>248</v>
      </c>
      <c r="D40" s="331"/>
      <c r="E40" s="331"/>
      <c r="F40" s="331"/>
      <c r="G40" s="330" t="s">
        <v>249</v>
      </c>
      <c r="H40" s="330"/>
      <c r="I40" s="330"/>
      <c r="J40" s="330"/>
      <c r="K40" s="331" t="s">
        <v>250</v>
      </c>
      <c r="L40" s="331"/>
      <c r="M40" s="331"/>
      <c r="N40" s="331"/>
      <c r="O40" s="331" t="s">
        <v>251</v>
      </c>
      <c r="P40" s="331"/>
      <c r="Q40" s="331"/>
      <c r="R40" s="331"/>
      <c r="S40" s="331" t="s">
        <v>252</v>
      </c>
      <c r="T40" s="331"/>
      <c r="U40" s="331"/>
      <c r="V40" s="331"/>
      <c r="W40" s="331" t="s">
        <v>253</v>
      </c>
      <c r="X40" s="331"/>
      <c r="Y40" s="331"/>
      <c r="Z40" s="331"/>
      <c r="AA40" s="331" t="s">
        <v>254</v>
      </c>
      <c r="AB40" s="331"/>
      <c r="AC40" s="331"/>
      <c r="AD40" s="331"/>
      <c r="AE40" s="342" t="s">
        <v>255</v>
      </c>
      <c r="AF40" s="343" t="s">
        <v>256</v>
      </c>
      <c r="AG40" s="344" t="s">
        <v>257</v>
      </c>
      <c r="AH40" s="329" t="str">
        <f>C40</f>
        <v>MONTAG</v>
      </c>
      <c r="AI40" s="329"/>
      <c r="AJ40" s="329" t="str">
        <f>G40</f>
        <v>DIENSTAG</v>
      </c>
      <c r="AK40" s="329"/>
      <c r="AL40" s="329" t="str">
        <f>K40</f>
        <v>MITTWOCH</v>
      </c>
      <c r="AM40" s="329"/>
      <c r="AN40" s="329" t="str">
        <f>O40</f>
        <v>DONNERSTAG</v>
      </c>
      <c r="AO40" s="329"/>
      <c r="AP40" s="329" t="str">
        <f>S40</f>
        <v>FREITAG</v>
      </c>
      <c r="AQ40" s="329"/>
      <c r="AR40" s="329" t="str">
        <f>W40</f>
        <v>SAMSTAG</v>
      </c>
      <c r="AS40" s="329"/>
      <c r="AT40" s="329" t="str">
        <f>AA40</f>
        <v>SONNTAG</v>
      </c>
      <c r="AU40" s="329"/>
      <c r="AV40" s="35"/>
      <c r="AW40" s="24"/>
      <c r="AX40" s="338" t="s">
        <v>410</v>
      </c>
      <c r="AY40" s="339" t="s">
        <v>247</v>
      </c>
      <c r="AZ40" s="331" t="s">
        <v>248</v>
      </c>
      <c r="BA40" s="331"/>
      <c r="BB40" s="331"/>
      <c r="BC40" s="331"/>
      <c r="BD40" s="330" t="s">
        <v>249</v>
      </c>
      <c r="BE40" s="330"/>
      <c r="BF40" s="330"/>
      <c r="BG40" s="330"/>
      <c r="BH40" s="331" t="s">
        <v>250</v>
      </c>
      <c r="BI40" s="331"/>
      <c r="BJ40" s="331"/>
      <c r="BK40" s="331"/>
      <c r="BL40" s="331" t="s">
        <v>251</v>
      </c>
      <c r="BM40" s="331"/>
      <c r="BN40" s="331"/>
      <c r="BO40" s="331"/>
      <c r="BP40" s="331" t="s">
        <v>252</v>
      </c>
      <c r="BQ40" s="331"/>
      <c r="BR40" s="331"/>
      <c r="BS40" s="331"/>
      <c r="BT40" s="331" t="s">
        <v>253</v>
      </c>
      <c r="BU40" s="331"/>
      <c r="BV40" s="331"/>
      <c r="BW40" s="331"/>
      <c r="BX40" s="331" t="s">
        <v>254</v>
      </c>
      <c r="BY40" s="331"/>
      <c r="BZ40" s="331"/>
      <c r="CA40" s="331"/>
      <c r="CB40" s="342" t="s">
        <v>255</v>
      </c>
      <c r="CC40" s="343" t="s">
        <v>256</v>
      </c>
      <c r="CD40" s="344" t="s">
        <v>257</v>
      </c>
      <c r="CE40" s="329" t="str">
        <f>AZ40</f>
        <v>MONTAG</v>
      </c>
      <c r="CF40" s="329"/>
      <c r="CG40" s="329" t="str">
        <f>BD40</f>
        <v>DIENSTAG</v>
      </c>
      <c r="CH40" s="329"/>
      <c r="CI40" s="329" t="str">
        <f>BH40</f>
        <v>MITTWOCH</v>
      </c>
      <c r="CJ40" s="329"/>
      <c r="CK40" s="329" t="str">
        <f>BL40</f>
        <v>DONNERSTAG</v>
      </c>
      <c r="CL40" s="329"/>
      <c r="CM40" s="329" t="str">
        <f>BP40</f>
        <v>FREITAG</v>
      </c>
      <c r="CN40" s="329"/>
      <c r="CO40" s="329" t="str">
        <f>BT40</f>
        <v>SAMSTAG</v>
      </c>
      <c r="CP40" s="329"/>
      <c r="CQ40" s="329" t="str">
        <f>BX40</f>
        <v>SONNTAG</v>
      </c>
      <c r="CR40" s="329"/>
      <c r="CS40" s="35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</row>
    <row r="41" spans="1:200" s="23" customFormat="1" ht="14.25" customHeight="1" thickBot="1">
      <c r="A41" s="338"/>
      <c r="B41" s="339"/>
      <c r="C41" s="330">
        <v>46034</v>
      </c>
      <c r="D41" s="330"/>
      <c r="E41" s="330"/>
      <c r="F41" s="330"/>
      <c r="G41" s="331">
        <f>C41+1</f>
        <v>46035</v>
      </c>
      <c r="H41" s="331"/>
      <c r="I41" s="331"/>
      <c r="J41" s="331"/>
      <c r="K41" s="332">
        <f>G41+1</f>
        <v>46036</v>
      </c>
      <c r="L41" s="330"/>
      <c r="M41" s="330"/>
      <c r="N41" s="330"/>
      <c r="O41" s="330">
        <f>K41+1</f>
        <v>46037</v>
      </c>
      <c r="P41" s="330"/>
      <c r="Q41" s="330"/>
      <c r="R41" s="330"/>
      <c r="S41" s="330">
        <f>O41+1</f>
        <v>46038</v>
      </c>
      <c r="T41" s="330"/>
      <c r="U41" s="330"/>
      <c r="V41" s="330"/>
      <c r="W41" s="330">
        <f>S41+1</f>
        <v>46039</v>
      </c>
      <c r="X41" s="330"/>
      <c r="Y41" s="330"/>
      <c r="Z41" s="330"/>
      <c r="AA41" s="330">
        <f>W41+1</f>
        <v>46040</v>
      </c>
      <c r="AB41" s="330"/>
      <c r="AC41" s="330"/>
      <c r="AD41" s="330"/>
      <c r="AE41" s="342"/>
      <c r="AF41" s="343"/>
      <c r="AG41" s="344"/>
      <c r="AH41" s="333">
        <f>C41</f>
        <v>46034</v>
      </c>
      <c r="AI41" s="333"/>
      <c r="AJ41" s="334">
        <f>C41+1</f>
        <v>46035</v>
      </c>
      <c r="AK41" s="335"/>
      <c r="AL41" s="334">
        <f>G41+1</f>
        <v>46036</v>
      </c>
      <c r="AM41" s="335"/>
      <c r="AN41" s="334">
        <f>K41+1</f>
        <v>46037</v>
      </c>
      <c r="AO41" s="335"/>
      <c r="AP41" s="334">
        <f>S41</f>
        <v>46038</v>
      </c>
      <c r="AQ41" s="335"/>
      <c r="AR41" s="334">
        <f>W41</f>
        <v>46039</v>
      </c>
      <c r="AS41" s="335"/>
      <c r="AT41" s="334">
        <f>AA41</f>
        <v>46040</v>
      </c>
      <c r="AU41" s="335"/>
      <c r="AV41" s="35"/>
      <c r="AW41" s="24"/>
      <c r="AX41" s="338"/>
      <c r="AY41" s="339"/>
      <c r="AZ41" s="330">
        <v>46041</v>
      </c>
      <c r="BA41" s="330"/>
      <c r="BB41" s="330"/>
      <c r="BC41" s="330"/>
      <c r="BD41" s="331">
        <f>AZ41+1</f>
        <v>46042</v>
      </c>
      <c r="BE41" s="331"/>
      <c r="BF41" s="331"/>
      <c r="BG41" s="331"/>
      <c r="BH41" s="332">
        <f>BD41+1</f>
        <v>46043</v>
      </c>
      <c r="BI41" s="330"/>
      <c r="BJ41" s="330"/>
      <c r="BK41" s="330"/>
      <c r="BL41" s="330">
        <f>BH41+1</f>
        <v>46044</v>
      </c>
      <c r="BM41" s="330"/>
      <c r="BN41" s="330"/>
      <c r="BO41" s="330"/>
      <c r="BP41" s="330">
        <f>BL41+1</f>
        <v>46045</v>
      </c>
      <c r="BQ41" s="330"/>
      <c r="BR41" s="330"/>
      <c r="BS41" s="330"/>
      <c r="BT41" s="330">
        <f>BP41+1</f>
        <v>46046</v>
      </c>
      <c r="BU41" s="330"/>
      <c r="BV41" s="330"/>
      <c r="BW41" s="330"/>
      <c r="BX41" s="330">
        <f>BT41+1</f>
        <v>46047</v>
      </c>
      <c r="BY41" s="330"/>
      <c r="BZ41" s="330"/>
      <c r="CA41" s="330"/>
      <c r="CB41" s="342"/>
      <c r="CC41" s="343"/>
      <c r="CD41" s="344"/>
      <c r="CE41" s="333">
        <f>AZ41</f>
        <v>46041</v>
      </c>
      <c r="CF41" s="333"/>
      <c r="CG41" s="334">
        <f>AZ41+1</f>
        <v>46042</v>
      </c>
      <c r="CH41" s="335"/>
      <c r="CI41" s="334">
        <f>BD41+1</f>
        <v>46043</v>
      </c>
      <c r="CJ41" s="335"/>
      <c r="CK41" s="334">
        <f>BH41+1</f>
        <v>46044</v>
      </c>
      <c r="CL41" s="335"/>
      <c r="CM41" s="334">
        <f>BP41</f>
        <v>46045</v>
      </c>
      <c r="CN41" s="335"/>
      <c r="CO41" s="334">
        <f>BT41</f>
        <v>46046</v>
      </c>
      <c r="CP41" s="335"/>
      <c r="CQ41" s="334">
        <f>BX41</f>
        <v>46047</v>
      </c>
      <c r="CR41" s="335"/>
      <c r="CS41" s="35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</row>
    <row r="42" spans="1:200" s="23" customFormat="1" ht="14.25" customHeight="1" thickBot="1">
      <c r="A42" s="338"/>
      <c r="B42" s="339"/>
      <c r="C42" s="345" t="s">
        <v>258</v>
      </c>
      <c r="D42" s="345"/>
      <c r="E42" s="346">
        <f>AH70</f>
        <v>0.41720000000000002</v>
      </c>
      <c r="F42" s="346"/>
      <c r="G42" s="293" t="s">
        <v>258</v>
      </c>
      <c r="H42" s="293"/>
      <c r="I42" s="294">
        <f>AJ70</f>
        <v>0.19366666666666668</v>
      </c>
      <c r="J42" s="294"/>
      <c r="K42" s="347" t="s">
        <v>258</v>
      </c>
      <c r="L42" s="293"/>
      <c r="M42" s="294">
        <f>AL70</f>
        <v>0.21933333333333332</v>
      </c>
      <c r="N42" s="294"/>
      <c r="O42" s="293" t="s">
        <v>258</v>
      </c>
      <c r="P42" s="293"/>
      <c r="Q42" s="294">
        <f>AN70</f>
        <v>0.16537499999999997</v>
      </c>
      <c r="R42" s="294"/>
      <c r="S42" s="293" t="s">
        <v>258</v>
      </c>
      <c r="T42" s="293"/>
      <c r="U42" s="294">
        <f>AP70</f>
        <v>0.17888888888888893</v>
      </c>
      <c r="V42" s="294"/>
      <c r="W42" s="293" t="s">
        <v>258</v>
      </c>
      <c r="X42" s="293"/>
      <c r="Y42" s="294">
        <f>AR70</f>
        <v>0.19133333333333324</v>
      </c>
      <c r="Z42" s="294"/>
      <c r="AA42" s="293" t="s">
        <v>258</v>
      </c>
      <c r="AB42" s="293"/>
      <c r="AC42" s="294">
        <f>AT70</f>
        <v>0.24399999999999991</v>
      </c>
      <c r="AD42" s="294"/>
      <c r="AE42" s="36">
        <f>AI71</f>
        <v>0.22997103174603173</v>
      </c>
      <c r="AF42" s="343"/>
      <c r="AG42" s="344"/>
      <c r="AH42" s="320">
        <v>5000</v>
      </c>
      <c r="AI42" s="320"/>
      <c r="AJ42" s="320">
        <v>6000</v>
      </c>
      <c r="AK42" s="320"/>
      <c r="AL42" s="320">
        <v>6000</v>
      </c>
      <c r="AM42" s="320"/>
      <c r="AN42" s="320">
        <v>8000</v>
      </c>
      <c r="AO42" s="320"/>
      <c r="AP42" s="320">
        <v>12000</v>
      </c>
      <c r="AQ42" s="320"/>
      <c r="AR42" s="320">
        <v>12000</v>
      </c>
      <c r="AS42" s="320"/>
      <c r="AT42" s="320">
        <v>7000</v>
      </c>
      <c r="AU42" s="320"/>
      <c r="AV42" s="35"/>
      <c r="AW42" s="24"/>
      <c r="AX42" s="338"/>
      <c r="AY42" s="339"/>
      <c r="AZ42" s="345" t="s">
        <v>258</v>
      </c>
      <c r="BA42" s="345"/>
      <c r="BB42" s="346">
        <f>CE70</f>
        <v>0.26600000000000001</v>
      </c>
      <c r="BC42" s="346"/>
      <c r="BD42" s="293" t="s">
        <v>258</v>
      </c>
      <c r="BE42" s="293"/>
      <c r="BF42" s="294">
        <f>CG70</f>
        <v>0.22633333333333339</v>
      </c>
      <c r="BG42" s="294"/>
      <c r="BH42" s="347" t="s">
        <v>258</v>
      </c>
      <c r="BI42" s="293"/>
      <c r="BJ42" s="294">
        <f>CI70</f>
        <v>0.20999999999999996</v>
      </c>
      <c r="BK42" s="294"/>
      <c r="BL42" s="293" t="s">
        <v>258</v>
      </c>
      <c r="BM42" s="293"/>
      <c r="BN42" s="294">
        <f>CK70</f>
        <v>0.21787499999999993</v>
      </c>
      <c r="BO42" s="294"/>
      <c r="BP42" s="293" t="s">
        <v>258</v>
      </c>
      <c r="BQ42" s="293"/>
      <c r="BR42" s="294">
        <f>CM70</f>
        <v>0.17072222222222219</v>
      </c>
      <c r="BS42" s="294"/>
      <c r="BT42" s="293" t="s">
        <v>258</v>
      </c>
      <c r="BU42" s="293"/>
      <c r="BV42" s="294">
        <f>CO70</f>
        <v>0.21116666666666667</v>
      </c>
      <c r="BW42" s="294"/>
      <c r="BX42" s="293" t="s">
        <v>258</v>
      </c>
      <c r="BY42" s="293"/>
      <c r="BZ42" s="294">
        <f>CQ70</f>
        <v>0.19399999999999995</v>
      </c>
      <c r="CA42" s="294"/>
      <c r="CB42" s="36">
        <f>CF71</f>
        <v>0.21372817460317459</v>
      </c>
      <c r="CC42" s="343"/>
      <c r="CD42" s="344"/>
      <c r="CE42" s="320">
        <v>5000</v>
      </c>
      <c r="CF42" s="320"/>
      <c r="CG42" s="320">
        <v>6000</v>
      </c>
      <c r="CH42" s="320"/>
      <c r="CI42" s="320">
        <v>6000</v>
      </c>
      <c r="CJ42" s="320"/>
      <c r="CK42" s="320">
        <v>8000</v>
      </c>
      <c r="CL42" s="320"/>
      <c r="CM42" s="320">
        <v>12000</v>
      </c>
      <c r="CN42" s="320"/>
      <c r="CO42" s="320">
        <v>12000</v>
      </c>
      <c r="CP42" s="320"/>
      <c r="CQ42" s="320">
        <v>7000</v>
      </c>
      <c r="CR42" s="320"/>
      <c r="CS42" s="35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</row>
    <row r="43" spans="1:200" s="23" customFormat="1" ht="14.25" customHeight="1" thickBot="1">
      <c r="A43" s="338"/>
      <c r="B43" s="340"/>
      <c r="C43" s="221"/>
      <c r="D43" s="222"/>
      <c r="E43" s="223"/>
      <c r="F43" s="224"/>
      <c r="G43" s="221"/>
      <c r="H43" s="222"/>
      <c r="I43" s="223"/>
      <c r="J43" s="224"/>
      <c r="K43" s="221"/>
      <c r="L43" s="222"/>
      <c r="M43" s="223"/>
      <c r="N43" s="224"/>
      <c r="O43" s="221"/>
      <c r="P43" s="222"/>
      <c r="Q43" s="223"/>
      <c r="R43" s="224"/>
      <c r="S43" s="221"/>
      <c r="T43" s="222"/>
      <c r="U43" s="223"/>
      <c r="V43" s="224"/>
      <c r="W43" s="221"/>
      <c r="X43" s="222"/>
      <c r="Y43" s="223"/>
      <c r="Z43" s="224"/>
      <c r="AA43" s="221"/>
      <c r="AB43" s="222"/>
      <c r="AC43" s="223"/>
      <c r="AD43" s="224"/>
      <c r="AE43" s="38"/>
      <c r="AF43" s="343"/>
      <c r="AG43" s="344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35"/>
      <c r="AW43" s="24"/>
      <c r="AX43" s="338"/>
      <c r="AY43" s="340"/>
      <c r="AZ43" s="221"/>
      <c r="BA43" s="222"/>
      <c r="BB43" s="223"/>
      <c r="BC43" s="224"/>
      <c r="BD43" s="221"/>
      <c r="BE43" s="222"/>
      <c r="BF43" s="223"/>
      <c r="BG43" s="224"/>
      <c r="BH43" s="221"/>
      <c r="BI43" s="222"/>
      <c r="BJ43" s="223"/>
      <c r="BK43" s="224"/>
      <c r="BL43" s="221"/>
      <c r="BM43" s="222"/>
      <c r="BN43" s="223"/>
      <c r="BO43" s="224"/>
      <c r="BP43" s="221"/>
      <c r="BQ43" s="222"/>
      <c r="BR43" s="223"/>
      <c r="BS43" s="224"/>
      <c r="BT43" s="221"/>
      <c r="BU43" s="222"/>
      <c r="BV43" s="223"/>
      <c r="BW43" s="224"/>
      <c r="BX43" s="221"/>
      <c r="BY43" s="222"/>
      <c r="BZ43" s="223"/>
      <c r="CA43" s="224"/>
      <c r="CB43" s="38"/>
      <c r="CC43" s="343"/>
      <c r="CD43" s="344"/>
      <c r="CE43" s="220"/>
      <c r="CF43" s="220"/>
      <c r="CG43" s="220"/>
      <c r="CH43" s="220"/>
      <c r="CI43" s="220"/>
      <c r="CJ43" s="220"/>
      <c r="CK43" s="220"/>
      <c r="CL43" s="220"/>
      <c r="CM43" s="220"/>
      <c r="CN43" s="220"/>
      <c r="CO43" s="220"/>
      <c r="CP43" s="220"/>
      <c r="CQ43" s="220"/>
      <c r="CR43" s="220"/>
      <c r="CS43" s="35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</row>
    <row r="44" spans="1:200" s="23" customFormat="1" ht="14.25" customHeight="1" thickBot="1">
      <c r="A44" s="338"/>
      <c r="B44" s="340"/>
      <c r="C44" s="350" t="s">
        <v>415</v>
      </c>
      <c r="D44" s="351"/>
      <c r="E44" s="351"/>
      <c r="F44" s="351"/>
      <c r="G44" s="221"/>
      <c r="H44" s="222"/>
      <c r="I44" s="223"/>
      <c r="J44" s="224"/>
      <c r="K44" s="229"/>
      <c r="L44" s="222"/>
      <c r="M44" s="223"/>
      <c r="N44" s="224"/>
      <c r="O44" s="221"/>
      <c r="P44" s="222"/>
      <c r="Q44" s="223"/>
      <c r="R44" s="224"/>
      <c r="S44" s="221"/>
      <c r="T44" s="222"/>
      <c r="U44" s="223"/>
      <c r="V44" s="224"/>
      <c r="W44" s="221"/>
      <c r="X44" s="222"/>
      <c r="Y44" s="223"/>
      <c r="Z44" s="224"/>
      <c r="AA44" s="221"/>
      <c r="AB44" s="222"/>
      <c r="AC44" s="223"/>
      <c r="AD44" s="224"/>
      <c r="AE44" s="38"/>
      <c r="AF44" s="343"/>
      <c r="AG44" s="344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35"/>
      <c r="AW44" s="24"/>
      <c r="AX44" s="338"/>
      <c r="AY44" s="340"/>
      <c r="AZ44" s="225"/>
      <c r="BA44" s="226"/>
      <c r="BB44" s="227"/>
      <c r="BC44" s="228"/>
      <c r="BD44" s="350"/>
      <c r="BE44" s="351"/>
      <c r="BF44" s="351"/>
      <c r="BG44" s="351"/>
      <c r="BH44" s="229"/>
      <c r="BI44" s="222"/>
      <c r="BJ44" s="223"/>
      <c r="BK44" s="224"/>
      <c r="BL44" s="350" t="s">
        <v>416</v>
      </c>
      <c r="BM44" s="351"/>
      <c r="BN44" s="351"/>
      <c r="BO44" s="351"/>
      <c r="BP44" s="350"/>
      <c r="BQ44" s="351"/>
      <c r="BR44" s="351"/>
      <c r="BS44" s="351"/>
      <c r="BT44" s="221"/>
      <c r="BU44" s="222"/>
      <c r="BV44" s="223"/>
      <c r="BW44" s="224"/>
      <c r="BX44" s="221"/>
      <c r="BY44" s="222"/>
      <c r="BZ44" s="223"/>
      <c r="CA44" s="224"/>
      <c r="CB44" s="38"/>
      <c r="CC44" s="343"/>
      <c r="CD44" s="344"/>
      <c r="CE44" s="220"/>
      <c r="CF44" s="220"/>
      <c r="CG44" s="220"/>
      <c r="CH44" s="220"/>
      <c r="CI44" s="220"/>
      <c r="CJ44" s="220"/>
      <c r="CK44" s="220"/>
      <c r="CL44" s="220"/>
      <c r="CM44" s="220"/>
      <c r="CN44" s="220"/>
      <c r="CO44" s="220"/>
      <c r="CP44" s="220"/>
      <c r="CQ44" s="220"/>
      <c r="CR44" s="220"/>
      <c r="CS44" s="35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</row>
    <row r="45" spans="1:200" s="23" customFormat="1" ht="14.25" customHeight="1" thickBot="1">
      <c r="A45" s="338"/>
      <c r="B45" s="340"/>
      <c r="C45" s="225"/>
      <c r="D45" s="226"/>
      <c r="E45" s="227"/>
      <c r="F45" s="228"/>
      <c r="G45" s="221"/>
      <c r="H45" s="222"/>
      <c r="I45" s="223"/>
      <c r="J45" s="224"/>
      <c r="K45" s="229"/>
      <c r="L45" s="222"/>
      <c r="M45" s="223"/>
      <c r="N45" s="224"/>
      <c r="O45" s="221"/>
      <c r="P45" s="222"/>
      <c r="Q45" s="223"/>
      <c r="R45" s="224"/>
      <c r="S45" s="221"/>
      <c r="T45" s="222"/>
      <c r="U45" s="223"/>
      <c r="V45" s="224"/>
      <c r="W45" s="221"/>
      <c r="X45" s="222"/>
      <c r="Y45" s="223"/>
      <c r="Z45" s="224"/>
      <c r="AA45" s="221"/>
      <c r="AB45" s="222"/>
      <c r="AC45" s="223"/>
      <c r="AD45" s="224"/>
      <c r="AE45" s="38"/>
      <c r="AF45" s="343"/>
      <c r="AG45" s="344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35"/>
      <c r="AW45" s="24"/>
      <c r="AX45" s="338"/>
      <c r="AY45" s="340"/>
      <c r="AZ45" s="225"/>
      <c r="BA45" s="226"/>
      <c r="BB45" s="227"/>
      <c r="BC45" s="228"/>
      <c r="BD45" s="221"/>
      <c r="BE45" s="222"/>
      <c r="BF45" s="223"/>
      <c r="BG45" s="224"/>
      <c r="BH45" s="229"/>
      <c r="BI45" s="222"/>
      <c r="BJ45" s="223"/>
      <c r="BK45" s="224"/>
      <c r="BL45" s="221"/>
      <c r="BM45" s="222"/>
      <c r="BN45" s="223"/>
      <c r="BO45" s="224"/>
      <c r="BP45" s="221"/>
      <c r="BQ45" s="222"/>
      <c r="BR45" s="223"/>
      <c r="BS45" s="224"/>
      <c r="BT45" s="221"/>
      <c r="BU45" s="222"/>
      <c r="BV45" s="223"/>
      <c r="BW45" s="224"/>
      <c r="BX45" s="221"/>
      <c r="BY45" s="222"/>
      <c r="BZ45" s="223"/>
      <c r="CA45" s="224"/>
      <c r="CB45" s="38"/>
      <c r="CC45" s="343"/>
      <c r="CD45" s="344"/>
      <c r="CE45" s="220"/>
      <c r="CF45" s="220"/>
      <c r="CG45" s="220"/>
      <c r="CH45" s="220"/>
      <c r="CI45" s="220"/>
      <c r="CJ45" s="220"/>
      <c r="CK45" s="220"/>
      <c r="CL45" s="220"/>
      <c r="CM45" s="220"/>
      <c r="CN45" s="220"/>
      <c r="CO45" s="220"/>
      <c r="CP45" s="220"/>
      <c r="CQ45" s="220"/>
      <c r="CR45" s="220"/>
      <c r="CS45" s="35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</row>
    <row r="46" spans="1:200" s="23" customFormat="1" ht="14.25" customHeight="1" thickBot="1">
      <c r="A46" s="338"/>
      <c r="B46" s="341"/>
      <c r="C46" s="322" t="s">
        <v>259</v>
      </c>
      <c r="D46" s="322"/>
      <c r="E46" s="323" t="s">
        <v>260</v>
      </c>
      <c r="F46" s="323"/>
      <c r="G46" s="324" t="s">
        <v>259</v>
      </c>
      <c r="H46" s="324"/>
      <c r="I46" s="325" t="s">
        <v>260</v>
      </c>
      <c r="J46" s="325"/>
      <c r="K46" s="326" t="s">
        <v>259</v>
      </c>
      <c r="L46" s="324"/>
      <c r="M46" s="325" t="s">
        <v>260</v>
      </c>
      <c r="N46" s="325"/>
      <c r="O46" s="324" t="s">
        <v>259</v>
      </c>
      <c r="P46" s="324"/>
      <c r="Q46" s="325" t="s">
        <v>260</v>
      </c>
      <c r="R46" s="325"/>
      <c r="S46" s="327" t="s">
        <v>259</v>
      </c>
      <c r="T46" s="327"/>
      <c r="U46" s="328" t="s">
        <v>260</v>
      </c>
      <c r="V46" s="328"/>
      <c r="W46" s="327" t="s">
        <v>259</v>
      </c>
      <c r="X46" s="327"/>
      <c r="Y46" s="328" t="s">
        <v>260</v>
      </c>
      <c r="Z46" s="328"/>
      <c r="AA46" s="324" t="s">
        <v>259</v>
      </c>
      <c r="AB46" s="324"/>
      <c r="AC46" s="325" t="s">
        <v>260</v>
      </c>
      <c r="AD46" s="325"/>
      <c r="AE46" s="38" t="s">
        <v>261</v>
      </c>
      <c r="AF46" s="343"/>
      <c r="AG46" s="344"/>
      <c r="AH46" s="39" t="s">
        <v>259</v>
      </c>
      <c r="AI46" s="40" t="s">
        <v>260</v>
      </c>
      <c r="AJ46" s="39" t="s">
        <v>259</v>
      </c>
      <c r="AK46" s="40" t="s">
        <v>260</v>
      </c>
      <c r="AL46" s="39" t="s">
        <v>259</v>
      </c>
      <c r="AM46" s="40" t="s">
        <v>260</v>
      </c>
      <c r="AN46" s="39" t="s">
        <v>259</v>
      </c>
      <c r="AO46" s="40" t="s">
        <v>260</v>
      </c>
      <c r="AP46" s="39" t="s">
        <v>259</v>
      </c>
      <c r="AQ46" s="40" t="s">
        <v>260</v>
      </c>
      <c r="AR46" s="39" t="s">
        <v>259</v>
      </c>
      <c r="AS46" s="40" t="s">
        <v>260</v>
      </c>
      <c r="AT46" s="39" t="s">
        <v>259</v>
      </c>
      <c r="AU46" s="40" t="s">
        <v>260</v>
      </c>
      <c r="AV46" s="31"/>
      <c r="AW46" s="24"/>
      <c r="AX46" s="338"/>
      <c r="AY46" s="341"/>
      <c r="AZ46" s="322" t="s">
        <v>259</v>
      </c>
      <c r="BA46" s="322"/>
      <c r="BB46" s="323" t="s">
        <v>260</v>
      </c>
      <c r="BC46" s="323"/>
      <c r="BD46" s="324" t="s">
        <v>259</v>
      </c>
      <c r="BE46" s="324"/>
      <c r="BF46" s="325" t="s">
        <v>260</v>
      </c>
      <c r="BG46" s="325"/>
      <c r="BH46" s="326" t="s">
        <v>259</v>
      </c>
      <c r="BI46" s="324"/>
      <c r="BJ46" s="325" t="s">
        <v>260</v>
      </c>
      <c r="BK46" s="325"/>
      <c r="BL46" s="324" t="s">
        <v>259</v>
      </c>
      <c r="BM46" s="324"/>
      <c r="BN46" s="325" t="s">
        <v>260</v>
      </c>
      <c r="BO46" s="325"/>
      <c r="BP46" s="327" t="s">
        <v>259</v>
      </c>
      <c r="BQ46" s="327"/>
      <c r="BR46" s="328" t="s">
        <v>260</v>
      </c>
      <c r="BS46" s="328"/>
      <c r="BT46" s="327" t="s">
        <v>259</v>
      </c>
      <c r="BU46" s="327"/>
      <c r="BV46" s="328" t="s">
        <v>260</v>
      </c>
      <c r="BW46" s="328"/>
      <c r="BX46" s="324" t="s">
        <v>259</v>
      </c>
      <c r="BY46" s="324"/>
      <c r="BZ46" s="325" t="s">
        <v>260</v>
      </c>
      <c r="CA46" s="325"/>
      <c r="CB46" s="38" t="s">
        <v>261</v>
      </c>
      <c r="CC46" s="343"/>
      <c r="CD46" s="344"/>
      <c r="CE46" s="39" t="s">
        <v>259</v>
      </c>
      <c r="CF46" s="40" t="s">
        <v>260</v>
      </c>
      <c r="CG46" s="39" t="s">
        <v>259</v>
      </c>
      <c r="CH46" s="40" t="s">
        <v>260</v>
      </c>
      <c r="CI46" s="39" t="s">
        <v>259</v>
      </c>
      <c r="CJ46" s="40" t="s">
        <v>260</v>
      </c>
      <c r="CK46" s="39" t="s">
        <v>259</v>
      </c>
      <c r="CL46" s="40" t="s">
        <v>260</v>
      </c>
      <c r="CM46" s="39" t="s">
        <v>259</v>
      </c>
      <c r="CN46" s="40" t="s">
        <v>260</v>
      </c>
      <c r="CO46" s="39" t="s">
        <v>259</v>
      </c>
      <c r="CP46" s="40" t="s">
        <v>260</v>
      </c>
      <c r="CQ46" s="39" t="s">
        <v>259</v>
      </c>
      <c r="CR46" s="40" t="s">
        <v>260</v>
      </c>
      <c r="CS46" s="31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</row>
    <row r="47" spans="1:200" s="23" customFormat="1" ht="14.25" customHeight="1">
      <c r="A47" s="213"/>
      <c r="B47" s="231" t="s">
        <v>397</v>
      </c>
      <c r="C47" s="243"/>
      <c r="D47" s="244"/>
      <c r="E47" s="244"/>
      <c r="F47" s="245"/>
      <c r="G47" s="243"/>
      <c r="H47" s="244"/>
      <c r="I47" s="244"/>
      <c r="J47" s="245"/>
      <c r="K47" s="243"/>
      <c r="L47" s="244"/>
      <c r="M47" s="244"/>
      <c r="N47" s="245"/>
      <c r="O47" s="243"/>
      <c r="P47" s="244"/>
      <c r="Q47" s="244"/>
      <c r="R47" s="245"/>
      <c r="S47" s="243"/>
      <c r="T47" s="244"/>
      <c r="U47" s="244"/>
      <c r="V47" s="245"/>
      <c r="W47" s="243"/>
      <c r="X47" s="244"/>
      <c r="Y47" s="244"/>
      <c r="Z47" s="245"/>
      <c r="AA47" s="217"/>
      <c r="AB47" s="214"/>
      <c r="AC47" s="214"/>
      <c r="AD47" s="215"/>
      <c r="AE47" s="237"/>
      <c r="AF47" s="193"/>
      <c r="AG47" s="344"/>
      <c r="AH47" s="191">
        <f t="shared" ref="AH47:AH48" si="39">IF(ISERROR(VALUE((MOD(D47-C47,1))))=TRUE,0,MOD(D47-C47,1))</f>
        <v>0</v>
      </c>
      <c r="AI47" s="191">
        <f t="shared" ref="AI47:AI63" si="40">IF(ISERROR(VALUE((MOD(F47-E47,1))))=TRUE,0,MOD(F47-E47,1))</f>
        <v>0</v>
      </c>
      <c r="AJ47" s="191">
        <f t="shared" ref="AJ47:AJ51" si="41">IF(ISERROR(VALUE((MOD(H47-G47,1))))=TRUE,0,MOD(H47-G47,1))</f>
        <v>0</v>
      </c>
      <c r="AK47" s="191">
        <f t="shared" ref="AK47:AK51" si="42">IF(ISERROR(VALUE((MOD(J47-I47,1))))=TRUE,0,MOD(J47-I47,1))</f>
        <v>0</v>
      </c>
      <c r="AL47" s="191">
        <f t="shared" ref="AL47:AL63" si="43">IF(ISERROR(VALUE((MOD(L47-K47,1))))=TRUE,0,MOD(L47-K47,1))</f>
        <v>0</v>
      </c>
      <c r="AM47" s="191">
        <f t="shared" ref="AM47:AM63" si="44">IF(ISERROR(VALUE((MOD(N47-M47,1))))=TRUE,0,MOD(N47-M47,1))</f>
        <v>0</v>
      </c>
      <c r="AN47" s="191">
        <f t="shared" ref="AN47:AN63" si="45">IF(ISERROR(VALUE((MOD(P47-O47,1))))=TRUE,0,MOD(P47-O47,1))</f>
        <v>0</v>
      </c>
      <c r="AO47" s="191">
        <f t="shared" ref="AO47:AO63" si="46">IF(ISERROR(VALUE((MOD(R47-Q47,1))))=TRUE,0,MOD(R47-Q47,1))</f>
        <v>0</v>
      </c>
      <c r="AP47" s="191">
        <f t="shared" ref="AP47:AP63" si="47">IF(ISERROR(VALUE((MOD(T47-S47,1))))=TRUE,0,MOD(T47-S47,1))</f>
        <v>0</v>
      </c>
      <c r="AQ47" s="191">
        <f t="shared" ref="AQ47:AQ63" si="48">IF(ISERROR(VALUE((MOD(V47-U47,1))))=TRUE,0,MOD(V47-U47,1))</f>
        <v>0</v>
      </c>
      <c r="AR47" s="191">
        <f t="shared" ref="AR47:AR63" si="49">IF(ISERROR(VALUE((MOD(X47-W47,1))))=TRUE,0,MOD(X47-W47,1))</f>
        <v>0</v>
      </c>
      <c r="AS47" s="191">
        <f t="shared" ref="AS47:AS63" si="50">IF(ISERROR(VALUE((MOD(Z47-Y47,1))))=TRUE,0,MOD(Z47-Y47,1))</f>
        <v>0</v>
      </c>
      <c r="AT47" s="191">
        <f t="shared" ref="AT47" si="51">IF(ISERROR(VALUE((MOD(AB47-AA47,1))))=TRUE,0,MOD(AB47-AA47,1))</f>
        <v>0</v>
      </c>
      <c r="AU47" s="191">
        <f t="shared" ref="AU47" si="52">IF(ISERROR(VALUE((MOD(AD47-AC47,1))))=TRUE,0,MOD(AD47-AC47,1))</f>
        <v>0</v>
      </c>
      <c r="AV47" s="31"/>
      <c r="AW47" s="24"/>
      <c r="AX47" s="213"/>
      <c r="AY47" s="231" t="s">
        <v>397</v>
      </c>
      <c r="AZ47" s="243"/>
      <c r="BA47" s="244"/>
      <c r="BB47" s="244"/>
      <c r="BC47" s="245"/>
      <c r="BD47" s="243"/>
      <c r="BE47" s="244"/>
      <c r="BF47" s="244"/>
      <c r="BG47" s="245"/>
      <c r="BH47" s="243"/>
      <c r="BI47" s="244"/>
      <c r="BJ47" s="244"/>
      <c r="BK47" s="245"/>
      <c r="BL47" s="243"/>
      <c r="BM47" s="244"/>
      <c r="BN47" s="244"/>
      <c r="BO47" s="245"/>
      <c r="BP47" s="243"/>
      <c r="BQ47" s="244"/>
      <c r="BR47" s="244"/>
      <c r="BS47" s="245"/>
      <c r="BT47" s="243"/>
      <c r="BU47" s="244"/>
      <c r="BV47" s="244"/>
      <c r="BW47" s="245"/>
      <c r="BX47" s="217"/>
      <c r="BY47" s="214"/>
      <c r="BZ47" s="214"/>
      <c r="CA47" s="215"/>
      <c r="CB47" s="237"/>
      <c r="CC47" s="193"/>
      <c r="CD47" s="344"/>
      <c r="CE47" s="191">
        <f t="shared" ref="CE47:CE48" si="53">IF(ISERROR(VALUE((MOD(BA47-AZ47,1))))=TRUE,0,MOD(BA47-AZ47,1))</f>
        <v>0</v>
      </c>
      <c r="CF47" s="191">
        <f t="shared" ref="CF47:CF63" si="54">IF(ISERROR(VALUE((MOD(BC47-BB47,1))))=TRUE,0,MOD(BC47-BB47,1))</f>
        <v>0</v>
      </c>
      <c r="CG47" s="191">
        <f t="shared" ref="CG47:CG51" si="55">IF(ISERROR(VALUE((MOD(BE47-BD47,1))))=TRUE,0,MOD(BE47-BD47,1))</f>
        <v>0</v>
      </c>
      <c r="CH47" s="191">
        <f t="shared" ref="CH47:CH51" si="56">IF(ISERROR(VALUE((MOD(BG47-BF47,1))))=TRUE,0,MOD(BG47-BF47,1))</f>
        <v>0</v>
      </c>
      <c r="CI47" s="191">
        <f t="shared" ref="CI47:CI63" si="57">IF(ISERROR(VALUE((MOD(BI47-BH47,1))))=TRUE,0,MOD(BI47-BH47,1))</f>
        <v>0</v>
      </c>
      <c r="CJ47" s="191">
        <f t="shared" ref="CJ47:CJ63" si="58">IF(ISERROR(VALUE((MOD(BK47-BJ47,1))))=TRUE,0,MOD(BK47-BJ47,1))</f>
        <v>0</v>
      </c>
      <c r="CK47" s="191">
        <f t="shared" ref="CK47:CK63" si="59">IF(ISERROR(VALUE((MOD(BM47-BL47,1))))=TRUE,0,MOD(BM47-BL47,1))</f>
        <v>0</v>
      </c>
      <c r="CL47" s="191">
        <f t="shared" ref="CL47:CL63" si="60">IF(ISERROR(VALUE((MOD(BO47-BN47,1))))=TRUE,0,MOD(BO47-BN47,1))</f>
        <v>0</v>
      </c>
      <c r="CM47" s="191">
        <f t="shared" ref="CM47:CM63" si="61">IF(ISERROR(VALUE((MOD(BQ47-BP47,1))))=TRUE,0,MOD(BQ47-BP47,1))</f>
        <v>0</v>
      </c>
      <c r="CN47" s="191">
        <f t="shared" ref="CN47:CN63" si="62">IF(ISERROR(VALUE((MOD(BS47-BR47,1))))=TRUE,0,MOD(BS47-BR47,1))</f>
        <v>0</v>
      </c>
      <c r="CO47" s="191">
        <f t="shared" ref="CO47:CO63" si="63">IF(ISERROR(VALUE((MOD(BU47-BT47,1))))=TRUE,0,MOD(BU47-BT47,1))</f>
        <v>0</v>
      </c>
      <c r="CP47" s="191">
        <f t="shared" ref="CP47:CP63" si="64">IF(ISERROR(VALUE((MOD(BW47-BV47,1))))=TRUE,0,MOD(BW47-BV47,1))</f>
        <v>0</v>
      </c>
      <c r="CQ47" s="191">
        <f t="shared" ref="CQ47" si="65">IF(ISERROR(VALUE((MOD(BY47-BX47,1))))=TRUE,0,MOD(BY47-BX47,1))</f>
        <v>0</v>
      </c>
      <c r="CR47" s="191">
        <f t="shared" ref="CR47" si="66">IF(ISERROR(VALUE((MOD(CA47-BZ47,1))))=TRUE,0,MOD(CA47-BZ47,1))</f>
        <v>0</v>
      </c>
      <c r="CS47" s="31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</row>
    <row r="48" spans="1:200" s="23" customFormat="1" ht="14.25" customHeight="1">
      <c r="A48" s="213"/>
      <c r="B48" s="198" t="s">
        <v>377</v>
      </c>
      <c r="C48" s="236" t="s">
        <v>401</v>
      </c>
      <c r="D48" s="218" t="s">
        <v>401</v>
      </c>
      <c r="E48" s="216" t="s">
        <v>401</v>
      </c>
      <c r="F48" s="215" t="s">
        <v>401</v>
      </c>
      <c r="G48" s="236" t="s">
        <v>401</v>
      </c>
      <c r="H48" s="218" t="s">
        <v>401</v>
      </c>
      <c r="I48" s="216" t="s">
        <v>401</v>
      </c>
      <c r="J48" s="215" t="s">
        <v>401</v>
      </c>
      <c r="K48" s="236" t="s">
        <v>401</v>
      </c>
      <c r="L48" s="218" t="s">
        <v>401</v>
      </c>
      <c r="M48" s="216" t="s">
        <v>401</v>
      </c>
      <c r="N48" s="215" t="s">
        <v>401</v>
      </c>
      <c r="O48" s="236" t="s">
        <v>401</v>
      </c>
      <c r="P48" s="218" t="s">
        <v>401</v>
      </c>
      <c r="Q48" s="216" t="s">
        <v>401</v>
      </c>
      <c r="R48" s="215" t="s">
        <v>401</v>
      </c>
      <c r="S48" s="236" t="s">
        <v>401</v>
      </c>
      <c r="T48" s="218" t="s">
        <v>401</v>
      </c>
      <c r="U48" s="216" t="s">
        <v>401</v>
      </c>
      <c r="V48" s="215" t="s">
        <v>401</v>
      </c>
      <c r="W48" s="236" t="s">
        <v>401</v>
      </c>
      <c r="X48" s="218" t="s">
        <v>401</v>
      </c>
      <c r="Y48" s="216" t="s">
        <v>401</v>
      </c>
      <c r="Z48" s="215" t="s">
        <v>401</v>
      </c>
      <c r="AA48" s="236" t="s">
        <v>401</v>
      </c>
      <c r="AB48" s="218" t="s">
        <v>401</v>
      </c>
      <c r="AC48" s="216" t="s">
        <v>401</v>
      </c>
      <c r="AD48" s="215" t="s">
        <v>401</v>
      </c>
      <c r="AE48" s="238">
        <f t="shared" ref="AE48:AE63" si="67">AH48+AI48+AJ48+AK48++AL48+AM48+AN48+AO48+AP48++AQ48+AR48+AS48+AT48+AU48</f>
        <v>0</v>
      </c>
      <c r="AF48" s="193"/>
      <c r="AG48" s="344"/>
      <c r="AH48" s="191">
        <f t="shared" si="39"/>
        <v>0</v>
      </c>
      <c r="AI48" s="191">
        <f t="shared" si="40"/>
        <v>0</v>
      </c>
      <c r="AJ48" s="191">
        <f t="shared" si="41"/>
        <v>0</v>
      </c>
      <c r="AK48" s="191">
        <f t="shared" si="42"/>
        <v>0</v>
      </c>
      <c r="AL48" s="191">
        <f t="shared" si="43"/>
        <v>0</v>
      </c>
      <c r="AM48" s="191">
        <f t="shared" si="44"/>
        <v>0</v>
      </c>
      <c r="AN48" s="191">
        <f t="shared" si="45"/>
        <v>0</v>
      </c>
      <c r="AO48" s="191">
        <f t="shared" si="46"/>
        <v>0</v>
      </c>
      <c r="AP48" s="191">
        <f t="shared" si="47"/>
        <v>0</v>
      </c>
      <c r="AQ48" s="191">
        <f t="shared" si="48"/>
        <v>0</v>
      </c>
      <c r="AR48" s="191">
        <f t="shared" si="49"/>
        <v>0</v>
      </c>
      <c r="AS48" s="191">
        <f t="shared" si="50"/>
        <v>0</v>
      </c>
      <c r="AT48" s="191">
        <f>IF(ISERROR(VALUE((MOD(AB48-AA48,1))))=TRUE,0,MOD(AB48-AA48,1))</f>
        <v>0</v>
      </c>
      <c r="AU48" s="191">
        <f>IF(ISERROR(VALUE((MOD(AD48-AC48,1))))=TRUE,0,MOD(AD48-AC48,1))</f>
        <v>0</v>
      </c>
      <c r="AV48" s="31"/>
      <c r="AW48" s="24"/>
      <c r="AX48" s="213"/>
      <c r="AY48" s="198" t="s">
        <v>377</v>
      </c>
      <c r="AZ48" s="217" t="s">
        <v>42</v>
      </c>
      <c r="BA48" s="214" t="s">
        <v>42</v>
      </c>
      <c r="BB48" s="214" t="s">
        <v>42</v>
      </c>
      <c r="BC48" s="215" t="s">
        <v>42</v>
      </c>
      <c r="BD48" s="217"/>
      <c r="BE48" s="214"/>
      <c r="BF48" s="214">
        <v>0.45833333333333331</v>
      </c>
      <c r="BG48" s="215">
        <v>0.95833333333333337</v>
      </c>
      <c r="BH48" s="217"/>
      <c r="BI48" s="214"/>
      <c r="BJ48" s="214">
        <v>0.45833333333333331</v>
      </c>
      <c r="BK48" s="215">
        <v>0.95833333333333337</v>
      </c>
      <c r="BL48" s="217"/>
      <c r="BM48" s="214"/>
      <c r="BN48" s="214">
        <v>0.45833333333333331</v>
      </c>
      <c r="BO48" s="215">
        <v>0.95833333333333337</v>
      </c>
      <c r="BP48" s="217"/>
      <c r="BQ48" s="214"/>
      <c r="BR48" s="214">
        <v>0.45833333333333331</v>
      </c>
      <c r="BS48" s="215">
        <v>0.97916666666666663</v>
      </c>
      <c r="BT48" s="217"/>
      <c r="BU48" s="214"/>
      <c r="BV48" s="214">
        <v>0.45833333333333331</v>
      </c>
      <c r="BW48" s="215">
        <v>0.97916666666666663</v>
      </c>
      <c r="BX48" s="217" t="s">
        <v>42</v>
      </c>
      <c r="BY48" s="214" t="s">
        <v>42</v>
      </c>
      <c r="BZ48" s="214" t="s">
        <v>42</v>
      </c>
      <c r="CA48" s="215" t="s">
        <v>42</v>
      </c>
      <c r="CB48" s="238">
        <f t="shared" ref="CB48:CB63" si="68">CE48+CF48+CG48+CH48++CI48+CJ48+CK48+CL48+CM48++CN48+CO48+CP48+CQ48+CR48</f>
        <v>2.5416666666666661</v>
      </c>
      <c r="CC48" s="193"/>
      <c r="CD48" s="344"/>
      <c r="CE48" s="191">
        <f t="shared" si="53"/>
        <v>0</v>
      </c>
      <c r="CF48" s="191">
        <f t="shared" si="54"/>
        <v>0</v>
      </c>
      <c r="CG48" s="191">
        <f t="shared" si="55"/>
        <v>0</v>
      </c>
      <c r="CH48" s="191">
        <f t="shared" si="56"/>
        <v>0.5</v>
      </c>
      <c r="CI48" s="191">
        <f t="shared" si="57"/>
        <v>0</v>
      </c>
      <c r="CJ48" s="191">
        <f t="shared" si="58"/>
        <v>0.5</v>
      </c>
      <c r="CK48" s="191">
        <f t="shared" si="59"/>
        <v>0</v>
      </c>
      <c r="CL48" s="191">
        <f t="shared" si="60"/>
        <v>0.5</v>
      </c>
      <c r="CM48" s="191">
        <f t="shared" si="61"/>
        <v>0</v>
      </c>
      <c r="CN48" s="191">
        <f t="shared" si="62"/>
        <v>0.52083333333333326</v>
      </c>
      <c r="CO48" s="191">
        <f t="shared" si="63"/>
        <v>0</v>
      </c>
      <c r="CP48" s="191">
        <f t="shared" si="64"/>
        <v>0.52083333333333326</v>
      </c>
      <c r="CQ48" s="191">
        <f>IF(ISERROR(VALUE((MOD(BY48-BX48,1))))=TRUE,0,MOD(BY48-BX48,1))</f>
        <v>0</v>
      </c>
      <c r="CR48" s="191">
        <f>IF(ISERROR(VALUE((MOD(CA48-BZ48,1))))=TRUE,0,MOD(CA48-BZ48,1))</f>
        <v>0</v>
      </c>
      <c r="CS48" s="31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</row>
    <row r="49" spans="1:200" s="23" customFormat="1" ht="14.25" customHeight="1">
      <c r="A49" s="213"/>
      <c r="B49" s="198" t="s">
        <v>370</v>
      </c>
      <c r="C49" s="236"/>
      <c r="D49" s="218"/>
      <c r="E49" s="214">
        <v>0.58333333333333337</v>
      </c>
      <c r="F49" s="215">
        <v>8.3333333333333329E-2</v>
      </c>
      <c r="G49" s="236"/>
      <c r="H49" s="218"/>
      <c r="I49" s="214">
        <v>0.70833333333333337</v>
      </c>
      <c r="J49" s="215">
        <v>0.97916666666666663</v>
      </c>
      <c r="K49" s="236"/>
      <c r="L49" s="218"/>
      <c r="M49" s="214">
        <v>0.70833333333333337</v>
      </c>
      <c r="N49" s="215">
        <v>0.97916666666666663</v>
      </c>
      <c r="O49" s="236"/>
      <c r="P49" s="218"/>
      <c r="Q49" s="214">
        <v>0.45833333333333331</v>
      </c>
      <c r="R49" s="215">
        <v>0.97916666666666663</v>
      </c>
      <c r="S49" s="236"/>
      <c r="T49" s="218"/>
      <c r="U49" s="214">
        <v>0.45833333333333331</v>
      </c>
      <c r="V49" s="215">
        <v>0.97916666666666663</v>
      </c>
      <c r="W49" s="217"/>
      <c r="X49" s="214"/>
      <c r="Y49" s="214">
        <v>0.45833333333333331</v>
      </c>
      <c r="Z49" s="215">
        <v>0.97916666666666663</v>
      </c>
      <c r="AA49" s="217"/>
      <c r="AB49" s="214"/>
      <c r="AC49" s="214">
        <v>0.45833333333333331</v>
      </c>
      <c r="AD49" s="215">
        <v>0.97916666666666663</v>
      </c>
      <c r="AE49" s="238">
        <f t="shared" si="67"/>
        <v>3.1249999999999991</v>
      </c>
      <c r="AF49" s="240" t="s">
        <v>385</v>
      </c>
      <c r="AG49" s="344"/>
      <c r="AH49" s="191">
        <f>IF(ISERROR(VALUE((MOD(D49-#REF!,1))))=TRUE,0,MOD(D49-#REF!,1))</f>
        <v>0</v>
      </c>
      <c r="AI49" s="191">
        <f t="shared" si="40"/>
        <v>0.5</v>
      </c>
      <c r="AJ49" s="191">
        <f t="shared" si="41"/>
        <v>0</v>
      </c>
      <c r="AK49" s="191">
        <f t="shared" si="42"/>
        <v>0.27083333333333326</v>
      </c>
      <c r="AL49" s="191">
        <f t="shared" si="43"/>
        <v>0</v>
      </c>
      <c r="AM49" s="191">
        <f t="shared" si="44"/>
        <v>0.27083333333333326</v>
      </c>
      <c r="AN49" s="191">
        <f t="shared" si="45"/>
        <v>0</v>
      </c>
      <c r="AO49" s="191">
        <f t="shared" si="46"/>
        <v>0.52083333333333326</v>
      </c>
      <c r="AP49" s="191">
        <f t="shared" si="47"/>
        <v>0</v>
      </c>
      <c r="AQ49" s="191">
        <f t="shared" si="48"/>
        <v>0.52083333333333326</v>
      </c>
      <c r="AR49" s="191">
        <f t="shared" si="49"/>
        <v>0</v>
      </c>
      <c r="AS49" s="191">
        <f t="shared" si="50"/>
        <v>0.52083333333333326</v>
      </c>
      <c r="AT49" s="191">
        <f t="shared" ref="AT49:AT51" si="69">IF(ISERROR(VALUE((MOD(AB49-AA49,1))))=TRUE,0,MOD(AB49-AA49,1))</f>
        <v>0</v>
      </c>
      <c r="AU49" s="191">
        <f t="shared" ref="AU49:AU51" si="70">IF(ISERROR(VALUE((MOD(AD49-AC49,1))))=TRUE,0,MOD(AD49-AC49,1))</f>
        <v>0.52083333333333326</v>
      </c>
      <c r="AV49" s="31"/>
      <c r="AW49" s="24"/>
      <c r="AX49" s="213"/>
      <c r="AY49" s="198" t="s">
        <v>370</v>
      </c>
      <c r="AZ49" s="217">
        <v>0.45833333333333331</v>
      </c>
      <c r="BA49" s="214">
        <v>0.58333333333333337</v>
      </c>
      <c r="BB49" s="214">
        <v>0.70833333333333337</v>
      </c>
      <c r="BC49" s="215">
        <v>0.97916666666666663</v>
      </c>
      <c r="BD49" s="217" t="s">
        <v>42</v>
      </c>
      <c r="BE49" s="214" t="s">
        <v>42</v>
      </c>
      <c r="BF49" s="214" t="s">
        <v>42</v>
      </c>
      <c r="BG49" s="215" t="s">
        <v>42</v>
      </c>
      <c r="BH49" s="217" t="s">
        <v>42</v>
      </c>
      <c r="BI49" s="214" t="s">
        <v>42</v>
      </c>
      <c r="BJ49" s="214" t="s">
        <v>42</v>
      </c>
      <c r="BK49" s="215" t="s">
        <v>42</v>
      </c>
      <c r="BL49" s="217"/>
      <c r="BM49" s="214"/>
      <c r="BN49" s="214">
        <v>0.625</v>
      </c>
      <c r="BO49" s="215">
        <v>0.97916666666666663</v>
      </c>
      <c r="BP49" s="217">
        <v>0.45833333333333331</v>
      </c>
      <c r="BQ49" s="214">
        <v>0.58333333333333337</v>
      </c>
      <c r="BR49" s="214">
        <v>0.72916666666666663</v>
      </c>
      <c r="BS49" s="215">
        <v>2.0833333333333332E-2</v>
      </c>
      <c r="BT49" s="217">
        <v>0.45833333333333331</v>
      </c>
      <c r="BU49" s="214">
        <v>0.58333333333333337</v>
      </c>
      <c r="BV49" s="214">
        <v>0.72916666666666663</v>
      </c>
      <c r="BW49" s="215">
        <v>2.0833333333333332E-2</v>
      </c>
      <c r="BX49" s="217">
        <v>0.45833333333333331</v>
      </c>
      <c r="BY49" s="214">
        <v>0.58333333333333337</v>
      </c>
      <c r="BZ49" s="214">
        <v>0.70833333333333337</v>
      </c>
      <c r="CA49" s="215">
        <v>0.97916666666666663</v>
      </c>
      <c r="CB49" s="238">
        <f t="shared" si="68"/>
        <v>1.8541666666666667</v>
      </c>
      <c r="CC49" s="240" t="s">
        <v>385</v>
      </c>
      <c r="CD49" s="344"/>
      <c r="CE49" s="191">
        <f>IF(ISERROR(VALUE((MOD(BA49-#REF!,1))))=TRUE,0,MOD(BA49-#REF!,1))</f>
        <v>0</v>
      </c>
      <c r="CF49" s="191">
        <f t="shared" si="54"/>
        <v>0.27083333333333326</v>
      </c>
      <c r="CG49" s="191">
        <f t="shared" si="55"/>
        <v>0</v>
      </c>
      <c r="CH49" s="191">
        <f t="shared" si="56"/>
        <v>0</v>
      </c>
      <c r="CI49" s="191">
        <f t="shared" si="57"/>
        <v>0</v>
      </c>
      <c r="CJ49" s="191">
        <f t="shared" si="58"/>
        <v>0</v>
      </c>
      <c r="CK49" s="191">
        <f t="shared" si="59"/>
        <v>0</v>
      </c>
      <c r="CL49" s="191">
        <f t="shared" si="60"/>
        <v>0.35416666666666663</v>
      </c>
      <c r="CM49" s="191">
        <f t="shared" si="61"/>
        <v>0.12500000000000006</v>
      </c>
      <c r="CN49" s="191">
        <f t="shared" si="62"/>
        <v>0.29166666666666674</v>
      </c>
      <c r="CO49" s="191">
        <f t="shared" si="63"/>
        <v>0.12500000000000006</v>
      </c>
      <c r="CP49" s="191">
        <f t="shared" si="64"/>
        <v>0.29166666666666674</v>
      </c>
      <c r="CQ49" s="191">
        <f t="shared" ref="CQ49:CQ51" si="71">IF(ISERROR(VALUE((MOD(BY49-BX49,1))))=TRUE,0,MOD(BY49-BX49,1))</f>
        <v>0.12500000000000006</v>
      </c>
      <c r="CR49" s="191">
        <f t="shared" ref="CR49:CR51" si="72">IF(ISERROR(VALUE((MOD(CA49-BZ49,1))))=TRUE,0,MOD(CA49-BZ49,1))</f>
        <v>0.27083333333333326</v>
      </c>
      <c r="CS49" s="31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</row>
    <row r="50" spans="1:200" s="23" customFormat="1" ht="14.25" customHeight="1">
      <c r="A50" s="213"/>
      <c r="B50" s="199" t="s">
        <v>381</v>
      </c>
      <c r="C50" s="217" t="s">
        <v>42</v>
      </c>
      <c r="D50" s="214" t="s">
        <v>42</v>
      </c>
      <c r="E50" s="214" t="s">
        <v>42</v>
      </c>
      <c r="F50" s="215" t="s">
        <v>42</v>
      </c>
      <c r="G50" s="217">
        <v>0.45833333333333331</v>
      </c>
      <c r="H50" s="214">
        <v>0.58333333333333337</v>
      </c>
      <c r="I50" s="214">
        <v>0.70833333333333337</v>
      </c>
      <c r="J50" s="215">
        <v>0.97916666666666663</v>
      </c>
      <c r="K50" s="217">
        <v>0.45833333333333331</v>
      </c>
      <c r="L50" s="214">
        <v>0.625</v>
      </c>
      <c r="M50" s="214" t="s">
        <v>42</v>
      </c>
      <c r="N50" s="215" t="s">
        <v>42</v>
      </c>
      <c r="O50" s="217" t="s">
        <v>42</v>
      </c>
      <c r="P50" s="214" t="s">
        <v>42</v>
      </c>
      <c r="Q50" s="214" t="s">
        <v>42</v>
      </c>
      <c r="R50" s="215" t="s">
        <v>42</v>
      </c>
      <c r="S50" s="217"/>
      <c r="T50" s="214"/>
      <c r="U50" s="216">
        <v>0.70833333333333337</v>
      </c>
      <c r="V50" s="235">
        <v>2.0833333333333332E-2</v>
      </c>
      <c r="W50" s="217"/>
      <c r="X50" s="214"/>
      <c r="Y50" s="214">
        <v>0.45833333333333331</v>
      </c>
      <c r="Z50" s="215">
        <v>0.97916666666666663</v>
      </c>
      <c r="AA50" s="217" t="s">
        <v>42</v>
      </c>
      <c r="AB50" s="214" t="s">
        <v>42</v>
      </c>
      <c r="AC50" s="214" t="s">
        <v>42</v>
      </c>
      <c r="AD50" s="215" t="s">
        <v>42</v>
      </c>
      <c r="AE50" s="238">
        <f t="shared" si="67"/>
        <v>1.3958333333333333</v>
      </c>
      <c r="AF50" s="238"/>
      <c r="AG50" s="344"/>
      <c r="AH50" s="191">
        <f>IF(ISERROR(VALUE((MOD(D50-C49,1))))=TRUE,0,MOD(D50-C49,1))</f>
        <v>0</v>
      </c>
      <c r="AI50" s="191">
        <f t="shared" si="40"/>
        <v>0</v>
      </c>
      <c r="AJ50" s="191">
        <f t="shared" si="41"/>
        <v>0.12500000000000006</v>
      </c>
      <c r="AK50" s="191">
        <f t="shared" si="42"/>
        <v>0.27083333333333326</v>
      </c>
      <c r="AL50" s="191">
        <f t="shared" si="43"/>
        <v>0.16666666666666669</v>
      </c>
      <c r="AM50" s="191">
        <f t="shared" si="44"/>
        <v>0</v>
      </c>
      <c r="AN50" s="191">
        <f t="shared" si="45"/>
        <v>0</v>
      </c>
      <c r="AO50" s="191">
        <f t="shared" si="46"/>
        <v>0</v>
      </c>
      <c r="AP50" s="191">
        <f t="shared" si="47"/>
        <v>0</v>
      </c>
      <c r="AQ50" s="191">
        <f t="shared" si="48"/>
        <v>0.3125</v>
      </c>
      <c r="AR50" s="191">
        <f t="shared" si="49"/>
        <v>0</v>
      </c>
      <c r="AS50" s="191">
        <f t="shared" si="50"/>
        <v>0.52083333333333326</v>
      </c>
      <c r="AT50" s="191">
        <f t="shared" si="69"/>
        <v>0</v>
      </c>
      <c r="AU50" s="191">
        <f t="shared" si="70"/>
        <v>0</v>
      </c>
      <c r="AV50" s="31"/>
      <c r="AW50" s="24"/>
      <c r="AX50" s="213"/>
      <c r="AY50" s="199" t="s">
        <v>381</v>
      </c>
      <c r="AZ50" s="217"/>
      <c r="BA50" s="214"/>
      <c r="BB50" s="214">
        <v>0.45833333333333331</v>
      </c>
      <c r="BC50" s="215">
        <v>0.9375</v>
      </c>
      <c r="BD50" s="217"/>
      <c r="BE50" s="214"/>
      <c r="BF50" s="214">
        <v>0.47916666666666669</v>
      </c>
      <c r="BG50" s="215">
        <v>0.97916666666666663</v>
      </c>
      <c r="BH50" s="217"/>
      <c r="BI50" s="214"/>
      <c r="BJ50" s="214">
        <v>0.47916666666666669</v>
      </c>
      <c r="BK50" s="215">
        <v>0.97916666666666663</v>
      </c>
      <c r="BL50" s="217" t="s">
        <v>42</v>
      </c>
      <c r="BM50" s="214" t="s">
        <v>42</v>
      </c>
      <c r="BN50" s="214" t="s">
        <v>42</v>
      </c>
      <c r="BO50" s="215" t="s">
        <v>42</v>
      </c>
      <c r="BP50" s="217" t="s">
        <v>42</v>
      </c>
      <c r="BQ50" s="214" t="s">
        <v>42</v>
      </c>
      <c r="BR50" s="214" t="s">
        <v>42</v>
      </c>
      <c r="BS50" s="215" t="s">
        <v>42</v>
      </c>
      <c r="BT50" s="217" t="s">
        <v>42</v>
      </c>
      <c r="BU50" s="214" t="s">
        <v>42</v>
      </c>
      <c r="BV50" s="214" t="s">
        <v>42</v>
      </c>
      <c r="BW50" s="215" t="s">
        <v>42</v>
      </c>
      <c r="BX50" s="217" t="s">
        <v>42</v>
      </c>
      <c r="BY50" s="214" t="s">
        <v>42</v>
      </c>
      <c r="BZ50" s="214" t="s">
        <v>42</v>
      </c>
      <c r="CA50" s="215" t="s">
        <v>42</v>
      </c>
      <c r="CB50" s="238">
        <f t="shared" si="68"/>
        <v>2.0208333333333335</v>
      </c>
      <c r="CC50" s="238"/>
      <c r="CD50" s="344"/>
      <c r="CE50" s="191">
        <f>IF(ISERROR(VALUE((MOD(BA50-AZ49,1))))=TRUE,0,MOD(BA50-AZ49,1))</f>
        <v>0.54166666666666674</v>
      </c>
      <c r="CF50" s="191">
        <f t="shared" si="54"/>
        <v>0.47916666666666669</v>
      </c>
      <c r="CG50" s="191">
        <f t="shared" si="55"/>
        <v>0</v>
      </c>
      <c r="CH50" s="191">
        <f t="shared" si="56"/>
        <v>0.49999999999999994</v>
      </c>
      <c r="CI50" s="191">
        <f t="shared" si="57"/>
        <v>0</v>
      </c>
      <c r="CJ50" s="191">
        <f t="shared" si="58"/>
        <v>0.49999999999999994</v>
      </c>
      <c r="CK50" s="191">
        <f t="shared" si="59"/>
        <v>0</v>
      </c>
      <c r="CL50" s="191">
        <f t="shared" si="60"/>
        <v>0</v>
      </c>
      <c r="CM50" s="191">
        <f t="shared" si="61"/>
        <v>0</v>
      </c>
      <c r="CN50" s="191">
        <f t="shared" si="62"/>
        <v>0</v>
      </c>
      <c r="CO50" s="191">
        <f t="shared" si="63"/>
        <v>0</v>
      </c>
      <c r="CP50" s="191">
        <f t="shared" si="64"/>
        <v>0</v>
      </c>
      <c r="CQ50" s="191">
        <f t="shared" si="71"/>
        <v>0</v>
      </c>
      <c r="CR50" s="191">
        <f t="shared" si="72"/>
        <v>0</v>
      </c>
      <c r="CS50" s="31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</row>
    <row r="51" spans="1:200" s="23" customFormat="1" ht="14.25" customHeight="1">
      <c r="A51" s="213"/>
      <c r="B51" s="248" t="s">
        <v>388</v>
      </c>
      <c r="C51" s="217">
        <v>0.45833333333333331</v>
      </c>
      <c r="D51" s="214">
        <v>0.58333333333333337</v>
      </c>
      <c r="E51" s="214">
        <v>0.70833333333333337</v>
      </c>
      <c r="F51" s="215">
        <v>0.97916666666666663</v>
      </c>
      <c r="G51" s="217" t="s">
        <v>42</v>
      </c>
      <c r="H51" s="214" t="s">
        <v>42</v>
      </c>
      <c r="I51" s="214" t="s">
        <v>42</v>
      </c>
      <c r="J51" s="215" t="s">
        <v>42</v>
      </c>
      <c r="K51" s="217">
        <v>0.41666666666666669</v>
      </c>
      <c r="L51" s="214">
        <v>0.58333333333333337</v>
      </c>
      <c r="M51" s="214">
        <v>0.70833333333333337</v>
      </c>
      <c r="N51" s="215">
        <v>0.97916666666666663</v>
      </c>
      <c r="O51" s="217">
        <v>0.45833333333333331</v>
      </c>
      <c r="P51" s="214">
        <v>0.625</v>
      </c>
      <c r="Q51" s="214">
        <v>0.75</v>
      </c>
      <c r="R51" s="215">
        <v>0.97916666666666663</v>
      </c>
      <c r="S51" s="217">
        <v>0.45833333333333331</v>
      </c>
      <c r="T51" s="214">
        <v>0.58333333333333337</v>
      </c>
      <c r="U51" s="214">
        <v>0.75</v>
      </c>
      <c r="V51" s="215">
        <v>0.97916666666666663</v>
      </c>
      <c r="W51" s="217" t="s">
        <v>42</v>
      </c>
      <c r="X51" s="214" t="s">
        <v>42</v>
      </c>
      <c r="Y51" s="214" t="s">
        <v>42</v>
      </c>
      <c r="Z51" s="215" t="s">
        <v>42</v>
      </c>
      <c r="AA51" s="217"/>
      <c r="AB51" s="214"/>
      <c r="AC51" s="214">
        <v>0.375</v>
      </c>
      <c r="AD51" s="267">
        <v>0.875</v>
      </c>
      <c r="AE51" s="249">
        <f t="shared" si="67"/>
        <v>2.083333333333333</v>
      </c>
      <c r="AF51" s="238">
        <v>0</v>
      </c>
      <c r="AG51" s="41"/>
      <c r="AH51" s="191">
        <f t="shared" ref="AH51:AH63" si="73">IF(ISERROR(VALUE((MOD(D51-C51,1))))=TRUE,0,MOD(D51-C51,1))</f>
        <v>0.12500000000000006</v>
      </c>
      <c r="AI51" s="191">
        <f t="shared" si="40"/>
        <v>0.27083333333333326</v>
      </c>
      <c r="AJ51" s="191">
        <f t="shared" si="41"/>
        <v>0</v>
      </c>
      <c r="AK51" s="191">
        <f t="shared" si="42"/>
        <v>0</v>
      </c>
      <c r="AL51" s="191">
        <f t="shared" si="43"/>
        <v>0.16666666666666669</v>
      </c>
      <c r="AM51" s="191">
        <f t="shared" si="44"/>
        <v>0.27083333333333326</v>
      </c>
      <c r="AN51" s="191">
        <f t="shared" si="45"/>
        <v>0.16666666666666669</v>
      </c>
      <c r="AO51" s="191">
        <f t="shared" si="46"/>
        <v>0.22916666666666663</v>
      </c>
      <c r="AP51" s="191">
        <f t="shared" si="47"/>
        <v>0.12500000000000006</v>
      </c>
      <c r="AQ51" s="191">
        <f t="shared" si="48"/>
        <v>0.22916666666666663</v>
      </c>
      <c r="AR51" s="191">
        <f t="shared" si="49"/>
        <v>0</v>
      </c>
      <c r="AS51" s="191">
        <f t="shared" si="50"/>
        <v>0</v>
      </c>
      <c r="AT51" s="191">
        <f t="shared" si="69"/>
        <v>0</v>
      </c>
      <c r="AU51" s="191">
        <f t="shared" si="70"/>
        <v>0.5</v>
      </c>
      <c r="AV51" s="31"/>
      <c r="AW51" s="24"/>
      <c r="AX51" s="213"/>
      <c r="AY51" s="248" t="s">
        <v>388</v>
      </c>
      <c r="AZ51" s="217">
        <v>0.41666666666666669</v>
      </c>
      <c r="BA51" s="214">
        <v>0.58333333333333337</v>
      </c>
      <c r="BB51" s="214">
        <v>0.70833333333333337</v>
      </c>
      <c r="BC51" s="215">
        <v>0.9375</v>
      </c>
      <c r="BD51" s="217">
        <v>0.45833333333333331</v>
      </c>
      <c r="BE51" s="214">
        <v>0.58333333333333337</v>
      </c>
      <c r="BF51" s="214">
        <v>0.70833333333333337</v>
      </c>
      <c r="BG51" s="215">
        <v>0.97916666666666663</v>
      </c>
      <c r="BH51" s="217" t="s">
        <v>42</v>
      </c>
      <c r="BI51" s="214" t="s">
        <v>42</v>
      </c>
      <c r="BJ51" s="214" t="s">
        <v>42</v>
      </c>
      <c r="BK51" s="215" t="s">
        <v>42</v>
      </c>
      <c r="BL51" s="217"/>
      <c r="BM51" s="214"/>
      <c r="BN51" s="214">
        <v>0.45833333333333331</v>
      </c>
      <c r="BO51" s="215">
        <v>0.9375</v>
      </c>
      <c r="BP51" s="216"/>
      <c r="BQ51" s="216"/>
      <c r="BR51" s="214">
        <v>0.58333333333333337</v>
      </c>
      <c r="BS51" s="215">
        <v>0.97916666666666663</v>
      </c>
      <c r="BT51" s="217"/>
      <c r="BU51" s="214"/>
      <c r="BV51" s="214">
        <v>0.625</v>
      </c>
      <c r="BW51" s="215">
        <v>2.0833333333333332E-2</v>
      </c>
      <c r="BX51" s="217" t="s">
        <v>42</v>
      </c>
      <c r="BY51" s="214" t="s">
        <v>42</v>
      </c>
      <c r="BZ51" s="214" t="s">
        <v>42</v>
      </c>
      <c r="CA51" s="215" t="s">
        <v>42</v>
      </c>
      <c r="CB51" s="249">
        <f t="shared" si="68"/>
        <v>2.0625</v>
      </c>
      <c r="CC51" s="238">
        <v>0</v>
      </c>
      <c r="CD51" s="41"/>
      <c r="CE51" s="191">
        <f t="shared" ref="CE51:CE63" si="74">IF(ISERROR(VALUE((MOD(BA51-AZ51,1))))=TRUE,0,MOD(BA51-AZ51,1))</f>
        <v>0.16666666666666669</v>
      </c>
      <c r="CF51" s="191">
        <f t="shared" si="54"/>
        <v>0.22916666666666663</v>
      </c>
      <c r="CG51" s="191">
        <f t="shared" si="55"/>
        <v>0.12500000000000006</v>
      </c>
      <c r="CH51" s="191">
        <f t="shared" si="56"/>
        <v>0.27083333333333326</v>
      </c>
      <c r="CI51" s="191">
        <f t="shared" si="57"/>
        <v>0</v>
      </c>
      <c r="CJ51" s="191">
        <f t="shared" si="58"/>
        <v>0</v>
      </c>
      <c r="CK51" s="191">
        <f t="shared" si="59"/>
        <v>0</v>
      </c>
      <c r="CL51" s="191">
        <f t="shared" si="60"/>
        <v>0.47916666666666669</v>
      </c>
      <c r="CM51" s="191">
        <f t="shared" si="61"/>
        <v>0</v>
      </c>
      <c r="CN51" s="191">
        <f t="shared" si="62"/>
        <v>0.39583333333333326</v>
      </c>
      <c r="CO51" s="191">
        <f t="shared" si="63"/>
        <v>0</v>
      </c>
      <c r="CP51" s="191">
        <f t="shared" si="64"/>
        <v>0.39583333333333337</v>
      </c>
      <c r="CQ51" s="191">
        <f t="shared" si="71"/>
        <v>0</v>
      </c>
      <c r="CR51" s="191">
        <f t="shared" si="72"/>
        <v>0</v>
      </c>
      <c r="CS51" s="31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</row>
    <row r="52" spans="1:200" s="23" customFormat="1" ht="14.25" customHeight="1">
      <c r="A52" s="321"/>
      <c r="B52" s="248" t="s">
        <v>380</v>
      </c>
      <c r="C52" s="217" t="s">
        <v>42</v>
      </c>
      <c r="D52" s="214" t="s">
        <v>42</v>
      </c>
      <c r="E52" s="214" t="s">
        <v>42</v>
      </c>
      <c r="F52" s="215" t="s">
        <v>42</v>
      </c>
      <c r="G52" s="217" t="s">
        <v>42</v>
      </c>
      <c r="H52" s="214" t="s">
        <v>42</v>
      </c>
      <c r="I52" s="214" t="s">
        <v>42</v>
      </c>
      <c r="J52" s="215" t="s">
        <v>42</v>
      </c>
      <c r="K52" s="217">
        <v>0.45833333333333331</v>
      </c>
      <c r="L52" s="214">
        <v>0.58333333333333337</v>
      </c>
      <c r="M52" s="214">
        <v>0.70833333333333337</v>
      </c>
      <c r="N52" s="215">
        <v>0.9375</v>
      </c>
      <c r="O52" s="217">
        <v>0.45833333333333331</v>
      </c>
      <c r="P52" s="214">
        <v>0.58333333333333337</v>
      </c>
      <c r="Q52" s="214">
        <v>0.70833333333333337</v>
      </c>
      <c r="R52" s="215">
        <v>0.9375</v>
      </c>
      <c r="S52" s="217"/>
      <c r="T52" s="214"/>
      <c r="U52" s="214">
        <v>0.66666666666666663</v>
      </c>
      <c r="V52" s="215">
        <v>2.0833333333333332E-2</v>
      </c>
      <c r="W52" s="217"/>
      <c r="X52" s="214"/>
      <c r="Y52" s="214">
        <v>0.66666666666666663</v>
      </c>
      <c r="Z52" s="215">
        <v>2.0833333333333332E-2</v>
      </c>
      <c r="AA52" s="217" t="s">
        <v>42</v>
      </c>
      <c r="AB52" s="214" t="s">
        <v>42</v>
      </c>
      <c r="AC52" s="214" t="s">
        <v>42</v>
      </c>
      <c r="AD52" s="215" t="s">
        <v>42</v>
      </c>
      <c r="AE52" s="249">
        <f t="shared" si="67"/>
        <v>1.4166666666666667</v>
      </c>
      <c r="AF52" s="238">
        <v>0.64097222222222228</v>
      </c>
      <c r="AG52" s="41"/>
      <c r="AH52" s="191">
        <f t="shared" si="73"/>
        <v>0</v>
      </c>
      <c r="AI52" s="191">
        <f t="shared" si="40"/>
        <v>0</v>
      </c>
      <c r="AJ52" s="191">
        <f>IF(ISERROR(VALUE((MOD(H52-G52,1))))=TRUE,0,MOD(H52-G52,1))</f>
        <v>0</v>
      </c>
      <c r="AK52" s="191">
        <f>IF(ISERROR(VALUE((MOD(J52-I52,1))))=TRUE,0,MOD(J52-I52,1))</f>
        <v>0</v>
      </c>
      <c r="AL52" s="191">
        <f t="shared" si="43"/>
        <v>0.12500000000000006</v>
      </c>
      <c r="AM52" s="191">
        <f t="shared" si="44"/>
        <v>0.22916666666666663</v>
      </c>
      <c r="AN52" s="191">
        <f t="shared" si="45"/>
        <v>0.12500000000000006</v>
      </c>
      <c r="AO52" s="191">
        <f t="shared" si="46"/>
        <v>0.22916666666666663</v>
      </c>
      <c r="AP52" s="191">
        <f t="shared" si="47"/>
        <v>0</v>
      </c>
      <c r="AQ52" s="191">
        <f t="shared" si="48"/>
        <v>0.35416666666666674</v>
      </c>
      <c r="AR52" s="191">
        <f t="shared" si="49"/>
        <v>0</v>
      </c>
      <c r="AS52" s="191">
        <f t="shared" si="50"/>
        <v>0.35416666666666674</v>
      </c>
      <c r="AT52" s="191">
        <f>IF(ISERROR(VALUE((MOD(AB52-AA52,1))))=TRUE,0,MOD(AB52-AA52,1))</f>
        <v>0</v>
      </c>
      <c r="AU52" s="191">
        <f>IF(ISERROR(VALUE((MOD(AD52-AC52,1))))=TRUE,0,MOD(AD52-AC52,1))</f>
        <v>0</v>
      </c>
      <c r="AV52" s="31"/>
      <c r="AW52" s="24"/>
      <c r="AX52" s="321"/>
      <c r="AY52" s="248" t="s">
        <v>380</v>
      </c>
      <c r="AZ52" s="217" t="s">
        <v>42</v>
      </c>
      <c r="BA52" s="214" t="s">
        <v>42</v>
      </c>
      <c r="BB52" s="214" t="s">
        <v>42</v>
      </c>
      <c r="BC52" s="215" t="s">
        <v>42</v>
      </c>
      <c r="BD52" s="217">
        <v>0.45833333333333331</v>
      </c>
      <c r="BE52" s="214">
        <v>0.58333333333333337</v>
      </c>
      <c r="BF52" s="214">
        <v>0.70833333333333337</v>
      </c>
      <c r="BG52" s="215">
        <v>0.9375</v>
      </c>
      <c r="BH52" s="217">
        <v>0.45833333333333331</v>
      </c>
      <c r="BI52" s="214">
        <v>0.58333333333333337</v>
      </c>
      <c r="BJ52" s="214">
        <v>0.70833333333333337</v>
      </c>
      <c r="BK52" s="215">
        <v>0.9375</v>
      </c>
      <c r="BL52" s="217">
        <v>0.45833333333333331</v>
      </c>
      <c r="BM52" s="214">
        <v>0.58333333333333337</v>
      </c>
      <c r="BN52" s="214">
        <v>0.70833333333333337</v>
      </c>
      <c r="BO52" s="215">
        <v>0.9375</v>
      </c>
      <c r="BP52" s="217"/>
      <c r="BQ52" s="214"/>
      <c r="BR52" s="214">
        <v>0.66666666666666663</v>
      </c>
      <c r="BS52" s="215">
        <v>2.0833333333333332E-2</v>
      </c>
      <c r="BT52" s="217"/>
      <c r="BU52" s="214"/>
      <c r="BV52" s="214">
        <v>0.66666666666666663</v>
      </c>
      <c r="BW52" s="215">
        <v>2.0833333333333332E-2</v>
      </c>
      <c r="BX52" s="217" t="s">
        <v>42</v>
      </c>
      <c r="BY52" s="214" t="s">
        <v>42</v>
      </c>
      <c r="BZ52" s="214" t="s">
        <v>42</v>
      </c>
      <c r="CA52" s="215" t="s">
        <v>42</v>
      </c>
      <c r="CB52" s="249">
        <f t="shared" si="68"/>
        <v>1.7708333333333335</v>
      </c>
      <c r="CC52" s="238">
        <v>0.64097222222222228</v>
      </c>
      <c r="CD52" s="41"/>
      <c r="CE52" s="191">
        <f t="shared" si="74"/>
        <v>0</v>
      </c>
      <c r="CF52" s="191">
        <f t="shared" si="54"/>
        <v>0</v>
      </c>
      <c r="CG52" s="191">
        <f>IF(ISERROR(VALUE((MOD(BE52-BD52,1))))=TRUE,0,MOD(BE52-BD52,1))</f>
        <v>0.12500000000000006</v>
      </c>
      <c r="CH52" s="191">
        <f>IF(ISERROR(VALUE((MOD(BG52-BF52,1))))=TRUE,0,MOD(BG52-BF52,1))</f>
        <v>0.22916666666666663</v>
      </c>
      <c r="CI52" s="191">
        <f t="shared" si="57"/>
        <v>0.12500000000000006</v>
      </c>
      <c r="CJ52" s="191">
        <f t="shared" si="58"/>
        <v>0.22916666666666663</v>
      </c>
      <c r="CK52" s="191">
        <f t="shared" si="59"/>
        <v>0.12500000000000006</v>
      </c>
      <c r="CL52" s="191">
        <f t="shared" si="60"/>
        <v>0.22916666666666663</v>
      </c>
      <c r="CM52" s="191">
        <f t="shared" si="61"/>
        <v>0</v>
      </c>
      <c r="CN52" s="191">
        <f t="shared" si="62"/>
        <v>0.35416666666666674</v>
      </c>
      <c r="CO52" s="191">
        <f t="shared" si="63"/>
        <v>0</v>
      </c>
      <c r="CP52" s="191">
        <f t="shared" si="64"/>
        <v>0.35416666666666674</v>
      </c>
      <c r="CQ52" s="191">
        <f>IF(ISERROR(VALUE((MOD(BY52-BX52,1))))=TRUE,0,MOD(BY52-BX52,1))</f>
        <v>0</v>
      </c>
      <c r="CR52" s="191">
        <f>IF(ISERROR(VALUE((MOD(CA52-BZ52,1))))=TRUE,0,MOD(CA52-BZ52,1))</f>
        <v>0</v>
      </c>
      <c r="CS52" s="31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</row>
    <row r="53" spans="1:200" s="23" customFormat="1" ht="14.25" customHeight="1">
      <c r="A53" s="321"/>
      <c r="B53" s="250" t="s">
        <v>382</v>
      </c>
      <c r="C53" s="217">
        <v>0.45833333333333331</v>
      </c>
      <c r="D53" s="214">
        <v>0.58333333333333337</v>
      </c>
      <c r="E53" s="214">
        <v>0.70833333333333337</v>
      </c>
      <c r="F53" s="215">
        <v>8.3333333333333329E-2</v>
      </c>
      <c r="G53" s="217">
        <v>0.45833333333333331</v>
      </c>
      <c r="H53" s="214">
        <v>0.58333333333333337</v>
      </c>
      <c r="I53" s="214">
        <v>0.70833333333333337</v>
      </c>
      <c r="J53" s="215">
        <v>0.875</v>
      </c>
      <c r="K53" s="217" t="s">
        <v>42</v>
      </c>
      <c r="L53" s="214" t="s">
        <v>42</v>
      </c>
      <c r="M53" s="214" t="s">
        <v>42</v>
      </c>
      <c r="N53" s="215" t="s">
        <v>42</v>
      </c>
      <c r="O53" s="217" t="s">
        <v>42</v>
      </c>
      <c r="P53" s="214" t="s">
        <v>42</v>
      </c>
      <c r="Q53" s="214" t="s">
        <v>42</v>
      </c>
      <c r="R53" s="215" t="s">
        <v>42</v>
      </c>
      <c r="S53" s="217">
        <v>0.45833333333333331</v>
      </c>
      <c r="T53" s="214">
        <v>0.58333333333333337</v>
      </c>
      <c r="U53" s="214">
        <v>0.70833333333333337</v>
      </c>
      <c r="V53" s="215">
        <v>0.97916666666666663</v>
      </c>
      <c r="W53" s="217">
        <v>0.45833333333333331</v>
      </c>
      <c r="X53" s="214">
        <v>0.58333333333333337</v>
      </c>
      <c r="Y53" s="214">
        <v>0.70833333333333337</v>
      </c>
      <c r="Z53" s="215">
        <v>0.97916666666666663</v>
      </c>
      <c r="AA53" s="217" t="s">
        <v>42</v>
      </c>
      <c r="AB53" s="214" t="s">
        <v>42</v>
      </c>
      <c r="AC53" s="214" t="s">
        <v>42</v>
      </c>
      <c r="AD53" s="215" t="s">
        <v>42</v>
      </c>
      <c r="AE53" s="249">
        <f t="shared" si="67"/>
        <v>1.5833333333333333</v>
      </c>
      <c r="AF53" s="239" t="s">
        <v>386</v>
      </c>
      <c r="AG53" s="41"/>
      <c r="AH53" s="191">
        <f t="shared" si="73"/>
        <v>0.12500000000000006</v>
      </c>
      <c r="AI53" s="191">
        <f t="shared" si="40"/>
        <v>0.375</v>
      </c>
      <c r="AJ53" s="191">
        <f t="shared" ref="AJ53:AJ63" si="75">IF(ISERROR(VALUE((MOD(H53-G53,1))))=TRUE,0,MOD(H53-G53,1))</f>
        <v>0.12500000000000006</v>
      </c>
      <c r="AK53" s="191">
        <f t="shared" ref="AK53:AK63" si="76">IF(ISERROR(VALUE((MOD(J53-I53,1))))=TRUE,0,MOD(J53-I53,1))</f>
        <v>0.16666666666666663</v>
      </c>
      <c r="AL53" s="191">
        <f t="shared" si="43"/>
        <v>0</v>
      </c>
      <c r="AM53" s="191">
        <f t="shared" si="44"/>
        <v>0</v>
      </c>
      <c r="AN53" s="191">
        <f t="shared" si="45"/>
        <v>0</v>
      </c>
      <c r="AO53" s="191">
        <f t="shared" si="46"/>
        <v>0</v>
      </c>
      <c r="AP53" s="191">
        <f t="shared" si="47"/>
        <v>0.12500000000000006</v>
      </c>
      <c r="AQ53" s="191">
        <f t="shared" si="48"/>
        <v>0.27083333333333326</v>
      </c>
      <c r="AR53" s="191">
        <f t="shared" si="49"/>
        <v>0.12500000000000006</v>
      </c>
      <c r="AS53" s="191">
        <f t="shared" si="50"/>
        <v>0.27083333333333326</v>
      </c>
      <c r="AT53" s="191">
        <f t="shared" ref="AT53:AT63" si="77">IF(ISERROR(VALUE((MOD(AB53-AA53,1))))=TRUE,0,MOD(AB53-AA53,1))</f>
        <v>0</v>
      </c>
      <c r="AU53" s="191">
        <f t="shared" ref="AU53:AU63" si="78">IF(ISERROR(VALUE((MOD(AD53-AC53,1))))=TRUE,0,MOD(AD53-AC53,1))</f>
        <v>0</v>
      </c>
      <c r="AV53" s="31"/>
      <c r="AW53" s="24"/>
      <c r="AX53" s="321"/>
      <c r="AY53" s="250" t="s">
        <v>382</v>
      </c>
      <c r="AZ53" s="217" t="s">
        <v>42</v>
      </c>
      <c r="BA53" s="214" t="s">
        <v>42</v>
      </c>
      <c r="BB53" s="214" t="s">
        <v>42</v>
      </c>
      <c r="BC53" s="215" t="s">
        <v>42</v>
      </c>
      <c r="BD53" s="217" t="s">
        <v>42</v>
      </c>
      <c r="BE53" s="214" t="s">
        <v>42</v>
      </c>
      <c r="BF53" s="214" t="s">
        <v>42</v>
      </c>
      <c r="BG53" s="215" t="s">
        <v>42</v>
      </c>
      <c r="BH53" s="236" t="s">
        <v>42</v>
      </c>
      <c r="BI53" s="218" t="s">
        <v>42</v>
      </c>
      <c r="BJ53" s="216" t="s">
        <v>42</v>
      </c>
      <c r="BK53" s="215" t="s">
        <v>42</v>
      </c>
      <c r="BL53" s="236" t="s">
        <v>42</v>
      </c>
      <c r="BM53" s="218" t="s">
        <v>42</v>
      </c>
      <c r="BN53" s="216" t="s">
        <v>42</v>
      </c>
      <c r="BO53" s="215" t="s">
        <v>42</v>
      </c>
      <c r="BP53" s="217" t="s">
        <v>42</v>
      </c>
      <c r="BQ53" s="214" t="s">
        <v>42</v>
      </c>
      <c r="BR53" s="214">
        <v>0.70833333333333337</v>
      </c>
      <c r="BS53" s="215">
        <v>0.97916666666666663</v>
      </c>
      <c r="BT53" s="217">
        <v>0.45833333333333331</v>
      </c>
      <c r="BU53" s="214">
        <v>0.58333333333333337</v>
      </c>
      <c r="BV53" s="214">
        <v>0.70833333333333337</v>
      </c>
      <c r="BW53" s="215">
        <v>0.97916666666666663</v>
      </c>
      <c r="BX53" s="217" t="s">
        <v>42</v>
      </c>
      <c r="BY53" s="214" t="s">
        <v>42</v>
      </c>
      <c r="BZ53" s="214" t="s">
        <v>42</v>
      </c>
      <c r="CA53" s="215" t="s">
        <v>42</v>
      </c>
      <c r="CB53" s="249">
        <f t="shared" si="68"/>
        <v>0.66666666666666652</v>
      </c>
      <c r="CC53" s="239" t="s">
        <v>386</v>
      </c>
      <c r="CD53" s="41"/>
      <c r="CE53" s="191">
        <f t="shared" si="74"/>
        <v>0</v>
      </c>
      <c r="CF53" s="191">
        <f t="shared" si="54"/>
        <v>0</v>
      </c>
      <c r="CG53" s="191">
        <f t="shared" ref="CG53:CG63" si="79">IF(ISERROR(VALUE((MOD(BE53-BD53,1))))=TRUE,0,MOD(BE53-BD53,1))</f>
        <v>0</v>
      </c>
      <c r="CH53" s="191">
        <f t="shared" ref="CH53:CH63" si="80">IF(ISERROR(VALUE((MOD(BG53-BF53,1))))=TRUE,0,MOD(BG53-BF53,1))</f>
        <v>0</v>
      </c>
      <c r="CI53" s="191">
        <f t="shared" si="57"/>
        <v>0</v>
      </c>
      <c r="CJ53" s="191">
        <f t="shared" si="58"/>
        <v>0</v>
      </c>
      <c r="CK53" s="191">
        <f t="shared" si="59"/>
        <v>0</v>
      </c>
      <c r="CL53" s="191">
        <f t="shared" si="60"/>
        <v>0</v>
      </c>
      <c r="CM53" s="191">
        <f t="shared" si="61"/>
        <v>0</v>
      </c>
      <c r="CN53" s="191">
        <f t="shared" si="62"/>
        <v>0.27083333333333326</v>
      </c>
      <c r="CO53" s="191">
        <f t="shared" si="63"/>
        <v>0.12500000000000006</v>
      </c>
      <c r="CP53" s="191">
        <f t="shared" si="64"/>
        <v>0.27083333333333326</v>
      </c>
      <c r="CQ53" s="191">
        <f t="shared" ref="CQ53:CQ63" si="81">IF(ISERROR(VALUE((MOD(BY53-BX53,1))))=TRUE,0,MOD(BY53-BX53,1))</f>
        <v>0</v>
      </c>
      <c r="CR53" s="191">
        <f t="shared" ref="CR53:CR63" si="82">IF(ISERROR(VALUE((MOD(CA53-BZ53,1))))=TRUE,0,MOD(CA53-BZ53,1))</f>
        <v>0</v>
      </c>
      <c r="CS53" s="31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</row>
    <row r="54" spans="1:200" s="23" customFormat="1" ht="14.25" customHeight="1" thickBot="1">
      <c r="A54" s="321"/>
      <c r="B54" s="251" t="s">
        <v>376</v>
      </c>
      <c r="C54" s="217" t="s">
        <v>42</v>
      </c>
      <c r="D54" s="214" t="s">
        <v>42</v>
      </c>
      <c r="E54" s="214">
        <v>0.77083333333333337</v>
      </c>
      <c r="F54" s="215">
        <v>0.9375</v>
      </c>
      <c r="G54" s="217" t="s">
        <v>42</v>
      </c>
      <c r="H54" s="214" t="s">
        <v>42</v>
      </c>
      <c r="I54" s="214" t="s">
        <v>42</v>
      </c>
      <c r="J54" s="215" t="s">
        <v>42</v>
      </c>
      <c r="K54" s="217" t="s">
        <v>42</v>
      </c>
      <c r="L54" s="214" t="s">
        <v>42</v>
      </c>
      <c r="M54" s="214" t="s">
        <v>42</v>
      </c>
      <c r="N54" s="215" t="s">
        <v>42</v>
      </c>
      <c r="O54" s="217" t="s">
        <v>42</v>
      </c>
      <c r="P54" s="214" t="s">
        <v>42</v>
      </c>
      <c r="Q54" s="214" t="s">
        <v>42</v>
      </c>
      <c r="R54" s="215" t="s">
        <v>42</v>
      </c>
      <c r="S54" s="217" t="s">
        <v>42</v>
      </c>
      <c r="T54" s="214" t="s">
        <v>42</v>
      </c>
      <c r="U54" s="214" t="s">
        <v>42</v>
      </c>
      <c r="V54" s="215" t="s">
        <v>42</v>
      </c>
      <c r="W54" s="217" t="s">
        <v>42</v>
      </c>
      <c r="X54" s="214" t="s">
        <v>42</v>
      </c>
      <c r="Y54" s="214" t="s">
        <v>42</v>
      </c>
      <c r="Z54" s="215" t="s">
        <v>42</v>
      </c>
      <c r="AA54" s="217"/>
      <c r="AB54" s="214"/>
      <c r="AC54" s="264">
        <v>0.375</v>
      </c>
      <c r="AD54" s="265">
        <v>0.875</v>
      </c>
      <c r="AE54" s="249">
        <f t="shared" si="67"/>
        <v>0.66666666666666663</v>
      </c>
      <c r="AF54" s="238"/>
      <c r="AG54" s="41"/>
      <c r="AH54" s="191">
        <f t="shared" si="73"/>
        <v>0</v>
      </c>
      <c r="AI54" s="191">
        <f t="shared" si="40"/>
        <v>0.16666666666666663</v>
      </c>
      <c r="AJ54" s="191">
        <f t="shared" si="75"/>
        <v>0</v>
      </c>
      <c r="AK54" s="191">
        <f t="shared" si="76"/>
        <v>0</v>
      </c>
      <c r="AL54" s="191">
        <f t="shared" si="43"/>
        <v>0</v>
      </c>
      <c r="AM54" s="191">
        <f t="shared" si="44"/>
        <v>0</v>
      </c>
      <c r="AN54" s="191">
        <f t="shared" si="45"/>
        <v>0</v>
      </c>
      <c r="AO54" s="191">
        <f t="shared" si="46"/>
        <v>0</v>
      </c>
      <c r="AP54" s="191">
        <f t="shared" si="47"/>
        <v>0</v>
      </c>
      <c r="AQ54" s="191">
        <f t="shared" si="48"/>
        <v>0</v>
      </c>
      <c r="AR54" s="191">
        <f t="shared" si="49"/>
        <v>0</v>
      </c>
      <c r="AS54" s="191">
        <f t="shared" si="50"/>
        <v>0</v>
      </c>
      <c r="AT54" s="191">
        <f t="shared" si="77"/>
        <v>0</v>
      </c>
      <c r="AU54" s="191">
        <f t="shared" si="78"/>
        <v>0.5</v>
      </c>
      <c r="AV54" s="31"/>
      <c r="AW54" s="24"/>
      <c r="AX54" s="321"/>
      <c r="AY54" s="251" t="s">
        <v>376</v>
      </c>
      <c r="AZ54" s="217" t="s">
        <v>42</v>
      </c>
      <c r="BA54" s="214" t="s">
        <v>42</v>
      </c>
      <c r="BB54" s="214" t="s">
        <v>42</v>
      </c>
      <c r="BC54" s="215" t="s">
        <v>42</v>
      </c>
      <c r="BD54" s="217" t="s">
        <v>42</v>
      </c>
      <c r="BE54" s="214" t="s">
        <v>42</v>
      </c>
      <c r="BF54" s="214" t="s">
        <v>42</v>
      </c>
      <c r="BG54" s="215" t="s">
        <v>42</v>
      </c>
      <c r="BH54" s="217" t="s">
        <v>42</v>
      </c>
      <c r="BI54" s="214" t="s">
        <v>42</v>
      </c>
      <c r="BJ54" s="214" t="s">
        <v>42</v>
      </c>
      <c r="BK54" s="215" t="s">
        <v>42</v>
      </c>
      <c r="BL54" s="217" t="s">
        <v>42</v>
      </c>
      <c r="BM54" s="214" t="s">
        <v>42</v>
      </c>
      <c r="BN54" s="214" t="s">
        <v>42</v>
      </c>
      <c r="BO54" s="215" t="s">
        <v>42</v>
      </c>
      <c r="BP54" s="217" t="s">
        <v>42</v>
      </c>
      <c r="BQ54" s="214" t="s">
        <v>42</v>
      </c>
      <c r="BR54" s="214" t="s">
        <v>42</v>
      </c>
      <c r="BS54" s="215" t="s">
        <v>42</v>
      </c>
      <c r="BT54" s="217" t="s">
        <v>42</v>
      </c>
      <c r="BU54" s="214" t="s">
        <v>42</v>
      </c>
      <c r="BV54" s="214" t="s">
        <v>42</v>
      </c>
      <c r="BW54" s="215" t="s">
        <v>42</v>
      </c>
      <c r="BX54" s="217"/>
      <c r="BY54" s="214"/>
      <c r="BZ54" s="264">
        <v>0.375</v>
      </c>
      <c r="CA54" s="265">
        <v>0.875</v>
      </c>
      <c r="CB54" s="249">
        <f t="shared" si="68"/>
        <v>0.5</v>
      </c>
      <c r="CC54" s="238"/>
      <c r="CD54" s="41"/>
      <c r="CE54" s="191">
        <f t="shared" si="74"/>
        <v>0</v>
      </c>
      <c r="CF54" s="191">
        <f t="shared" si="54"/>
        <v>0</v>
      </c>
      <c r="CG54" s="191">
        <f t="shared" si="79"/>
        <v>0</v>
      </c>
      <c r="CH54" s="191">
        <f t="shared" si="80"/>
        <v>0</v>
      </c>
      <c r="CI54" s="191">
        <f t="shared" si="57"/>
        <v>0</v>
      </c>
      <c r="CJ54" s="191">
        <f t="shared" si="58"/>
        <v>0</v>
      </c>
      <c r="CK54" s="191">
        <f t="shared" si="59"/>
        <v>0</v>
      </c>
      <c r="CL54" s="191">
        <f t="shared" si="60"/>
        <v>0</v>
      </c>
      <c r="CM54" s="191">
        <f t="shared" si="61"/>
        <v>0</v>
      </c>
      <c r="CN54" s="191">
        <f t="shared" si="62"/>
        <v>0</v>
      </c>
      <c r="CO54" s="191">
        <f t="shared" si="63"/>
        <v>0</v>
      </c>
      <c r="CP54" s="191">
        <f t="shared" si="64"/>
        <v>0</v>
      </c>
      <c r="CQ54" s="191">
        <f t="shared" si="81"/>
        <v>0</v>
      </c>
      <c r="CR54" s="191">
        <f t="shared" si="82"/>
        <v>0.5</v>
      </c>
      <c r="CS54" s="31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</row>
    <row r="55" spans="1:200" s="23" customFormat="1" ht="14.25" customHeight="1">
      <c r="A55" s="321"/>
      <c r="B55" s="252" t="s">
        <v>374</v>
      </c>
      <c r="C55" s="217">
        <v>0.41666666666666669</v>
      </c>
      <c r="D55" s="214">
        <v>0.58333333333333337</v>
      </c>
      <c r="E55" s="214">
        <v>0.70833333333333337</v>
      </c>
      <c r="F55" s="215">
        <v>0.9375</v>
      </c>
      <c r="G55" s="236" t="s">
        <v>42</v>
      </c>
      <c r="H55" s="218" t="s">
        <v>42</v>
      </c>
      <c r="I55" s="216" t="s">
        <v>42</v>
      </c>
      <c r="J55" s="215" t="s">
        <v>42</v>
      </c>
      <c r="K55" s="236" t="s">
        <v>42</v>
      </c>
      <c r="L55" s="218" t="s">
        <v>42</v>
      </c>
      <c r="M55" s="216" t="s">
        <v>42</v>
      </c>
      <c r="N55" s="215" t="s">
        <v>42</v>
      </c>
      <c r="O55" s="217">
        <v>0.41666666666666669</v>
      </c>
      <c r="P55" s="214">
        <v>0.58333333333333337</v>
      </c>
      <c r="Q55" s="214">
        <v>0.75</v>
      </c>
      <c r="R55" s="215">
        <v>0.97916666666666663</v>
      </c>
      <c r="S55" s="217">
        <v>0.41666666666666669</v>
      </c>
      <c r="T55" s="214">
        <v>0.58333333333333337</v>
      </c>
      <c r="U55" s="214">
        <v>0.70833333333333337</v>
      </c>
      <c r="V55" s="215">
        <v>0.97916666666666663</v>
      </c>
      <c r="W55" s="217">
        <v>0.41666666666666669</v>
      </c>
      <c r="X55" s="214">
        <v>0.58333333333333337</v>
      </c>
      <c r="Y55" s="214">
        <v>0.70833333333333337</v>
      </c>
      <c r="Z55" s="215">
        <v>0.9375</v>
      </c>
      <c r="AA55" s="217">
        <v>0.41666666666666669</v>
      </c>
      <c r="AB55" s="214">
        <v>0.58333333333333337</v>
      </c>
      <c r="AC55" s="214">
        <v>0.75</v>
      </c>
      <c r="AD55" s="215">
        <v>0.95833333333333337</v>
      </c>
      <c r="AE55" s="249">
        <f t="shared" si="67"/>
        <v>2</v>
      </c>
      <c r="AF55" s="239">
        <v>0.86111111111111116</v>
      </c>
      <c r="AG55" s="41"/>
      <c r="AH55" s="191">
        <f t="shared" si="73"/>
        <v>0.16666666666666669</v>
      </c>
      <c r="AI55" s="191">
        <f t="shared" si="40"/>
        <v>0.22916666666666663</v>
      </c>
      <c r="AJ55" s="191">
        <f t="shared" si="75"/>
        <v>0</v>
      </c>
      <c r="AK55" s="191">
        <f t="shared" si="76"/>
        <v>0</v>
      </c>
      <c r="AL55" s="191">
        <f t="shared" si="43"/>
        <v>0</v>
      </c>
      <c r="AM55" s="191">
        <f t="shared" si="44"/>
        <v>0</v>
      </c>
      <c r="AN55" s="191">
        <f t="shared" si="45"/>
        <v>0.16666666666666669</v>
      </c>
      <c r="AO55" s="191">
        <f t="shared" si="46"/>
        <v>0.22916666666666663</v>
      </c>
      <c r="AP55" s="191">
        <f t="shared" si="47"/>
        <v>0.16666666666666669</v>
      </c>
      <c r="AQ55" s="191">
        <f t="shared" si="48"/>
        <v>0.27083333333333326</v>
      </c>
      <c r="AR55" s="191">
        <f t="shared" si="49"/>
        <v>0.16666666666666669</v>
      </c>
      <c r="AS55" s="191">
        <f t="shared" si="50"/>
        <v>0.22916666666666663</v>
      </c>
      <c r="AT55" s="191">
        <f t="shared" si="77"/>
        <v>0.16666666666666669</v>
      </c>
      <c r="AU55" s="191">
        <f t="shared" si="78"/>
        <v>0.20833333333333337</v>
      </c>
      <c r="AV55" s="31"/>
      <c r="AW55" s="24"/>
      <c r="AX55" s="321"/>
      <c r="AY55" s="252" t="s">
        <v>374</v>
      </c>
      <c r="AZ55" s="236" t="s">
        <v>42</v>
      </c>
      <c r="BA55" s="218" t="s">
        <v>42</v>
      </c>
      <c r="BB55" s="216" t="s">
        <v>42</v>
      </c>
      <c r="BC55" s="215" t="s">
        <v>42</v>
      </c>
      <c r="BD55" s="217">
        <v>0.41666666666666669</v>
      </c>
      <c r="BE55" s="214">
        <v>0.58333333333333337</v>
      </c>
      <c r="BF55" s="214">
        <v>0.72916666666666663</v>
      </c>
      <c r="BG55" s="215">
        <v>0.9375</v>
      </c>
      <c r="BH55" s="236" t="s">
        <v>42</v>
      </c>
      <c r="BI55" s="218" t="s">
        <v>42</v>
      </c>
      <c r="BJ55" s="216" t="s">
        <v>42</v>
      </c>
      <c r="BK55" s="215" t="s">
        <v>42</v>
      </c>
      <c r="BL55" s="217">
        <v>0.41666666666666669</v>
      </c>
      <c r="BM55" s="214">
        <v>0.58333333333333337</v>
      </c>
      <c r="BN55" s="214">
        <v>0.72916666666666663</v>
      </c>
      <c r="BO55" s="215">
        <v>0.97916666666666663</v>
      </c>
      <c r="BP55" s="217">
        <v>0.41666666666666669</v>
      </c>
      <c r="BQ55" s="214">
        <v>0.58333333333333337</v>
      </c>
      <c r="BR55" s="214">
        <v>0.75</v>
      </c>
      <c r="BS55" s="215">
        <v>0.9375</v>
      </c>
      <c r="BT55" s="217">
        <v>0.41666666666666669</v>
      </c>
      <c r="BU55" s="214">
        <v>0.58333333333333337</v>
      </c>
      <c r="BV55" s="214">
        <v>0.72916666666666663</v>
      </c>
      <c r="BW55" s="215">
        <v>0.97916666666666663</v>
      </c>
      <c r="BX55" s="236" t="s">
        <v>42</v>
      </c>
      <c r="BY55" s="218" t="s">
        <v>42</v>
      </c>
      <c r="BZ55" s="216" t="s">
        <v>42</v>
      </c>
      <c r="CA55" s="215" t="s">
        <v>42</v>
      </c>
      <c r="CB55" s="249">
        <f t="shared" si="68"/>
        <v>1.5625000000000002</v>
      </c>
      <c r="CC55" s="239">
        <v>0.86111111111111116</v>
      </c>
      <c r="CD55" s="41"/>
      <c r="CE55" s="191">
        <f t="shared" si="74"/>
        <v>0</v>
      </c>
      <c r="CF55" s="191">
        <f t="shared" si="54"/>
        <v>0</v>
      </c>
      <c r="CG55" s="191">
        <f t="shared" si="79"/>
        <v>0.16666666666666669</v>
      </c>
      <c r="CH55" s="191">
        <f t="shared" si="80"/>
        <v>0.20833333333333337</v>
      </c>
      <c r="CI55" s="191">
        <f t="shared" si="57"/>
        <v>0</v>
      </c>
      <c r="CJ55" s="191">
        <f t="shared" si="58"/>
        <v>0</v>
      </c>
      <c r="CK55" s="191">
        <f t="shared" si="59"/>
        <v>0.16666666666666669</v>
      </c>
      <c r="CL55" s="191">
        <f t="shared" si="60"/>
        <v>0.25</v>
      </c>
      <c r="CM55" s="191">
        <f t="shared" si="61"/>
        <v>0.16666666666666669</v>
      </c>
      <c r="CN55" s="191">
        <f t="shared" si="62"/>
        <v>0.1875</v>
      </c>
      <c r="CO55" s="191">
        <f t="shared" si="63"/>
        <v>0.16666666666666669</v>
      </c>
      <c r="CP55" s="191">
        <f t="shared" si="64"/>
        <v>0.25</v>
      </c>
      <c r="CQ55" s="191">
        <f t="shared" si="81"/>
        <v>0</v>
      </c>
      <c r="CR55" s="191">
        <f t="shared" si="82"/>
        <v>0</v>
      </c>
      <c r="CS55" s="31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</row>
    <row r="56" spans="1:200" s="23" customFormat="1" ht="14.25" customHeight="1">
      <c r="A56" s="321"/>
      <c r="B56" s="248" t="s">
        <v>375</v>
      </c>
      <c r="C56" s="217" t="s">
        <v>42</v>
      </c>
      <c r="D56" s="214" t="s">
        <v>42</v>
      </c>
      <c r="E56" s="214" t="s">
        <v>42</v>
      </c>
      <c r="F56" s="215" t="s">
        <v>42</v>
      </c>
      <c r="G56" s="236"/>
      <c r="H56" s="218"/>
      <c r="I56" s="214">
        <v>0.45833333333333331</v>
      </c>
      <c r="J56" s="215">
        <v>0.9375</v>
      </c>
      <c r="K56" s="236"/>
      <c r="L56" s="218"/>
      <c r="M56" s="214">
        <v>0.45833333333333331</v>
      </c>
      <c r="N56" s="215">
        <v>0.9375</v>
      </c>
      <c r="O56" s="236" t="s">
        <v>42</v>
      </c>
      <c r="P56" s="218" t="s">
        <v>42</v>
      </c>
      <c r="Q56" s="216" t="s">
        <v>42</v>
      </c>
      <c r="R56" s="215" t="s">
        <v>42</v>
      </c>
      <c r="S56" s="236" t="s">
        <v>42</v>
      </c>
      <c r="T56" s="218" t="s">
        <v>42</v>
      </c>
      <c r="U56" s="214" t="s">
        <v>42</v>
      </c>
      <c r="V56" s="215" t="s">
        <v>42</v>
      </c>
      <c r="W56" s="236"/>
      <c r="X56" s="218"/>
      <c r="Y56" s="214">
        <v>0.70833333333333337</v>
      </c>
      <c r="Z56" s="215">
        <v>2.0833333333333332E-2</v>
      </c>
      <c r="AA56" s="236" t="s">
        <v>42</v>
      </c>
      <c r="AB56" s="218" t="s">
        <v>42</v>
      </c>
      <c r="AC56" s="216" t="s">
        <v>42</v>
      </c>
      <c r="AD56" s="215" t="s">
        <v>42</v>
      </c>
      <c r="AE56" s="249">
        <f t="shared" si="67"/>
        <v>1.2708333333333335</v>
      </c>
      <c r="AF56" s="238"/>
      <c r="AG56" s="41"/>
      <c r="AH56" s="191">
        <f t="shared" si="73"/>
        <v>0</v>
      </c>
      <c r="AI56" s="191">
        <f t="shared" si="40"/>
        <v>0</v>
      </c>
      <c r="AJ56" s="191">
        <f t="shared" si="75"/>
        <v>0</v>
      </c>
      <c r="AK56" s="191">
        <f t="shared" si="76"/>
        <v>0.47916666666666669</v>
      </c>
      <c r="AL56" s="191">
        <f t="shared" si="43"/>
        <v>0</v>
      </c>
      <c r="AM56" s="191">
        <f t="shared" si="44"/>
        <v>0.47916666666666669</v>
      </c>
      <c r="AN56" s="191">
        <f t="shared" si="45"/>
        <v>0</v>
      </c>
      <c r="AO56" s="191">
        <f t="shared" si="46"/>
        <v>0</v>
      </c>
      <c r="AP56" s="191">
        <f t="shared" si="47"/>
        <v>0</v>
      </c>
      <c r="AQ56" s="191">
        <f t="shared" si="48"/>
        <v>0</v>
      </c>
      <c r="AR56" s="191">
        <f t="shared" si="49"/>
        <v>0</v>
      </c>
      <c r="AS56" s="191">
        <f t="shared" si="50"/>
        <v>0.3125</v>
      </c>
      <c r="AT56" s="191">
        <f t="shared" si="77"/>
        <v>0</v>
      </c>
      <c r="AU56" s="191">
        <f t="shared" si="78"/>
        <v>0</v>
      </c>
      <c r="AV56" s="31"/>
      <c r="AW56" s="24"/>
      <c r="AX56" s="321"/>
      <c r="AY56" s="248" t="s">
        <v>375</v>
      </c>
      <c r="AZ56" s="217" t="s">
        <v>42</v>
      </c>
      <c r="BA56" s="214" t="s">
        <v>42</v>
      </c>
      <c r="BB56" s="214" t="s">
        <v>42</v>
      </c>
      <c r="BC56" s="215" t="s">
        <v>42</v>
      </c>
      <c r="BD56" s="217" t="s">
        <v>412</v>
      </c>
      <c r="BE56" s="214" t="s">
        <v>412</v>
      </c>
      <c r="BF56" s="214" t="s">
        <v>412</v>
      </c>
      <c r="BG56" s="215" t="s">
        <v>412</v>
      </c>
      <c r="BH56" s="236" t="s">
        <v>42</v>
      </c>
      <c r="BI56" s="218" t="s">
        <v>42</v>
      </c>
      <c r="BJ56" s="216" t="s">
        <v>42</v>
      </c>
      <c r="BK56" s="215" t="s">
        <v>42</v>
      </c>
      <c r="BL56" s="236"/>
      <c r="BM56" s="218"/>
      <c r="BN56" s="214">
        <v>0.625</v>
      </c>
      <c r="BO56" s="215">
        <v>0.9375</v>
      </c>
      <c r="BP56" s="236"/>
      <c r="BQ56" s="218"/>
      <c r="BR56" s="214">
        <v>0.66666666666666663</v>
      </c>
      <c r="BS56" s="215">
        <v>2.0833333333333332E-2</v>
      </c>
      <c r="BT56" s="236"/>
      <c r="BU56" s="218"/>
      <c r="BV56" s="214">
        <v>0.5</v>
      </c>
      <c r="BW56" s="215">
        <v>0.95833333333333337</v>
      </c>
      <c r="BX56" s="217"/>
      <c r="BY56" s="214"/>
      <c r="BZ56" s="264">
        <v>0.375</v>
      </c>
      <c r="CA56" s="265">
        <v>0.875</v>
      </c>
      <c r="CB56" s="249">
        <f t="shared" si="68"/>
        <v>1.2708333333333335</v>
      </c>
      <c r="CC56" s="238"/>
      <c r="CD56" s="41"/>
      <c r="CE56" s="191">
        <f t="shared" si="74"/>
        <v>0</v>
      </c>
      <c r="CF56" s="191">
        <f t="shared" si="54"/>
        <v>0</v>
      </c>
      <c r="CG56" s="191">
        <f t="shared" si="79"/>
        <v>0</v>
      </c>
      <c r="CH56" s="191">
        <f t="shared" si="80"/>
        <v>0</v>
      </c>
      <c r="CI56" s="191">
        <f t="shared" si="57"/>
        <v>0</v>
      </c>
      <c r="CJ56" s="191">
        <f t="shared" si="58"/>
        <v>0</v>
      </c>
      <c r="CK56" s="191">
        <f t="shared" si="59"/>
        <v>0</v>
      </c>
      <c r="CL56" s="191">
        <f t="shared" si="60"/>
        <v>0.3125</v>
      </c>
      <c r="CM56" s="191">
        <f t="shared" si="61"/>
        <v>0</v>
      </c>
      <c r="CN56" s="191">
        <f>IF(ISERROR(VALUE((MOD(#REF!-BS56,1))))=TRUE,0,MOD(#REF!-BS56,1))</f>
        <v>0</v>
      </c>
      <c r="CO56" s="191">
        <f t="shared" si="63"/>
        <v>0</v>
      </c>
      <c r="CP56" s="191">
        <f t="shared" si="64"/>
        <v>0.45833333333333337</v>
      </c>
      <c r="CQ56" s="191">
        <f t="shared" si="81"/>
        <v>0</v>
      </c>
      <c r="CR56" s="191">
        <f t="shared" si="82"/>
        <v>0.5</v>
      </c>
      <c r="CS56" s="31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</row>
    <row r="57" spans="1:200" s="23" customFormat="1" ht="14.25" customHeight="1">
      <c r="A57" s="321"/>
      <c r="B57" s="248" t="s">
        <v>399</v>
      </c>
      <c r="C57" s="217"/>
      <c r="D57" s="214"/>
      <c r="E57" s="214">
        <v>0.45833333333333331</v>
      </c>
      <c r="F57" s="215">
        <v>0.9375</v>
      </c>
      <c r="G57" s="217" t="s">
        <v>42</v>
      </c>
      <c r="H57" s="214" t="s">
        <v>42</v>
      </c>
      <c r="I57" s="214" t="s">
        <v>42</v>
      </c>
      <c r="J57" s="215" t="s">
        <v>42</v>
      </c>
      <c r="K57" s="217" t="s">
        <v>42</v>
      </c>
      <c r="L57" s="214" t="s">
        <v>42</v>
      </c>
      <c r="M57" s="214" t="s">
        <v>42</v>
      </c>
      <c r="N57" s="215" t="s">
        <v>42</v>
      </c>
      <c r="O57" s="217"/>
      <c r="P57" s="214"/>
      <c r="Q57" s="214">
        <v>0.45833333333333331</v>
      </c>
      <c r="R57" s="215">
        <v>0.9375</v>
      </c>
      <c r="S57" s="217"/>
      <c r="T57" s="214"/>
      <c r="U57" s="214">
        <v>0.75</v>
      </c>
      <c r="V57" s="215">
        <v>2.0833333333333332E-2</v>
      </c>
      <c r="W57" s="217"/>
      <c r="X57" s="214"/>
      <c r="Y57" s="214">
        <v>0.75</v>
      </c>
      <c r="Z57" s="215">
        <v>0.97916666666666663</v>
      </c>
      <c r="AA57" s="217" t="s">
        <v>42</v>
      </c>
      <c r="AB57" s="214" t="s">
        <v>42</v>
      </c>
      <c r="AC57" s="214" t="s">
        <v>42</v>
      </c>
      <c r="AD57" s="215" t="s">
        <v>42</v>
      </c>
      <c r="AE57" s="249">
        <f t="shared" si="67"/>
        <v>1.4583333333333335</v>
      </c>
      <c r="AF57" s="238"/>
      <c r="AG57" s="41"/>
      <c r="AH57" s="191">
        <f t="shared" si="73"/>
        <v>0</v>
      </c>
      <c r="AI57" s="191">
        <f t="shared" si="40"/>
        <v>0.47916666666666669</v>
      </c>
      <c r="AJ57" s="191">
        <f t="shared" si="75"/>
        <v>0</v>
      </c>
      <c r="AK57" s="191">
        <f t="shared" si="76"/>
        <v>0</v>
      </c>
      <c r="AL57" s="191">
        <f t="shared" si="43"/>
        <v>0</v>
      </c>
      <c r="AM57" s="191">
        <f t="shared" si="44"/>
        <v>0</v>
      </c>
      <c r="AN57" s="191">
        <f t="shared" si="45"/>
        <v>0</v>
      </c>
      <c r="AO57" s="191">
        <f t="shared" si="46"/>
        <v>0.47916666666666669</v>
      </c>
      <c r="AP57" s="191">
        <f t="shared" si="47"/>
        <v>0</v>
      </c>
      <c r="AQ57" s="191">
        <f t="shared" si="48"/>
        <v>0.27083333333333337</v>
      </c>
      <c r="AR57" s="191">
        <f t="shared" si="49"/>
        <v>0</v>
      </c>
      <c r="AS57" s="191">
        <f t="shared" si="50"/>
        <v>0.22916666666666663</v>
      </c>
      <c r="AT57" s="191">
        <f t="shared" si="77"/>
        <v>0</v>
      </c>
      <c r="AU57" s="191">
        <f t="shared" si="78"/>
        <v>0</v>
      </c>
      <c r="AV57" s="31"/>
      <c r="AW57" s="24"/>
      <c r="AX57" s="321"/>
      <c r="AY57" s="248" t="s">
        <v>399</v>
      </c>
      <c r="AZ57" s="236" t="s">
        <v>42</v>
      </c>
      <c r="BA57" s="218" t="s">
        <v>42</v>
      </c>
      <c r="BB57" s="216" t="s">
        <v>42</v>
      </c>
      <c r="BC57" s="215" t="s">
        <v>42</v>
      </c>
      <c r="BD57" s="236" t="s">
        <v>42</v>
      </c>
      <c r="BE57" s="218" t="s">
        <v>42</v>
      </c>
      <c r="BF57" s="216" t="s">
        <v>42</v>
      </c>
      <c r="BG57" s="215" t="s">
        <v>42</v>
      </c>
      <c r="BH57" s="217">
        <v>0.41666666666666669</v>
      </c>
      <c r="BI57" s="214">
        <v>0.58333333333333337</v>
      </c>
      <c r="BJ57" s="214">
        <v>0.70833333333333337</v>
      </c>
      <c r="BK57" s="215">
        <v>0.97916666666666663</v>
      </c>
      <c r="BL57" s="217" t="s">
        <v>42</v>
      </c>
      <c r="BM57" s="214" t="s">
        <v>42</v>
      </c>
      <c r="BN57" s="214" t="s">
        <v>42</v>
      </c>
      <c r="BO57" s="215" t="s">
        <v>42</v>
      </c>
      <c r="BP57" s="217"/>
      <c r="BQ57" s="214"/>
      <c r="BR57" s="216">
        <v>0.75</v>
      </c>
      <c r="BS57" s="215">
        <v>2.0833333333333332E-2</v>
      </c>
      <c r="BT57" s="217">
        <v>0.47916666666666669</v>
      </c>
      <c r="BU57" s="214">
        <v>0.58333333333333337</v>
      </c>
      <c r="BV57" s="216">
        <v>0.75</v>
      </c>
      <c r="BW57" s="215">
        <v>0.97916666666666663</v>
      </c>
      <c r="BX57" s="217">
        <v>0.45833333333333331</v>
      </c>
      <c r="BY57" s="214">
        <v>0.58333333333333337</v>
      </c>
      <c r="BZ57" s="218">
        <v>0.70833333333333337</v>
      </c>
      <c r="CA57" s="219">
        <v>0.97916666666666663</v>
      </c>
      <c r="CB57" s="249">
        <f t="shared" si="68"/>
        <v>1.4374999999999998</v>
      </c>
      <c r="CC57" s="238"/>
      <c r="CD57" s="41"/>
      <c r="CE57" s="191">
        <f t="shared" si="74"/>
        <v>0</v>
      </c>
      <c r="CF57" s="191">
        <f t="shared" si="54"/>
        <v>0</v>
      </c>
      <c r="CG57" s="191">
        <f t="shared" si="79"/>
        <v>0</v>
      </c>
      <c r="CH57" s="191">
        <f t="shared" si="80"/>
        <v>0</v>
      </c>
      <c r="CI57" s="191">
        <f t="shared" si="57"/>
        <v>0.16666666666666669</v>
      </c>
      <c r="CJ57" s="191">
        <f t="shared" si="58"/>
        <v>0.27083333333333326</v>
      </c>
      <c r="CK57" s="191">
        <f t="shared" si="59"/>
        <v>0</v>
      </c>
      <c r="CL57" s="191">
        <f t="shared" si="60"/>
        <v>0</v>
      </c>
      <c r="CM57" s="191">
        <f t="shared" si="61"/>
        <v>0</v>
      </c>
      <c r="CN57" s="191">
        <f t="shared" si="62"/>
        <v>0.27083333333333337</v>
      </c>
      <c r="CO57" s="191">
        <f t="shared" si="63"/>
        <v>0.10416666666666669</v>
      </c>
      <c r="CP57" s="191">
        <f t="shared" si="64"/>
        <v>0.22916666666666663</v>
      </c>
      <c r="CQ57" s="191">
        <f t="shared" si="81"/>
        <v>0.12500000000000006</v>
      </c>
      <c r="CR57" s="191">
        <f t="shared" si="82"/>
        <v>0.27083333333333326</v>
      </c>
      <c r="CS57" s="31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</row>
    <row r="58" spans="1:200" s="23" customFormat="1" ht="14.25" customHeight="1">
      <c r="A58" s="321"/>
      <c r="B58" s="253" t="s">
        <v>403</v>
      </c>
      <c r="C58" s="217"/>
      <c r="D58" s="214"/>
      <c r="E58" s="214">
        <v>0.70833333333333337</v>
      </c>
      <c r="F58" s="215">
        <v>0.97916666666666663</v>
      </c>
      <c r="G58" s="217">
        <v>0.41666666666666669</v>
      </c>
      <c r="H58" s="214">
        <v>0.58333333333333337</v>
      </c>
      <c r="I58" s="214">
        <v>0.70833333333333337</v>
      </c>
      <c r="J58" s="215">
        <v>0.9375</v>
      </c>
      <c r="K58" s="217" t="s">
        <v>42</v>
      </c>
      <c r="L58" s="214" t="s">
        <v>42</v>
      </c>
      <c r="M58" s="214" t="s">
        <v>42</v>
      </c>
      <c r="N58" s="215" t="s">
        <v>42</v>
      </c>
      <c r="O58" s="236" t="s">
        <v>42</v>
      </c>
      <c r="P58" s="218" t="s">
        <v>42</v>
      </c>
      <c r="Q58" s="216" t="s">
        <v>42</v>
      </c>
      <c r="R58" s="215" t="s">
        <v>42</v>
      </c>
      <c r="S58" s="217"/>
      <c r="T58" s="214"/>
      <c r="U58" s="214">
        <v>0.5</v>
      </c>
      <c r="V58" s="215">
        <v>0.9375</v>
      </c>
      <c r="W58" s="217"/>
      <c r="X58" s="214"/>
      <c r="Y58" s="214">
        <v>0.5</v>
      </c>
      <c r="Z58" s="215">
        <v>0.97916666666666663</v>
      </c>
      <c r="AA58" s="217"/>
      <c r="AB58" s="214"/>
      <c r="AC58" s="214">
        <v>0.45833333333333331</v>
      </c>
      <c r="AD58" s="215">
        <v>0.875</v>
      </c>
      <c r="AE58" s="249">
        <f t="shared" si="67"/>
        <v>1.9999999999999998</v>
      </c>
      <c r="AF58" s="238"/>
      <c r="AG58" s="41"/>
      <c r="AH58" s="191">
        <f t="shared" si="73"/>
        <v>0</v>
      </c>
      <c r="AI58" s="191">
        <f t="shared" si="40"/>
        <v>0.27083333333333326</v>
      </c>
      <c r="AJ58" s="191">
        <f t="shared" si="75"/>
        <v>0.16666666666666669</v>
      </c>
      <c r="AK58" s="191">
        <f t="shared" si="76"/>
        <v>0.22916666666666663</v>
      </c>
      <c r="AL58" s="191">
        <f t="shared" si="43"/>
        <v>0</v>
      </c>
      <c r="AM58" s="191">
        <f t="shared" si="44"/>
        <v>0</v>
      </c>
      <c r="AN58" s="191">
        <f t="shared" si="45"/>
        <v>0</v>
      </c>
      <c r="AO58" s="191">
        <f t="shared" si="46"/>
        <v>0</v>
      </c>
      <c r="AP58" s="191">
        <f t="shared" si="47"/>
        <v>0</v>
      </c>
      <c r="AQ58" s="191">
        <f t="shared" si="48"/>
        <v>0.4375</v>
      </c>
      <c r="AR58" s="191">
        <f t="shared" si="49"/>
        <v>0</v>
      </c>
      <c r="AS58" s="191">
        <f t="shared" si="50"/>
        <v>0.47916666666666663</v>
      </c>
      <c r="AT58" s="191">
        <f t="shared" si="77"/>
        <v>0</v>
      </c>
      <c r="AU58" s="191">
        <f t="shared" si="78"/>
        <v>0.41666666666666669</v>
      </c>
      <c r="AV58" s="31"/>
      <c r="AW58" s="24"/>
      <c r="AX58" s="321"/>
      <c r="AY58" s="253" t="s">
        <v>403</v>
      </c>
      <c r="AZ58" s="217">
        <v>0.45833333333333331</v>
      </c>
      <c r="BA58" s="214">
        <v>0.625</v>
      </c>
      <c r="BB58" s="214">
        <v>0.75</v>
      </c>
      <c r="BC58" s="215">
        <v>0.97916666666666663</v>
      </c>
      <c r="BD58" s="217" t="s">
        <v>42</v>
      </c>
      <c r="BE58" s="214" t="s">
        <v>42</v>
      </c>
      <c r="BF58" s="214" t="s">
        <v>42</v>
      </c>
      <c r="BG58" s="215" t="s">
        <v>42</v>
      </c>
      <c r="BH58" s="217">
        <v>0.45833333333333331</v>
      </c>
      <c r="BI58" s="214">
        <v>0.625</v>
      </c>
      <c r="BJ58" s="216">
        <v>0.75</v>
      </c>
      <c r="BK58" s="215">
        <v>0.9375</v>
      </c>
      <c r="BL58" s="217" t="s">
        <v>42</v>
      </c>
      <c r="BM58" s="214" t="s">
        <v>42</v>
      </c>
      <c r="BN58" s="214" t="s">
        <v>42</v>
      </c>
      <c r="BO58" s="215" t="s">
        <v>42</v>
      </c>
      <c r="BP58" s="217">
        <v>0.45833333333333331</v>
      </c>
      <c r="BQ58" s="214">
        <v>0.58333333333333337</v>
      </c>
      <c r="BR58" s="214">
        <v>0.70833333333333337</v>
      </c>
      <c r="BS58" s="215">
        <v>0.9375</v>
      </c>
      <c r="BT58" s="217"/>
      <c r="BU58" s="214"/>
      <c r="BV58" s="214">
        <v>0.70833333333333337</v>
      </c>
      <c r="BW58" s="215">
        <v>0.97916666666666663</v>
      </c>
      <c r="BX58" s="236" t="s">
        <v>42</v>
      </c>
      <c r="BY58" s="218" t="s">
        <v>42</v>
      </c>
      <c r="BZ58" s="216" t="s">
        <v>42</v>
      </c>
      <c r="CA58" s="215" t="s">
        <v>42</v>
      </c>
      <c r="CB58" s="249">
        <f t="shared" si="68"/>
        <v>1.208333333333333</v>
      </c>
      <c r="CC58" s="238"/>
      <c r="CD58" s="41"/>
      <c r="CE58" s="191">
        <f t="shared" si="74"/>
        <v>0.16666666666666669</v>
      </c>
      <c r="CF58" s="191">
        <f t="shared" si="54"/>
        <v>0.22916666666666663</v>
      </c>
      <c r="CG58" s="191">
        <f t="shared" si="79"/>
        <v>0</v>
      </c>
      <c r="CH58" s="191">
        <f t="shared" si="80"/>
        <v>0</v>
      </c>
      <c r="CI58" s="191">
        <f>IF(ISERROR(VALUE((MOD(BI58-#REF!,1))))=TRUE,0,MOD(BI58-#REF!,1))</f>
        <v>0</v>
      </c>
      <c r="CJ58" s="191">
        <f t="shared" si="58"/>
        <v>0.1875</v>
      </c>
      <c r="CK58" s="191">
        <f t="shared" si="59"/>
        <v>0</v>
      </c>
      <c r="CL58" s="191">
        <f t="shared" si="60"/>
        <v>0</v>
      </c>
      <c r="CM58" s="191">
        <f t="shared" si="61"/>
        <v>0.12500000000000006</v>
      </c>
      <c r="CN58" s="191">
        <f t="shared" si="62"/>
        <v>0.22916666666666663</v>
      </c>
      <c r="CO58" s="191">
        <f t="shared" si="63"/>
        <v>0</v>
      </c>
      <c r="CP58" s="191">
        <f t="shared" si="64"/>
        <v>0.27083333333333326</v>
      </c>
      <c r="CQ58" s="191">
        <f t="shared" si="81"/>
        <v>0</v>
      </c>
      <c r="CR58" s="191">
        <f t="shared" si="82"/>
        <v>0</v>
      </c>
      <c r="CS58" s="31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</row>
    <row r="59" spans="1:200" s="23" customFormat="1" ht="14.25" customHeight="1">
      <c r="A59" s="321"/>
      <c r="B59" s="253" t="s">
        <v>406</v>
      </c>
      <c r="C59" s="217" t="s">
        <v>42</v>
      </c>
      <c r="D59" s="214" t="s">
        <v>42</v>
      </c>
      <c r="E59" s="214" t="s">
        <v>42</v>
      </c>
      <c r="F59" s="215" t="s">
        <v>42</v>
      </c>
      <c r="G59" s="217" t="s">
        <v>42</v>
      </c>
      <c r="H59" s="214" t="s">
        <v>42</v>
      </c>
      <c r="I59" s="214" t="s">
        <v>42</v>
      </c>
      <c r="J59" s="215" t="s">
        <v>42</v>
      </c>
      <c r="K59" s="217" t="s">
        <v>42</v>
      </c>
      <c r="L59" s="214" t="s">
        <v>42</v>
      </c>
      <c r="M59" s="214" t="s">
        <v>42</v>
      </c>
      <c r="N59" s="215" t="s">
        <v>42</v>
      </c>
      <c r="O59" s="217" t="s">
        <v>42</v>
      </c>
      <c r="P59" s="214" t="s">
        <v>42</v>
      </c>
      <c r="Q59" s="214" t="s">
        <v>42</v>
      </c>
      <c r="R59" s="215" t="s">
        <v>42</v>
      </c>
      <c r="S59" s="278"/>
      <c r="T59" s="266" t="s">
        <v>417</v>
      </c>
      <c r="U59" s="266"/>
      <c r="V59" s="267"/>
      <c r="W59" s="278"/>
      <c r="X59" s="266" t="s">
        <v>417</v>
      </c>
      <c r="Y59" s="266"/>
      <c r="Z59" s="267"/>
      <c r="AA59" s="217" t="s">
        <v>42</v>
      </c>
      <c r="AB59" s="214" t="s">
        <v>42</v>
      </c>
      <c r="AC59" s="214" t="s">
        <v>42</v>
      </c>
      <c r="AD59" s="215" t="s">
        <v>42</v>
      </c>
      <c r="AE59" s="249">
        <f t="shared" si="67"/>
        <v>0</v>
      </c>
      <c r="AF59" s="238"/>
      <c r="AG59" s="41"/>
      <c r="AH59" s="191">
        <f t="shared" si="73"/>
        <v>0</v>
      </c>
      <c r="AI59" s="191">
        <f t="shared" si="40"/>
        <v>0</v>
      </c>
      <c r="AJ59" s="191">
        <f t="shared" si="75"/>
        <v>0</v>
      </c>
      <c r="AK59" s="191">
        <f t="shared" si="76"/>
        <v>0</v>
      </c>
      <c r="AL59" s="191">
        <f t="shared" si="43"/>
        <v>0</v>
      </c>
      <c r="AM59" s="191">
        <f t="shared" si="44"/>
        <v>0</v>
      </c>
      <c r="AN59" s="191">
        <f t="shared" si="45"/>
        <v>0</v>
      </c>
      <c r="AO59" s="191">
        <f t="shared" si="46"/>
        <v>0</v>
      </c>
      <c r="AP59" s="191">
        <f t="shared" si="47"/>
        <v>0</v>
      </c>
      <c r="AQ59" s="191">
        <f t="shared" si="48"/>
        <v>0</v>
      </c>
      <c r="AR59" s="191">
        <f t="shared" si="49"/>
        <v>0</v>
      </c>
      <c r="AS59" s="191">
        <f t="shared" si="50"/>
        <v>0</v>
      </c>
      <c r="AT59" s="191">
        <f t="shared" si="77"/>
        <v>0</v>
      </c>
      <c r="AU59" s="191">
        <f t="shared" si="78"/>
        <v>0</v>
      </c>
      <c r="AV59" s="31"/>
      <c r="AW59" s="24"/>
      <c r="AX59" s="321"/>
      <c r="AY59" s="253" t="s">
        <v>406</v>
      </c>
      <c r="AZ59" s="217" t="s">
        <v>42</v>
      </c>
      <c r="BA59" s="214" t="s">
        <v>42</v>
      </c>
      <c r="BB59" s="214" t="s">
        <v>42</v>
      </c>
      <c r="BC59" s="215" t="s">
        <v>42</v>
      </c>
      <c r="BD59" s="217" t="s">
        <v>42</v>
      </c>
      <c r="BE59" s="214" t="s">
        <v>42</v>
      </c>
      <c r="BF59" s="214" t="s">
        <v>42</v>
      </c>
      <c r="BG59" s="215" t="s">
        <v>42</v>
      </c>
      <c r="BH59" s="217" t="s">
        <v>42</v>
      </c>
      <c r="BI59" s="214" t="s">
        <v>42</v>
      </c>
      <c r="BJ59" s="214" t="s">
        <v>42</v>
      </c>
      <c r="BK59" s="215" t="s">
        <v>42</v>
      </c>
      <c r="BL59" s="217" t="s">
        <v>42</v>
      </c>
      <c r="BM59" s="214" t="s">
        <v>42</v>
      </c>
      <c r="BN59" s="214" t="s">
        <v>42</v>
      </c>
      <c r="BO59" s="215" t="s">
        <v>42</v>
      </c>
      <c r="BP59" s="217" t="s">
        <v>42</v>
      </c>
      <c r="BQ59" s="214" t="s">
        <v>42</v>
      </c>
      <c r="BR59" s="214" t="s">
        <v>42</v>
      </c>
      <c r="BS59" s="215" t="s">
        <v>42</v>
      </c>
      <c r="BT59" s="217" t="s">
        <v>42</v>
      </c>
      <c r="BU59" s="214" t="s">
        <v>42</v>
      </c>
      <c r="BV59" s="214" t="s">
        <v>42</v>
      </c>
      <c r="BW59" s="215" t="s">
        <v>42</v>
      </c>
      <c r="BX59" s="217" t="s">
        <v>42</v>
      </c>
      <c r="BY59" s="214" t="s">
        <v>42</v>
      </c>
      <c r="BZ59" s="214" t="s">
        <v>42</v>
      </c>
      <c r="CA59" s="215" t="s">
        <v>42</v>
      </c>
      <c r="CB59" s="249">
        <f t="shared" si="68"/>
        <v>0</v>
      </c>
      <c r="CC59" s="238"/>
      <c r="CD59" s="41"/>
      <c r="CE59" s="191">
        <f t="shared" si="74"/>
        <v>0</v>
      </c>
      <c r="CF59" s="191">
        <f t="shared" si="54"/>
        <v>0</v>
      </c>
      <c r="CG59" s="191">
        <f t="shared" si="79"/>
        <v>0</v>
      </c>
      <c r="CH59" s="191">
        <f t="shared" si="80"/>
        <v>0</v>
      </c>
      <c r="CI59" s="191">
        <f>IF(ISERROR(VALUE((MOD(BI59-BH58,1))))=TRUE,0,MOD(BI59-BH58,1))</f>
        <v>0</v>
      </c>
      <c r="CJ59" s="191">
        <f t="shared" si="58"/>
        <v>0</v>
      </c>
      <c r="CK59" s="191">
        <f t="shared" si="59"/>
        <v>0</v>
      </c>
      <c r="CL59" s="191">
        <f t="shared" si="60"/>
        <v>0</v>
      </c>
      <c r="CM59" s="191">
        <f t="shared" si="61"/>
        <v>0</v>
      </c>
      <c r="CN59" s="191">
        <f t="shared" si="62"/>
        <v>0</v>
      </c>
      <c r="CO59" s="191">
        <f t="shared" si="63"/>
        <v>0</v>
      </c>
      <c r="CP59" s="191">
        <f t="shared" si="64"/>
        <v>0</v>
      </c>
      <c r="CQ59" s="191">
        <f t="shared" si="81"/>
        <v>0</v>
      </c>
      <c r="CR59" s="191">
        <f t="shared" si="82"/>
        <v>0</v>
      </c>
      <c r="CS59" s="31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</row>
    <row r="60" spans="1:200" s="23" customFormat="1" ht="14.25" customHeight="1">
      <c r="A60" s="321"/>
      <c r="B60" s="253" t="s">
        <v>404</v>
      </c>
      <c r="C60" s="217"/>
      <c r="D60" s="214"/>
      <c r="E60" s="214">
        <v>0.58333333333333337</v>
      </c>
      <c r="F60" s="215">
        <v>8.3333333333333329E-2</v>
      </c>
      <c r="G60" s="236" t="s">
        <v>42</v>
      </c>
      <c r="H60" s="218" t="s">
        <v>42</v>
      </c>
      <c r="I60" s="216" t="s">
        <v>42</v>
      </c>
      <c r="J60" s="215" t="s">
        <v>42</v>
      </c>
      <c r="K60" s="236">
        <v>0.5</v>
      </c>
      <c r="L60" s="218">
        <v>0.625</v>
      </c>
      <c r="M60" s="216">
        <v>0.75</v>
      </c>
      <c r="N60" s="215">
        <v>0.97916666666666663</v>
      </c>
      <c r="O60" s="236" t="s">
        <v>42</v>
      </c>
      <c r="P60" s="218" t="s">
        <v>42</v>
      </c>
      <c r="Q60" s="216" t="s">
        <v>42</v>
      </c>
      <c r="R60" s="215" t="s">
        <v>42</v>
      </c>
      <c r="S60" s="236"/>
      <c r="T60" s="218"/>
      <c r="U60" s="216">
        <v>0.58333333333333337</v>
      </c>
      <c r="V60" s="215">
        <v>0.9375</v>
      </c>
      <c r="W60" s="217"/>
      <c r="X60" s="214"/>
      <c r="Y60" s="214">
        <v>0.5</v>
      </c>
      <c r="Z60" s="215">
        <v>0.97916666666666663</v>
      </c>
      <c r="AA60" s="268">
        <v>0.5</v>
      </c>
      <c r="AB60" s="264">
        <v>0.625</v>
      </c>
      <c r="AC60" s="216">
        <v>0.75</v>
      </c>
      <c r="AD60" s="235">
        <v>0.97916666666666663</v>
      </c>
      <c r="AE60" s="249">
        <f t="shared" si="67"/>
        <v>2.0416666666666665</v>
      </c>
      <c r="AF60" s="238"/>
      <c r="AG60" s="41"/>
      <c r="AH60" s="191">
        <f t="shared" si="73"/>
        <v>0</v>
      </c>
      <c r="AI60" s="191">
        <f t="shared" si="40"/>
        <v>0.5</v>
      </c>
      <c r="AJ60" s="191">
        <f t="shared" si="75"/>
        <v>0</v>
      </c>
      <c r="AK60" s="191">
        <f t="shared" si="76"/>
        <v>0</v>
      </c>
      <c r="AL60" s="191">
        <f t="shared" si="43"/>
        <v>0.125</v>
      </c>
      <c r="AM60" s="191">
        <f t="shared" si="44"/>
        <v>0.22916666666666663</v>
      </c>
      <c r="AN60" s="191">
        <f t="shared" si="45"/>
        <v>0</v>
      </c>
      <c r="AO60" s="191">
        <f t="shared" si="46"/>
        <v>0</v>
      </c>
      <c r="AP60" s="191">
        <f t="shared" si="47"/>
        <v>0</v>
      </c>
      <c r="AQ60" s="191">
        <f t="shared" si="48"/>
        <v>0.35416666666666663</v>
      </c>
      <c r="AR60" s="191">
        <f t="shared" si="49"/>
        <v>0</v>
      </c>
      <c r="AS60" s="191">
        <f t="shared" si="50"/>
        <v>0.47916666666666663</v>
      </c>
      <c r="AT60" s="191">
        <f t="shared" si="77"/>
        <v>0.125</v>
      </c>
      <c r="AU60" s="191">
        <f t="shared" si="78"/>
        <v>0.22916666666666663</v>
      </c>
      <c r="AV60" s="31"/>
      <c r="AW60" s="24"/>
      <c r="AX60" s="321"/>
      <c r="AY60" s="253" t="s">
        <v>404</v>
      </c>
      <c r="AZ60" s="236" t="s">
        <v>42</v>
      </c>
      <c r="BA60" s="218" t="s">
        <v>42</v>
      </c>
      <c r="BB60" s="216" t="s">
        <v>42</v>
      </c>
      <c r="BC60" s="215" t="s">
        <v>42</v>
      </c>
      <c r="BD60" s="217" t="s">
        <v>42</v>
      </c>
      <c r="BE60" s="214" t="s">
        <v>42</v>
      </c>
      <c r="BF60" s="214" t="s">
        <v>42</v>
      </c>
      <c r="BG60" s="215" t="s">
        <v>42</v>
      </c>
      <c r="BH60" s="236" t="s">
        <v>42</v>
      </c>
      <c r="BI60" s="218" t="s">
        <v>42</v>
      </c>
      <c r="BJ60" s="216" t="s">
        <v>42</v>
      </c>
      <c r="BK60" s="215" t="s">
        <v>42</v>
      </c>
      <c r="BL60" s="236">
        <v>0.5</v>
      </c>
      <c r="BM60" s="218">
        <v>0.625</v>
      </c>
      <c r="BN60" s="216">
        <v>0.75</v>
      </c>
      <c r="BO60" s="215">
        <v>0.97916666666666663</v>
      </c>
      <c r="BP60" s="236">
        <v>0.5</v>
      </c>
      <c r="BQ60" s="218">
        <v>0.625</v>
      </c>
      <c r="BR60" s="216">
        <v>0.75</v>
      </c>
      <c r="BS60" s="215">
        <v>0.97916666666666663</v>
      </c>
      <c r="BT60" s="230"/>
      <c r="BU60" s="218"/>
      <c r="BV60" s="214">
        <v>0.5</v>
      </c>
      <c r="BW60" s="215">
        <v>0.97916666666666663</v>
      </c>
      <c r="BX60" s="268">
        <v>0.5</v>
      </c>
      <c r="BY60" s="264">
        <v>0.625</v>
      </c>
      <c r="BZ60" s="216">
        <v>0.75</v>
      </c>
      <c r="CA60" s="235">
        <v>0.97916666666666663</v>
      </c>
      <c r="CB60" s="249">
        <f t="shared" si="68"/>
        <v>1.5416666666666665</v>
      </c>
      <c r="CC60" s="238"/>
      <c r="CD60" s="41"/>
      <c r="CE60" s="191">
        <f t="shared" si="74"/>
        <v>0</v>
      </c>
      <c r="CF60" s="191">
        <f t="shared" si="54"/>
        <v>0</v>
      </c>
      <c r="CG60" s="191">
        <f t="shared" si="79"/>
        <v>0</v>
      </c>
      <c r="CH60" s="191">
        <f t="shared" si="80"/>
        <v>0</v>
      </c>
      <c r="CI60" s="191">
        <f t="shared" si="57"/>
        <v>0</v>
      </c>
      <c r="CJ60" s="191">
        <f t="shared" si="58"/>
        <v>0</v>
      </c>
      <c r="CK60" s="191">
        <f t="shared" si="59"/>
        <v>0.125</v>
      </c>
      <c r="CL60" s="191">
        <f t="shared" si="60"/>
        <v>0.22916666666666663</v>
      </c>
      <c r="CM60" s="191">
        <f t="shared" si="61"/>
        <v>0.125</v>
      </c>
      <c r="CN60" s="191">
        <f t="shared" si="62"/>
        <v>0.22916666666666663</v>
      </c>
      <c r="CO60" s="191">
        <f t="shared" si="63"/>
        <v>0</v>
      </c>
      <c r="CP60" s="191">
        <f t="shared" si="64"/>
        <v>0.47916666666666663</v>
      </c>
      <c r="CQ60" s="191">
        <f t="shared" si="81"/>
        <v>0.125</v>
      </c>
      <c r="CR60" s="191">
        <f t="shared" si="82"/>
        <v>0.22916666666666663</v>
      </c>
      <c r="CS60" s="31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</row>
    <row r="61" spans="1:200" s="23" customFormat="1" ht="14.25" customHeight="1">
      <c r="A61" s="321"/>
      <c r="B61" s="253"/>
      <c r="C61" s="236"/>
      <c r="D61" s="218"/>
      <c r="E61" s="216"/>
      <c r="F61" s="215"/>
      <c r="G61" s="236"/>
      <c r="H61" s="218"/>
      <c r="I61" s="216"/>
      <c r="J61" s="215"/>
      <c r="K61" s="236"/>
      <c r="L61" s="218"/>
      <c r="M61" s="216"/>
      <c r="N61" s="215"/>
      <c r="O61" s="217"/>
      <c r="P61" s="214"/>
      <c r="Q61" s="214"/>
      <c r="R61" s="215"/>
      <c r="S61" s="217"/>
      <c r="T61" s="214"/>
      <c r="U61" s="214"/>
      <c r="V61" s="219"/>
      <c r="W61" s="230"/>
      <c r="X61" s="218"/>
      <c r="Y61" s="214"/>
      <c r="Z61" s="215"/>
      <c r="AA61" s="236"/>
      <c r="AB61" s="218"/>
      <c r="AC61" s="216"/>
      <c r="AD61" s="215"/>
      <c r="AE61" s="249">
        <f t="shared" si="67"/>
        <v>0</v>
      </c>
      <c r="AF61" s="238"/>
      <c r="AG61" s="41"/>
      <c r="AH61" s="191">
        <f t="shared" si="73"/>
        <v>0</v>
      </c>
      <c r="AI61" s="191">
        <f t="shared" si="40"/>
        <v>0</v>
      </c>
      <c r="AJ61" s="191">
        <f t="shared" si="75"/>
        <v>0</v>
      </c>
      <c r="AK61" s="191">
        <f t="shared" si="76"/>
        <v>0</v>
      </c>
      <c r="AL61" s="191">
        <f t="shared" si="43"/>
        <v>0</v>
      </c>
      <c r="AM61" s="191">
        <f t="shared" si="44"/>
        <v>0</v>
      </c>
      <c r="AN61" s="191">
        <f t="shared" si="45"/>
        <v>0</v>
      </c>
      <c r="AO61" s="191">
        <f t="shared" si="46"/>
        <v>0</v>
      </c>
      <c r="AP61" s="191">
        <f t="shared" si="47"/>
        <v>0</v>
      </c>
      <c r="AQ61" s="191">
        <f t="shared" si="48"/>
        <v>0</v>
      </c>
      <c r="AR61" s="191">
        <f t="shared" si="49"/>
        <v>0</v>
      </c>
      <c r="AS61" s="191">
        <f t="shared" si="50"/>
        <v>0</v>
      </c>
      <c r="AT61" s="191">
        <f t="shared" si="77"/>
        <v>0</v>
      </c>
      <c r="AU61" s="191">
        <f t="shared" si="78"/>
        <v>0</v>
      </c>
      <c r="AV61" s="31"/>
      <c r="AW61" s="24"/>
      <c r="AX61" s="321"/>
      <c r="AY61" s="253"/>
      <c r="AZ61" s="236"/>
      <c r="BA61" s="218"/>
      <c r="BB61" s="216"/>
      <c r="BC61" s="215"/>
      <c r="BD61" s="236"/>
      <c r="BE61" s="218"/>
      <c r="BF61" s="216"/>
      <c r="BG61" s="215"/>
      <c r="BH61" s="236"/>
      <c r="BI61" s="218"/>
      <c r="BJ61" s="216"/>
      <c r="BK61" s="215"/>
      <c r="BL61" s="217"/>
      <c r="BM61" s="214"/>
      <c r="BN61" s="214"/>
      <c r="BO61" s="215"/>
      <c r="BP61" s="217"/>
      <c r="BQ61" s="214"/>
      <c r="BR61" s="214"/>
      <c r="BS61" s="219"/>
      <c r="BT61" s="230"/>
      <c r="BU61" s="218"/>
      <c r="BV61" s="214"/>
      <c r="BW61" s="215"/>
      <c r="BX61" s="236"/>
      <c r="BY61" s="218"/>
      <c r="BZ61" s="216"/>
      <c r="CA61" s="215"/>
      <c r="CB61" s="249">
        <f t="shared" si="68"/>
        <v>0</v>
      </c>
      <c r="CC61" s="238"/>
      <c r="CD61" s="41"/>
      <c r="CE61" s="191">
        <f t="shared" si="74"/>
        <v>0</v>
      </c>
      <c r="CF61" s="191">
        <f t="shared" si="54"/>
        <v>0</v>
      </c>
      <c r="CG61" s="191">
        <f t="shared" si="79"/>
        <v>0</v>
      </c>
      <c r="CH61" s="191">
        <f t="shared" si="80"/>
        <v>0</v>
      </c>
      <c r="CI61" s="191">
        <f t="shared" si="57"/>
        <v>0</v>
      </c>
      <c r="CJ61" s="191">
        <f t="shared" si="58"/>
        <v>0</v>
      </c>
      <c r="CK61" s="191">
        <f t="shared" si="59"/>
        <v>0</v>
      </c>
      <c r="CL61" s="191">
        <f t="shared" si="60"/>
        <v>0</v>
      </c>
      <c r="CM61" s="191">
        <f t="shared" si="61"/>
        <v>0</v>
      </c>
      <c r="CN61" s="191">
        <f t="shared" si="62"/>
        <v>0</v>
      </c>
      <c r="CO61" s="191">
        <f t="shared" si="63"/>
        <v>0</v>
      </c>
      <c r="CP61" s="191">
        <f t="shared" si="64"/>
        <v>0</v>
      </c>
      <c r="CQ61" s="191">
        <f t="shared" si="81"/>
        <v>0</v>
      </c>
      <c r="CR61" s="191">
        <f t="shared" si="82"/>
        <v>0</v>
      </c>
      <c r="CS61" s="31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</row>
    <row r="62" spans="1:200" s="23" customFormat="1" ht="14.25" customHeight="1">
      <c r="A62" s="321"/>
      <c r="B62" s="255" t="s">
        <v>398</v>
      </c>
      <c r="C62" s="256"/>
      <c r="D62" s="257"/>
      <c r="E62" s="258"/>
      <c r="F62" s="259"/>
      <c r="G62" s="256"/>
      <c r="H62" s="257"/>
      <c r="I62" s="258"/>
      <c r="J62" s="259"/>
      <c r="K62" s="256"/>
      <c r="L62" s="257"/>
      <c r="M62" s="258"/>
      <c r="N62" s="259"/>
      <c r="O62" s="256"/>
      <c r="P62" s="257"/>
      <c r="Q62" s="258"/>
      <c r="R62" s="259"/>
      <c r="S62" s="256"/>
      <c r="T62" s="257"/>
      <c r="U62" s="258"/>
      <c r="V62" s="259"/>
      <c r="W62" s="263"/>
      <c r="X62" s="257"/>
      <c r="Y62" s="261"/>
      <c r="Z62" s="259"/>
      <c r="AA62" s="274"/>
      <c r="AB62" s="275"/>
      <c r="AC62" s="276"/>
      <c r="AD62" s="277"/>
      <c r="AE62" s="238">
        <f t="shared" si="67"/>
        <v>0</v>
      </c>
      <c r="AF62" s="238">
        <v>0</v>
      </c>
      <c r="AG62" s="41"/>
      <c r="AH62" s="191">
        <f t="shared" si="73"/>
        <v>0</v>
      </c>
      <c r="AI62" s="191">
        <f t="shared" si="40"/>
        <v>0</v>
      </c>
      <c r="AJ62" s="191">
        <f t="shared" si="75"/>
        <v>0</v>
      </c>
      <c r="AK62" s="191">
        <f t="shared" si="76"/>
        <v>0</v>
      </c>
      <c r="AL62" s="191">
        <f t="shared" si="43"/>
        <v>0</v>
      </c>
      <c r="AM62" s="191">
        <f t="shared" si="44"/>
        <v>0</v>
      </c>
      <c r="AN62" s="191">
        <f t="shared" si="45"/>
        <v>0</v>
      </c>
      <c r="AO62" s="191">
        <f t="shared" si="46"/>
        <v>0</v>
      </c>
      <c r="AP62" s="191">
        <f t="shared" si="47"/>
        <v>0</v>
      </c>
      <c r="AQ62" s="191">
        <f t="shared" si="48"/>
        <v>0</v>
      </c>
      <c r="AR62" s="191">
        <f t="shared" si="49"/>
        <v>0</v>
      </c>
      <c r="AS62" s="191">
        <f t="shared" si="50"/>
        <v>0</v>
      </c>
      <c r="AT62" s="191">
        <f t="shared" si="77"/>
        <v>0</v>
      </c>
      <c r="AU62" s="191">
        <f t="shared" si="78"/>
        <v>0</v>
      </c>
      <c r="AV62" s="31"/>
      <c r="AW62" s="24"/>
      <c r="AX62" s="321"/>
      <c r="AY62" s="255" t="s">
        <v>398</v>
      </c>
      <c r="AZ62" s="256"/>
      <c r="BA62" s="257"/>
      <c r="BB62" s="258"/>
      <c r="BC62" s="259"/>
      <c r="BD62" s="256"/>
      <c r="BE62" s="257"/>
      <c r="BF62" s="258"/>
      <c r="BG62" s="259"/>
      <c r="BH62" s="256"/>
      <c r="BI62" s="257"/>
      <c r="BJ62" s="258"/>
      <c r="BK62" s="259"/>
      <c r="BL62" s="260"/>
      <c r="BM62" s="261"/>
      <c r="BN62" s="261"/>
      <c r="BO62" s="259"/>
      <c r="BP62" s="260"/>
      <c r="BQ62" s="261"/>
      <c r="BR62" s="261"/>
      <c r="BS62" s="262"/>
      <c r="BT62" s="263"/>
      <c r="BU62" s="257"/>
      <c r="BV62" s="261"/>
      <c r="BW62" s="262"/>
      <c r="BX62" s="256"/>
      <c r="BY62" s="257"/>
      <c r="BZ62" s="258"/>
      <c r="CA62" s="259"/>
      <c r="CB62" s="238">
        <f t="shared" si="68"/>
        <v>0</v>
      </c>
      <c r="CC62" s="238">
        <v>0</v>
      </c>
      <c r="CD62" s="41"/>
      <c r="CE62" s="191">
        <f t="shared" si="74"/>
        <v>0</v>
      </c>
      <c r="CF62" s="191">
        <f t="shared" si="54"/>
        <v>0</v>
      </c>
      <c r="CG62" s="191">
        <f t="shared" si="79"/>
        <v>0</v>
      </c>
      <c r="CH62" s="191">
        <f t="shared" si="80"/>
        <v>0</v>
      </c>
      <c r="CI62" s="191">
        <f t="shared" si="57"/>
        <v>0</v>
      </c>
      <c r="CJ62" s="191">
        <f t="shared" si="58"/>
        <v>0</v>
      </c>
      <c r="CK62" s="191">
        <f t="shared" si="59"/>
        <v>0</v>
      </c>
      <c r="CL62" s="191">
        <f t="shared" si="60"/>
        <v>0</v>
      </c>
      <c r="CM62" s="191">
        <f t="shared" si="61"/>
        <v>0</v>
      </c>
      <c r="CN62" s="191">
        <f t="shared" si="62"/>
        <v>0</v>
      </c>
      <c r="CO62" s="191">
        <f t="shared" si="63"/>
        <v>0</v>
      </c>
      <c r="CP62" s="191">
        <f t="shared" si="64"/>
        <v>0</v>
      </c>
      <c r="CQ62" s="191">
        <f t="shared" si="81"/>
        <v>0</v>
      </c>
      <c r="CR62" s="191">
        <f t="shared" si="82"/>
        <v>0</v>
      </c>
      <c r="CS62" s="31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</row>
    <row r="63" spans="1:200" s="23" customFormat="1" ht="14.25" customHeight="1" thickBot="1">
      <c r="A63" s="321"/>
      <c r="B63" s="232"/>
      <c r="C63" s="216"/>
      <c r="D63" s="214"/>
      <c r="E63" s="214"/>
      <c r="F63" s="215"/>
      <c r="G63" s="217"/>
      <c r="H63" s="214"/>
      <c r="I63" s="214"/>
      <c r="J63" s="215"/>
      <c r="K63" s="217"/>
      <c r="L63" s="214"/>
      <c r="M63" s="214"/>
      <c r="N63" s="215"/>
      <c r="O63" s="217"/>
      <c r="P63" s="214"/>
      <c r="Q63" s="214"/>
      <c r="R63" s="215"/>
      <c r="S63" s="217"/>
      <c r="T63" s="214"/>
      <c r="U63" s="214"/>
      <c r="V63" s="215"/>
      <c r="W63" s="217"/>
      <c r="X63" s="214"/>
      <c r="Y63" s="214"/>
      <c r="Z63" s="215"/>
      <c r="AA63" s="217"/>
      <c r="AB63" s="214"/>
      <c r="AC63" s="214"/>
      <c r="AD63" s="215"/>
      <c r="AE63" s="238">
        <f t="shared" si="67"/>
        <v>0</v>
      </c>
      <c r="AF63" s="238"/>
      <c r="AG63" s="41"/>
      <c r="AH63" s="191">
        <f t="shared" si="73"/>
        <v>0</v>
      </c>
      <c r="AI63" s="191">
        <f t="shared" si="40"/>
        <v>0</v>
      </c>
      <c r="AJ63" s="191">
        <f t="shared" si="75"/>
        <v>0</v>
      </c>
      <c r="AK63" s="191">
        <f t="shared" si="76"/>
        <v>0</v>
      </c>
      <c r="AL63" s="191">
        <f t="shared" si="43"/>
        <v>0</v>
      </c>
      <c r="AM63" s="191">
        <f t="shared" si="44"/>
        <v>0</v>
      </c>
      <c r="AN63" s="191">
        <f t="shared" si="45"/>
        <v>0</v>
      </c>
      <c r="AO63" s="191">
        <f t="shared" si="46"/>
        <v>0</v>
      </c>
      <c r="AP63" s="191">
        <f t="shared" si="47"/>
        <v>0</v>
      </c>
      <c r="AQ63" s="191">
        <f t="shared" si="48"/>
        <v>0</v>
      </c>
      <c r="AR63" s="191">
        <f t="shared" si="49"/>
        <v>0</v>
      </c>
      <c r="AS63" s="191">
        <f t="shared" si="50"/>
        <v>0</v>
      </c>
      <c r="AT63" s="191">
        <f t="shared" si="77"/>
        <v>0</v>
      </c>
      <c r="AU63" s="191">
        <f t="shared" si="78"/>
        <v>0</v>
      </c>
      <c r="AV63" s="31"/>
      <c r="AW63" s="24"/>
      <c r="AX63" s="321"/>
      <c r="AY63" s="232"/>
      <c r="AZ63" s="216"/>
      <c r="BA63" s="214"/>
      <c r="BB63" s="214"/>
      <c r="BC63" s="215"/>
      <c r="BD63" s="217"/>
      <c r="BE63" s="214"/>
      <c r="BF63" s="214"/>
      <c r="BG63" s="215"/>
      <c r="BH63" s="217"/>
      <c r="BI63" s="214"/>
      <c r="BJ63" s="214"/>
      <c r="BK63" s="215"/>
      <c r="BL63" s="217"/>
      <c r="BM63" s="214"/>
      <c r="BN63" s="214"/>
      <c r="BO63" s="215"/>
      <c r="BP63" s="217"/>
      <c r="BQ63" s="214"/>
      <c r="BR63" s="214"/>
      <c r="BS63" s="215"/>
      <c r="BT63" s="217"/>
      <c r="BU63" s="214"/>
      <c r="BV63" s="214"/>
      <c r="BW63" s="215"/>
      <c r="BX63" s="217"/>
      <c r="BY63" s="214"/>
      <c r="BZ63" s="214"/>
      <c r="CA63" s="215"/>
      <c r="CB63" s="238">
        <f t="shared" si="68"/>
        <v>0</v>
      </c>
      <c r="CC63" s="238"/>
      <c r="CD63" s="41"/>
      <c r="CE63" s="191">
        <f t="shared" si="74"/>
        <v>0</v>
      </c>
      <c r="CF63" s="191">
        <f t="shared" si="54"/>
        <v>0</v>
      </c>
      <c r="CG63" s="191">
        <f t="shared" si="79"/>
        <v>0</v>
      </c>
      <c r="CH63" s="191">
        <f t="shared" si="80"/>
        <v>0</v>
      </c>
      <c r="CI63" s="191">
        <f t="shared" si="57"/>
        <v>0</v>
      </c>
      <c r="CJ63" s="191">
        <f t="shared" si="58"/>
        <v>0</v>
      </c>
      <c r="CK63" s="191">
        <f t="shared" si="59"/>
        <v>0</v>
      </c>
      <c r="CL63" s="191">
        <f t="shared" si="60"/>
        <v>0</v>
      </c>
      <c r="CM63" s="191">
        <f t="shared" si="61"/>
        <v>0</v>
      </c>
      <c r="CN63" s="191">
        <f t="shared" si="62"/>
        <v>0</v>
      </c>
      <c r="CO63" s="191">
        <f t="shared" si="63"/>
        <v>0</v>
      </c>
      <c r="CP63" s="191">
        <f t="shared" si="64"/>
        <v>0</v>
      </c>
      <c r="CQ63" s="191">
        <f t="shared" si="81"/>
        <v>0</v>
      </c>
      <c r="CR63" s="191">
        <f t="shared" si="82"/>
        <v>0</v>
      </c>
      <c r="CS63" s="31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</row>
    <row r="64" spans="1:200" s="23" customFormat="1" ht="14.25" customHeight="1" thickBot="1">
      <c r="A64" s="45"/>
      <c r="B64" s="210"/>
      <c r="C64" s="308" t="s">
        <v>369</v>
      </c>
      <c r="D64" s="309"/>
      <c r="E64" s="309"/>
      <c r="F64" s="310"/>
      <c r="G64" s="311" t="s">
        <v>378</v>
      </c>
      <c r="H64" s="312"/>
      <c r="I64" s="312"/>
      <c r="J64" s="313"/>
      <c r="K64" s="314" t="s">
        <v>379</v>
      </c>
      <c r="L64" s="315"/>
      <c r="M64" s="315"/>
      <c r="N64" s="315"/>
      <c r="O64" s="352"/>
      <c r="P64" s="353"/>
      <c r="Q64" s="353"/>
      <c r="R64" s="353"/>
      <c r="S64" s="354" t="s">
        <v>402</v>
      </c>
      <c r="T64" s="354"/>
      <c r="U64" s="354"/>
      <c r="V64" s="354"/>
      <c r="W64" s="318"/>
      <c r="X64" s="318"/>
      <c r="Y64" s="318"/>
      <c r="Z64" s="318"/>
      <c r="AA64" s="319" t="s">
        <v>400</v>
      </c>
      <c r="AB64" s="319"/>
      <c r="AC64" s="319"/>
      <c r="AD64" s="319"/>
      <c r="AE64" s="44"/>
      <c r="AF64" s="44"/>
      <c r="AG64" s="44"/>
      <c r="AH64" s="42"/>
      <c r="AI64" s="43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31"/>
      <c r="AW64" s="24"/>
      <c r="AX64" s="45"/>
      <c r="AY64" s="210"/>
      <c r="AZ64" s="308" t="s">
        <v>369</v>
      </c>
      <c r="BA64" s="309"/>
      <c r="BB64" s="309"/>
      <c r="BC64" s="310"/>
      <c r="BD64" s="311" t="s">
        <v>378</v>
      </c>
      <c r="BE64" s="312"/>
      <c r="BF64" s="312"/>
      <c r="BG64" s="313"/>
      <c r="BH64" s="314" t="s">
        <v>379</v>
      </c>
      <c r="BI64" s="315"/>
      <c r="BJ64" s="315"/>
      <c r="BK64" s="315"/>
      <c r="BL64" s="352"/>
      <c r="BM64" s="353"/>
      <c r="BN64" s="353"/>
      <c r="BO64" s="353"/>
      <c r="BP64" s="354" t="s">
        <v>402</v>
      </c>
      <c r="BQ64" s="354"/>
      <c r="BR64" s="354"/>
      <c r="BS64" s="354"/>
      <c r="BT64" s="318"/>
      <c r="BU64" s="318"/>
      <c r="BV64" s="318"/>
      <c r="BW64" s="318"/>
      <c r="BX64" s="319" t="s">
        <v>400</v>
      </c>
      <c r="BY64" s="319"/>
      <c r="BZ64" s="319"/>
      <c r="CA64" s="319"/>
      <c r="CB64" s="44"/>
      <c r="CC64" s="44"/>
      <c r="CD64" s="44"/>
      <c r="CE64" s="42"/>
      <c r="CF64" s="43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31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</row>
    <row r="65" spans="1:200" s="23" customFormat="1" ht="14.25" customHeight="1" thickBot="1">
      <c r="A65" s="47"/>
      <c r="B65" s="48" t="s">
        <v>262</v>
      </c>
      <c r="C65" s="288">
        <v>0.10416666666666667</v>
      </c>
      <c r="D65" s="288"/>
      <c r="E65" s="288"/>
      <c r="F65" s="288"/>
      <c r="G65" s="288">
        <v>0.10416666666666667</v>
      </c>
      <c r="H65" s="288"/>
      <c r="I65" s="288"/>
      <c r="J65" s="288"/>
      <c r="K65" s="288">
        <v>0.10416666666666667</v>
      </c>
      <c r="L65" s="288"/>
      <c r="M65" s="288"/>
      <c r="N65" s="288"/>
      <c r="O65" s="288">
        <v>0.17708333333333334</v>
      </c>
      <c r="P65" s="288"/>
      <c r="Q65" s="288"/>
      <c r="R65" s="288"/>
      <c r="S65" s="288">
        <v>0.24305555555555555</v>
      </c>
      <c r="T65" s="288"/>
      <c r="U65" s="288"/>
      <c r="V65" s="288"/>
      <c r="W65" s="288">
        <v>0.27083333333333331</v>
      </c>
      <c r="X65" s="288"/>
      <c r="Y65" s="288"/>
      <c r="Z65" s="288"/>
      <c r="AA65" s="288">
        <v>0.125</v>
      </c>
      <c r="AB65" s="288"/>
      <c r="AC65" s="288"/>
      <c r="AD65" s="288"/>
      <c r="AE65" s="27"/>
      <c r="AF65" s="27"/>
      <c r="AG65" s="27"/>
      <c r="AH65" s="42"/>
      <c r="AI65" s="43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31"/>
      <c r="AW65" s="24"/>
      <c r="AX65" s="47"/>
      <c r="AY65" s="48" t="s">
        <v>262</v>
      </c>
      <c r="AZ65" s="288">
        <v>0.10416666666666667</v>
      </c>
      <c r="BA65" s="288"/>
      <c r="BB65" s="288"/>
      <c r="BC65" s="288"/>
      <c r="BD65" s="288">
        <v>0.10416666666666667</v>
      </c>
      <c r="BE65" s="288"/>
      <c r="BF65" s="288"/>
      <c r="BG65" s="288"/>
      <c r="BH65" s="288">
        <v>0.10416666666666667</v>
      </c>
      <c r="BI65" s="288"/>
      <c r="BJ65" s="288"/>
      <c r="BK65" s="288"/>
      <c r="BL65" s="288">
        <v>0.17708333333333334</v>
      </c>
      <c r="BM65" s="288"/>
      <c r="BN65" s="288"/>
      <c r="BO65" s="288"/>
      <c r="BP65" s="288">
        <v>0.24305555555555555</v>
      </c>
      <c r="BQ65" s="288"/>
      <c r="BR65" s="288"/>
      <c r="BS65" s="288"/>
      <c r="BT65" s="288">
        <v>0.27083333333333331</v>
      </c>
      <c r="BU65" s="288"/>
      <c r="BV65" s="288"/>
      <c r="BW65" s="288"/>
      <c r="BX65" s="288">
        <v>0.125</v>
      </c>
      <c r="BY65" s="288"/>
      <c r="BZ65" s="288"/>
      <c r="CA65" s="288"/>
      <c r="CB65" s="27"/>
      <c r="CC65" s="27"/>
      <c r="CD65" s="27"/>
      <c r="CE65" s="42"/>
      <c r="CF65" s="43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31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</row>
    <row r="66" spans="1:200" s="23" customFormat="1" ht="14.25" customHeight="1">
      <c r="B66" s="49"/>
      <c r="C66" s="49"/>
      <c r="D66" s="49"/>
      <c r="E66" s="49"/>
      <c r="F66" s="49"/>
      <c r="G66" s="49"/>
      <c r="H66" s="49"/>
      <c r="I66" s="49"/>
      <c r="J66" s="49"/>
      <c r="K66" s="50"/>
      <c r="L66" s="51"/>
      <c r="M66" s="51"/>
      <c r="N66" s="51"/>
      <c r="O66" s="51"/>
      <c r="P66" s="51"/>
      <c r="Q66" s="51"/>
      <c r="R66" s="51"/>
      <c r="S66" s="287"/>
      <c r="T66" s="287"/>
      <c r="U66" s="287"/>
      <c r="V66" s="287"/>
      <c r="W66" s="52"/>
      <c r="X66" s="52"/>
      <c r="Y66" s="52"/>
      <c r="Z66" s="52"/>
      <c r="AA66" s="287"/>
      <c r="AB66" s="287"/>
      <c r="AC66" s="287"/>
      <c r="AD66" s="287"/>
      <c r="AE66" s="27"/>
      <c r="AF66" s="27"/>
      <c r="AG66" s="27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31"/>
      <c r="AW66" s="24"/>
      <c r="AY66" s="49"/>
      <c r="AZ66" s="49"/>
      <c r="BA66" s="49"/>
      <c r="BB66" s="49"/>
      <c r="BC66" s="49"/>
      <c r="BD66" s="49"/>
      <c r="BE66" s="49"/>
      <c r="BF66" s="49"/>
      <c r="BG66" s="49"/>
      <c r="BH66" s="50"/>
      <c r="BI66" s="51"/>
      <c r="BJ66" s="51"/>
      <c r="BK66" s="51"/>
      <c r="BL66" s="51"/>
      <c r="BM66" s="51"/>
      <c r="BN66" s="51"/>
      <c r="BO66" s="51"/>
      <c r="BP66" s="287"/>
      <c r="BQ66" s="287"/>
      <c r="BR66" s="287"/>
      <c r="BS66" s="287"/>
      <c r="BT66" s="52"/>
      <c r="BU66" s="52"/>
      <c r="BV66" s="52"/>
      <c r="BW66" s="52"/>
      <c r="BX66" s="287"/>
      <c r="BY66" s="287"/>
      <c r="BZ66" s="287"/>
      <c r="CA66" s="287"/>
      <c r="CB66" s="27"/>
      <c r="CC66" s="27"/>
      <c r="CD66" s="27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31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</row>
    <row r="67" spans="1:200" s="23" customFormat="1" ht="14.25" customHeight="1">
      <c r="A67" s="54"/>
      <c r="B67" s="55" t="s">
        <v>263</v>
      </c>
      <c r="C67" s="56"/>
      <c r="D67" s="56" t="s">
        <v>264</v>
      </c>
      <c r="E67" s="56"/>
      <c r="F67" s="56"/>
      <c r="G67" s="56"/>
      <c r="H67" s="56"/>
      <c r="I67" s="56"/>
      <c r="J67" s="57"/>
      <c r="K67" s="283"/>
      <c r="L67" s="283"/>
      <c r="M67" s="283"/>
      <c r="N67" s="283"/>
      <c r="O67" s="283"/>
      <c r="P67" s="283"/>
      <c r="Q67" s="283"/>
      <c r="R67" s="283"/>
      <c r="S67" s="283"/>
      <c r="T67" s="52"/>
      <c r="U67" s="52"/>
      <c r="V67" s="52"/>
      <c r="W67" s="52" t="s">
        <v>383</v>
      </c>
      <c r="X67" s="52"/>
      <c r="Y67" s="52" t="s">
        <v>384</v>
      </c>
      <c r="Z67" s="52"/>
      <c r="AA67" s="52"/>
      <c r="AB67" s="52"/>
      <c r="AC67" s="52"/>
      <c r="AD67" s="58"/>
      <c r="AE67" s="27"/>
      <c r="AF67" s="27"/>
      <c r="AG67" s="59" t="s">
        <v>265</v>
      </c>
      <c r="AH67" s="60">
        <f>SUM(AH47:AH65)</f>
        <v>0.4166666666666668</v>
      </c>
      <c r="AI67" s="60">
        <f>SUM(AI47:AI64)</f>
        <v>2.7916666666666661</v>
      </c>
      <c r="AJ67" s="60">
        <f t="shared" ref="AJ67:AU67" si="83">SUM(AJ47:AJ65)</f>
        <v>0.4166666666666668</v>
      </c>
      <c r="AK67" s="60">
        <f t="shared" si="83"/>
        <v>1.4166666666666665</v>
      </c>
      <c r="AL67" s="60">
        <f t="shared" si="83"/>
        <v>0.58333333333333348</v>
      </c>
      <c r="AM67" s="60">
        <f t="shared" si="83"/>
        <v>1.4791666666666665</v>
      </c>
      <c r="AN67" s="60">
        <f t="shared" si="83"/>
        <v>0.45833333333333343</v>
      </c>
      <c r="AO67" s="60">
        <f t="shared" si="83"/>
        <v>1.6874999999999998</v>
      </c>
      <c r="AP67" s="60">
        <f t="shared" si="83"/>
        <v>0.4166666666666668</v>
      </c>
      <c r="AQ67" s="60">
        <f t="shared" si="83"/>
        <v>3.020833333333333</v>
      </c>
      <c r="AR67" s="60">
        <f t="shared" si="83"/>
        <v>0.29166666666666674</v>
      </c>
      <c r="AS67" s="60">
        <f t="shared" si="83"/>
        <v>3.3958333333333326</v>
      </c>
      <c r="AT67" s="60">
        <f t="shared" si="83"/>
        <v>0.29166666666666669</v>
      </c>
      <c r="AU67" s="60">
        <f t="shared" si="83"/>
        <v>2.3749999999999996</v>
      </c>
      <c r="AV67" s="31"/>
      <c r="AW67" s="24"/>
      <c r="AX67" s="54"/>
      <c r="AY67" s="55" t="s">
        <v>263</v>
      </c>
      <c r="AZ67" s="56"/>
      <c r="BA67" s="56" t="s">
        <v>264</v>
      </c>
      <c r="BB67" s="56"/>
      <c r="BC67" s="56"/>
      <c r="BD67" s="56"/>
      <c r="BE67" s="56"/>
      <c r="BF67" s="56"/>
      <c r="BG67" s="57"/>
      <c r="BH67" s="283"/>
      <c r="BI67" s="283"/>
      <c r="BJ67" s="283"/>
      <c r="BK67" s="283"/>
      <c r="BL67" s="283"/>
      <c r="BM67" s="283"/>
      <c r="BN67" s="283"/>
      <c r="BO67" s="283"/>
      <c r="BP67" s="283"/>
      <c r="BQ67" s="52"/>
      <c r="BR67" s="52"/>
      <c r="BS67" s="52"/>
      <c r="BT67" s="52" t="s">
        <v>383</v>
      </c>
      <c r="BU67" s="52"/>
      <c r="BV67" s="52" t="s">
        <v>384</v>
      </c>
      <c r="BW67" s="52"/>
      <c r="BX67" s="52"/>
      <c r="BY67" s="52"/>
      <c r="BZ67" s="52"/>
      <c r="CA67" s="58"/>
      <c r="CB67" s="27"/>
      <c r="CC67" s="27"/>
      <c r="CD67" s="59" t="s">
        <v>265</v>
      </c>
      <c r="CE67" s="60">
        <f>SUM(CE47:CE65)</f>
        <v>0.87500000000000022</v>
      </c>
      <c r="CF67" s="60">
        <f>SUM(CF47:CF64)</f>
        <v>1.2083333333333333</v>
      </c>
      <c r="CG67" s="60">
        <f t="shared" ref="CG67:CR67" si="84">SUM(CG47:CG65)</f>
        <v>0.4166666666666668</v>
      </c>
      <c r="CH67" s="60">
        <f t="shared" si="84"/>
        <v>1.7083333333333335</v>
      </c>
      <c r="CI67" s="60">
        <f t="shared" si="84"/>
        <v>0.29166666666666674</v>
      </c>
      <c r="CJ67" s="60">
        <f t="shared" si="84"/>
        <v>1.6874999999999998</v>
      </c>
      <c r="CK67" s="60">
        <f t="shared" si="84"/>
        <v>0.41666666666666674</v>
      </c>
      <c r="CL67" s="60">
        <f t="shared" si="84"/>
        <v>2.3541666666666665</v>
      </c>
      <c r="CM67" s="60">
        <f t="shared" si="84"/>
        <v>0.54166666666666674</v>
      </c>
      <c r="CN67" s="60">
        <f t="shared" si="84"/>
        <v>2.7499999999999996</v>
      </c>
      <c r="CO67" s="60">
        <f t="shared" si="84"/>
        <v>0.52083333333333348</v>
      </c>
      <c r="CP67" s="60">
        <f t="shared" si="84"/>
        <v>3.5208333333333335</v>
      </c>
      <c r="CQ67" s="60">
        <f t="shared" si="84"/>
        <v>0.37500000000000011</v>
      </c>
      <c r="CR67" s="60">
        <f t="shared" si="84"/>
        <v>1.770833333333333</v>
      </c>
      <c r="CS67" s="31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</row>
    <row r="68" spans="1:200" s="23" customFormat="1" ht="14.25" customHeight="1">
      <c r="A68" s="54"/>
      <c r="B68" s="61" t="s">
        <v>266</v>
      </c>
      <c r="C68" s="62"/>
      <c r="D68" s="62" t="s">
        <v>267</v>
      </c>
      <c r="E68" s="62"/>
      <c r="F68" s="62"/>
      <c r="G68" s="62"/>
      <c r="H68" s="62"/>
      <c r="I68" s="62"/>
      <c r="J68" s="63"/>
      <c r="K68" s="283"/>
      <c r="L68" s="283"/>
      <c r="M68" s="283"/>
      <c r="N68" s="283"/>
      <c r="O68" s="283"/>
      <c r="P68" s="283"/>
      <c r="Q68" s="283"/>
      <c r="R68" s="283"/>
      <c r="S68" s="283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8"/>
      <c r="AE68" s="27"/>
      <c r="AF68" s="27"/>
      <c r="AG68" s="64" t="s">
        <v>268</v>
      </c>
      <c r="AH68" s="284">
        <f>SUM(AH67:AI67)-C65</f>
        <v>3.1041666666666665</v>
      </c>
      <c r="AI68" s="284"/>
      <c r="AJ68" s="284">
        <f>SUM(AJ67:AK67)-G65</f>
        <v>1.7291666666666665</v>
      </c>
      <c r="AK68" s="284"/>
      <c r="AL68" s="284">
        <f>SUM(AL67:AM67)-K65</f>
        <v>1.9583333333333333</v>
      </c>
      <c r="AM68" s="284"/>
      <c r="AN68" s="284">
        <f>SUM(AN67:AO67)-O65</f>
        <v>1.9687499999999998</v>
      </c>
      <c r="AO68" s="284"/>
      <c r="AP68" s="284">
        <f>SUM(AP67:AQ67)-S65</f>
        <v>3.1944444444444446</v>
      </c>
      <c r="AQ68" s="284"/>
      <c r="AR68" s="284">
        <f>SUM(AR67:AS67)-W65</f>
        <v>3.4166666666666656</v>
      </c>
      <c r="AS68" s="284"/>
      <c r="AT68" s="284">
        <f>SUM(AT67:AU67)-AA65</f>
        <v>2.5416666666666661</v>
      </c>
      <c r="AU68" s="284"/>
      <c r="AV68" s="65">
        <f>SUM(AH68:AU68)</f>
        <v>17.913194444444443</v>
      </c>
      <c r="AW68" s="24"/>
      <c r="AX68" s="54"/>
      <c r="AY68" s="61" t="s">
        <v>266</v>
      </c>
      <c r="AZ68" s="62"/>
      <c r="BA68" s="62" t="s">
        <v>267</v>
      </c>
      <c r="BB68" s="62"/>
      <c r="BC68" s="62"/>
      <c r="BD68" s="62"/>
      <c r="BE68" s="62"/>
      <c r="BF68" s="62"/>
      <c r="BG68" s="63"/>
      <c r="BH68" s="283"/>
      <c r="BI68" s="283"/>
      <c r="BJ68" s="283"/>
      <c r="BK68" s="283"/>
      <c r="BL68" s="283"/>
      <c r="BM68" s="283"/>
      <c r="BN68" s="283"/>
      <c r="BO68" s="283"/>
      <c r="BP68" s="283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8"/>
      <c r="CB68" s="27"/>
      <c r="CC68" s="27"/>
      <c r="CD68" s="64" t="s">
        <v>268</v>
      </c>
      <c r="CE68" s="284">
        <f>SUM(CE67:CF67)-AZ65</f>
        <v>1.9791666666666667</v>
      </c>
      <c r="CF68" s="284"/>
      <c r="CG68" s="284">
        <f>SUM(CG67:CH67)-BD65</f>
        <v>2.0208333333333339</v>
      </c>
      <c r="CH68" s="284"/>
      <c r="CI68" s="284">
        <f>SUM(CI67:CJ67)-BH65</f>
        <v>1.8749999999999998</v>
      </c>
      <c r="CJ68" s="284"/>
      <c r="CK68" s="284">
        <f>SUM(CK67:CL67)-BL65</f>
        <v>2.5937499999999996</v>
      </c>
      <c r="CL68" s="284"/>
      <c r="CM68" s="284">
        <f>SUM(CM67:CN67)-BP65</f>
        <v>3.0486111111111107</v>
      </c>
      <c r="CN68" s="284"/>
      <c r="CO68" s="284">
        <f>SUM(CO67:CP67)-BT65</f>
        <v>3.7708333333333335</v>
      </c>
      <c r="CP68" s="284"/>
      <c r="CQ68" s="284">
        <f>SUM(CQ67:CR67)-BX65</f>
        <v>2.020833333333333</v>
      </c>
      <c r="CR68" s="284"/>
      <c r="CS68" s="65">
        <f>SUM(CE68:CR68)</f>
        <v>17.309027777777779</v>
      </c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</row>
    <row r="69" spans="1:200" s="23" customFormat="1" ht="14.25" customHeight="1">
      <c r="A69" s="54"/>
      <c r="B69" s="66" t="s">
        <v>269</v>
      </c>
      <c r="C69" s="67"/>
      <c r="D69" s="67" t="s">
        <v>270</v>
      </c>
      <c r="E69" s="67"/>
      <c r="F69" s="67"/>
      <c r="G69" s="67"/>
      <c r="H69" s="67"/>
      <c r="I69" s="67"/>
      <c r="J69" s="68"/>
      <c r="K69" s="285"/>
      <c r="L69" s="285"/>
      <c r="M69" s="285"/>
      <c r="N69" s="285"/>
      <c r="O69" s="285"/>
      <c r="P69" s="285"/>
      <c r="Q69" s="285"/>
      <c r="R69" s="285"/>
      <c r="S69" s="285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8"/>
      <c r="AE69" s="27"/>
      <c r="AF69" s="27"/>
      <c r="AG69" s="69">
        <f>AJ38</f>
        <v>28</v>
      </c>
      <c r="AH69" s="286">
        <f>AH68*24*AG69</f>
        <v>2086</v>
      </c>
      <c r="AI69" s="286"/>
      <c r="AJ69" s="286">
        <f>AJ68*24*AG69</f>
        <v>1162</v>
      </c>
      <c r="AK69" s="286"/>
      <c r="AL69" s="286">
        <f>AL68*24*AG69</f>
        <v>1316</v>
      </c>
      <c r="AM69" s="286"/>
      <c r="AN69" s="286">
        <f>AN68*24*AG69</f>
        <v>1322.9999999999998</v>
      </c>
      <c r="AO69" s="286"/>
      <c r="AP69" s="286">
        <f>AP68*24*AG69</f>
        <v>2146.666666666667</v>
      </c>
      <c r="AQ69" s="286"/>
      <c r="AR69" s="286">
        <f>AR68*24*AG69</f>
        <v>2295.9999999999991</v>
      </c>
      <c r="AS69" s="286"/>
      <c r="AT69" s="286">
        <f>AT68*24*AG69</f>
        <v>1707.9999999999995</v>
      </c>
      <c r="AU69" s="286"/>
      <c r="AV69" s="31"/>
      <c r="AW69" s="24"/>
      <c r="AX69" s="54"/>
      <c r="AY69" s="66" t="s">
        <v>269</v>
      </c>
      <c r="AZ69" s="67"/>
      <c r="BA69" s="67" t="s">
        <v>270</v>
      </c>
      <c r="BB69" s="67"/>
      <c r="BC69" s="67"/>
      <c r="BD69" s="67"/>
      <c r="BE69" s="67"/>
      <c r="BF69" s="67"/>
      <c r="BG69" s="68"/>
      <c r="BH69" s="285"/>
      <c r="BI69" s="285"/>
      <c r="BJ69" s="285"/>
      <c r="BK69" s="285"/>
      <c r="BL69" s="285"/>
      <c r="BM69" s="285"/>
      <c r="BN69" s="285"/>
      <c r="BO69" s="285"/>
      <c r="BP69" s="285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8"/>
      <c r="CB69" s="27"/>
      <c r="CC69" s="27"/>
      <c r="CD69" s="69">
        <f>CG38</f>
        <v>28</v>
      </c>
      <c r="CE69" s="286">
        <f>CE68*24*CD69</f>
        <v>1330</v>
      </c>
      <c r="CF69" s="286"/>
      <c r="CG69" s="286">
        <f>CG68*24*CD69</f>
        <v>1358.0000000000005</v>
      </c>
      <c r="CH69" s="286"/>
      <c r="CI69" s="286">
        <f>CI68*24*CD69</f>
        <v>1259.9999999999998</v>
      </c>
      <c r="CJ69" s="286"/>
      <c r="CK69" s="286">
        <f>CK68*24*CD69</f>
        <v>1742.9999999999995</v>
      </c>
      <c r="CL69" s="286"/>
      <c r="CM69" s="286">
        <f>CM68*24*CD69</f>
        <v>2048.6666666666665</v>
      </c>
      <c r="CN69" s="286"/>
      <c r="CO69" s="286">
        <f>CO68*24*CD69</f>
        <v>2534</v>
      </c>
      <c r="CP69" s="286"/>
      <c r="CQ69" s="286">
        <f>CQ68*24*CD69</f>
        <v>1357.9999999999998</v>
      </c>
      <c r="CR69" s="286"/>
      <c r="CS69" s="31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</row>
    <row r="70" spans="1:200" s="23" customFormat="1" ht="14.25" customHeight="1">
      <c r="A70" s="54"/>
      <c r="B70" s="61" t="s">
        <v>271</v>
      </c>
      <c r="C70" s="71"/>
      <c r="D70" s="71" t="s">
        <v>272</v>
      </c>
      <c r="E70" s="71"/>
      <c r="F70" s="71"/>
      <c r="G70" s="71"/>
      <c r="H70" s="71"/>
      <c r="I70" s="71"/>
      <c r="J70" s="72"/>
      <c r="K70" s="290"/>
      <c r="L70" s="290"/>
      <c r="M70" s="290"/>
      <c r="N70" s="290"/>
      <c r="O70" s="290"/>
      <c r="P70" s="290"/>
      <c r="Q70" s="290"/>
      <c r="R70" s="290"/>
      <c r="S70" s="290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8"/>
      <c r="AE70" s="27"/>
      <c r="AF70" s="27"/>
      <c r="AG70" s="28" t="s">
        <v>258</v>
      </c>
      <c r="AH70" s="281">
        <f>100/AH42*AH69/100</f>
        <v>0.41720000000000002</v>
      </c>
      <c r="AI70" s="281"/>
      <c r="AJ70" s="281">
        <f>100/AJ42*AJ69/100</f>
        <v>0.19366666666666668</v>
      </c>
      <c r="AK70" s="281"/>
      <c r="AL70" s="281">
        <f>100/AL42*AL69/100</f>
        <v>0.21933333333333332</v>
      </c>
      <c r="AM70" s="281"/>
      <c r="AN70" s="281">
        <f>100/AN42*AN69/100</f>
        <v>0.16537499999999997</v>
      </c>
      <c r="AO70" s="281"/>
      <c r="AP70" s="281">
        <f>100/AP42*AP69/100</f>
        <v>0.17888888888888893</v>
      </c>
      <c r="AQ70" s="281"/>
      <c r="AR70" s="281">
        <f>100/AR42*AR69/100</f>
        <v>0.19133333333333324</v>
      </c>
      <c r="AS70" s="281"/>
      <c r="AT70" s="281">
        <f>100/AT42*AT69/100</f>
        <v>0.24399999999999991</v>
      </c>
      <c r="AU70" s="281"/>
      <c r="AV70" s="31"/>
      <c r="AW70" s="24"/>
      <c r="AX70" s="54"/>
      <c r="AY70" s="61" t="s">
        <v>271</v>
      </c>
      <c r="AZ70" s="71"/>
      <c r="BA70" s="71" t="s">
        <v>272</v>
      </c>
      <c r="BB70" s="71"/>
      <c r="BC70" s="71"/>
      <c r="BD70" s="71"/>
      <c r="BE70" s="71"/>
      <c r="BF70" s="71"/>
      <c r="BG70" s="72"/>
      <c r="BH70" s="290"/>
      <c r="BI70" s="290"/>
      <c r="BJ70" s="290"/>
      <c r="BK70" s="290"/>
      <c r="BL70" s="290"/>
      <c r="BM70" s="290"/>
      <c r="BN70" s="290"/>
      <c r="BO70" s="290"/>
      <c r="BP70" s="290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8"/>
      <c r="CB70" s="27"/>
      <c r="CC70" s="27"/>
      <c r="CD70" s="28" t="s">
        <v>258</v>
      </c>
      <c r="CE70" s="281">
        <f>100/CE42*CE69/100</f>
        <v>0.26600000000000001</v>
      </c>
      <c r="CF70" s="281"/>
      <c r="CG70" s="281">
        <f>100/CG42*CG69/100</f>
        <v>0.22633333333333339</v>
      </c>
      <c r="CH70" s="281"/>
      <c r="CI70" s="281">
        <f>100/CI42*CI69/100</f>
        <v>0.20999999999999996</v>
      </c>
      <c r="CJ70" s="281"/>
      <c r="CK70" s="281">
        <f>100/CK42*CK69/100</f>
        <v>0.21787499999999993</v>
      </c>
      <c r="CL70" s="281"/>
      <c r="CM70" s="281">
        <f>100/CM42*CM69/100</f>
        <v>0.17072222222222219</v>
      </c>
      <c r="CN70" s="281"/>
      <c r="CO70" s="281">
        <f>100/CO42*CO69/100</f>
        <v>0.21116666666666667</v>
      </c>
      <c r="CP70" s="281"/>
      <c r="CQ70" s="281">
        <f>100/CQ42*CQ69/100</f>
        <v>0.19399999999999995</v>
      </c>
      <c r="CR70" s="281"/>
      <c r="CS70" s="31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</row>
    <row r="71" spans="1:200" s="23" customFormat="1" ht="14.25" customHeight="1">
      <c r="A71" s="73"/>
      <c r="B71" s="74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E71" s="27"/>
      <c r="AF71" s="27"/>
      <c r="AG71" s="28" t="s">
        <v>273</v>
      </c>
      <c r="AH71" s="70">
        <f>SUM(AH70:AU70)</f>
        <v>1.6097972222222221</v>
      </c>
      <c r="AI71" s="76">
        <f>AH71/7</f>
        <v>0.22997103174603173</v>
      </c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31"/>
      <c r="AW71" s="24"/>
      <c r="AX71" s="73"/>
      <c r="AY71" s="74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B71" s="27"/>
      <c r="CC71" s="27"/>
      <c r="CD71" s="28" t="s">
        <v>273</v>
      </c>
      <c r="CE71" s="70">
        <f>SUM(CE70:CR70)</f>
        <v>1.4960972222222222</v>
      </c>
      <c r="CF71" s="76">
        <f>CE71/7</f>
        <v>0.21372817460317459</v>
      </c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31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</row>
    <row r="72" spans="1:200" s="23" customFormat="1" ht="14.25" customHeight="1">
      <c r="A72" s="20"/>
      <c r="B72" s="74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E72" s="192"/>
      <c r="AF72" s="24"/>
      <c r="AG72" s="24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25"/>
      <c r="AV72" s="26"/>
      <c r="AW72" s="24"/>
      <c r="AX72" s="20"/>
      <c r="AY72" s="74"/>
      <c r="AZ72" s="282"/>
      <c r="BA72" s="282"/>
      <c r="BB72" s="282"/>
      <c r="BC72" s="282"/>
      <c r="BD72" s="282"/>
      <c r="BE72" s="282"/>
      <c r="BF72" s="282"/>
      <c r="BG72" s="282"/>
      <c r="BH72" s="282"/>
      <c r="BI72" s="282"/>
      <c r="BJ72" s="282"/>
      <c r="BK72" s="282"/>
      <c r="BL72" s="282"/>
      <c r="BM72" s="282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B72" s="192"/>
      <c r="CC72" s="24"/>
      <c r="CD72" s="24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25"/>
      <c r="CS72" s="26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</row>
    <row r="73" spans="1:200" s="23" customFormat="1" ht="14.25" customHeight="1">
      <c r="A73" s="20"/>
      <c r="B73" s="85"/>
      <c r="C73" s="22"/>
      <c r="D73" s="22"/>
      <c r="E73" s="22"/>
      <c r="G73" s="22"/>
      <c r="H73" s="22"/>
      <c r="I73" s="22"/>
      <c r="K73" s="22"/>
      <c r="L73" s="22"/>
      <c r="M73" s="22"/>
      <c r="O73" s="22"/>
      <c r="P73" s="22"/>
      <c r="Q73" s="22"/>
      <c r="S73" s="22"/>
      <c r="T73" s="22"/>
      <c r="U73" s="22"/>
      <c r="W73" s="22"/>
      <c r="X73" s="22"/>
      <c r="Y73" s="22"/>
      <c r="AA73" s="22"/>
      <c r="AB73" s="22"/>
      <c r="AC73" s="22"/>
      <c r="AE73" s="24"/>
      <c r="AF73" s="24"/>
      <c r="AG73" s="24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6"/>
      <c r="AW73" s="24"/>
      <c r="AX73" s="20"/>
      <c r="AY73" s="85"/>
      <c r="AZ73" s="22"/>
      <c r="BA73" s="22"/>
      <c r="BB73" s="22"/>
      <c r="BD73" s="22"/>
      <c r="BE73" s="22"/>
      <c r="BF73" s="22"/>
      <c r="BH73" s="22"/>
      <c r="BI73" s="22"/>
      <c r="BJ73" s="22"/>
      <c r="BL73" s="22"/>
      <c r="BM73" s="22"/>
      <c r="BN73" s="22"/>
      <c r="BP73" s="22"/>
      <c r="BQ73" s="22"/>
      <c r="BR73" s="22"/>
      <c r="BT73" s="22"/>
      <c r="BU73" s="22"/>
      <c r="BV73" s="22"/>
      <c r="BX73" s="22"/>
      <c r="BY73" s="22"/>
      <c r="BZ73" s="22"/>
      <c r="CB73" s="24"/>
      <c r="CC73" s="24"/>
      <c r="CD73" s="24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6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</row>
    <row r="74" spans="1:200" s="23" customFormat="1" ht="14.25" customHeight="1">
      <c r="A74" s="20"/>
      <c r="B74" s="85"/>
      <c r="C74" s="22"/>
      <c r="D74" s="22"/>
      <c r="E74" s="22"/>
      <c r="G74" s="22"/>
      <c r="H74" s="22"/>
      <c r="I74" s="22"/>
      <c r="K74" s="22"/>
      <c r="L74" s="22"/>
      <c r="M74" s="22"/>
      <c r="O74" s="22"/>
      <c r="P74" s="22"/>
      <c r="Q74" s="22"/>
      <c r="S74" s="22"/>
      <c r="T74" s="22"/>
      <c r="U74" s="22"/>
      <c r="W74" s="22"/>
      <c r="X74" s="22"/>
      <c r="Y74" s="22"/>
      <c r="AA74" s="22"/>
      <c r="AB74" s="22"/>
      <c r="AC74" s="22"/>
      <c r="AE74" s="24"/>
      <c r="AF74" s="24"/>
      <c r="AG74" s="24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6"/>
      <c r="AW74" s="24"/>
      <c r="AX74" s="20"/>
      <c r="AY74" s="85"/>
      <c r="AZ74" s="22"/>
      <c r="BA74" s="22"/>
      <c r="BB74" s="22"/>
      <c r="BD74" s="22"/>
      <c r="BE74" s="22"/>
      <c r="BF74" s="22"/>
      <c r="BH74" s="22"/>
      <c r="BI74" s="22"/>
      <c r="BJ74" s="22"/>
      <c r="BL74" s="22"/>
      <c r="BM74" s="22"/>
      <c r="BN74" s="22"/>
      <c r="BP74" s="22"/>
      <c r="BQ74" s="22"/>
      <c r="BR74" s="22"/>
      <c r="BT74" s="22"/>
      <c r="BU74" s="22"/>
      <c r="BV74" s="22"/>
      <c r="BX74" s="22"/>
      <c r="BY74" s="22"/>
      <c r="BZ74" s="22"/>
      <c r="CB74" s="24"/>
      <c r="CC74" s="24"/>
      <c r="CD74" s="24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6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</row>
    <row r="75" spans="1:200" s="23" customFormat="1" ht="14.25" customHeight="1">
      <c r="A75" s="20"/>
      <c r="B75" s="85"/>
      <c r="C75" s="22"/>
      <c r="D75" s="22"/>
      <c r="E75" s="22"/>
      <c r="G75" s="22"/>
      <c r="H75" s="22"/>
      <c r="I75" s="22"/>
      <c r="K75" s="22"/>
      <c r="L75" s="22"/>
      <c r="M75" s="22"/>
      <c r="O75" s="22"/>
      <c r="P75" s="22"/>
      <c r="Q75" s="22"/>
      <c r="S75" s="22"/>
      <c r="T75" s="22"/>
      <c r="U75" s="22"/>
      <c r="W75" s="22"/>
      <c r="X75" s="22"/>
      <c r="Y75" s="22"/>
      <c r="AA75" s="22"/>
      <c r="AB75" s="22"/>
      <c r="AC75" s="22"/>
      <c r="AE75" s="24"/>
      <c r="AF75" s="24"/>
      <c r="AG75" s="24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6"/>
      <c r="AW75" s="24"/>
      <c r="AX75" s="20"/>
      <c r="AY75" s="85"/>
      <c r="AZ75" s="22"/>
      <c r="BA75" s="22"/>
      <c r="BB75" s="22"/>
      <c r="BD75" s="22"/>
      <c r="BE75" s="22"/>
      <c r="BF75" s="22"/>
      <c r="BH75" s="22"/>
      <c r="BI75" s="22"/>
      <c r="BJ75" s="22"/>
      <c r="BL75" s="22"/>
      <c r="BM75" s="22"/>
      <c r="BN75" s="22"/>
      <c r="BP75" s="22"/>
      <c r="BQ75" s="22"/>
      <c r="BR75" s="22"/>
      <c r="BT75" s="22"/>
      <c r="BU75" s="22"/>
      <c r="BV75" s="22"/>
      <c r="BX75" s="22"/>
      <c r="BY75" s="22"/>
      <c r="BZ75" s="22"/>
      <c r="CB75" s="24"/>
      <c r="CC75" s="24"/>
      <c r="CD75" s="24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6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</row>
    <row r="76" spans="1:200" s="23" customFormat="1" ht="14.25" customHeight="1">
      <c r="A76" s="20"/>
      <c r="B76" s="85"/>
      <c r="C76" s="22"/>
      <c r="D76" s="22"/>
      <c r="E76" s="22"/>
      <c r="G76" s="22"/>
      <c r="H76" s="22"/>
      <c r="I76" s="22"/>
      <c r="K76" s="22"/>
      <c r="L76" s="22"/>
      <c r="M76" s="22"/>
      <c r="O76" s="22"/>
      <c r="P76" s="22"/>
      <c r="Q76" s="22"/>
      <c r="S76" s="22"/>
      <c r="T76" s="22"/>
      <c r="U76" s="22"/>
      <c r="W76" s="22"/>
      <c r="X76" s="22"/>
      <c r="Y76" s="22"/>
      <c r="AA76" s="22"/>
      <c r="AB76" s="22"/>
      <c r="AC76" s="22"/>
      <c r="AE76" s="24"/>
      <c r="AF76" s="24"/>
      <c r="AG76" s="24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6"/>
      <c r="AW76" s="24"/>
      <c r="AX76" s="20"/>
      <c r="AY76" s="85"/>
      <c r="AZ76" s="22"/>
      <c r="BA76" s="22"/>
      <c r="BB76" s="22"/>
      <c r="BD76" s="22"/>
      <c r="BE76" s="22"/>
      <c r="BF76" s="22"/>
      <c r="BH76" s="22"/>
      <c r="BI76" s="22"/>
      <c r="BJ76" s="22"/>
      <c r="BL76" s="22"/>
      <c r="BM76" s="22"/>
      <c r="BN76" s="22"/>
      <c r="BP76" s="22"/>
      <c r="BQ76" s="22"/>
      <c r="BR76" s="22"/>
      <c r="BT76" s="22"/>
      <c r="BU76" s="22"/>
      <c r="BV76" s="22"/>
      <c r="BX76" s="22"/>
      <c r="BY76" s="22"/>
      <c r="BZ76" s="22"/>
      <c r="CB76" s="24"/>
      <c r="CC76" s="24"/>
      <c r="CD76" s="24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6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</row>
    <row r="77" spans="1:200" s="23" customFormat="1" ht="14.25" customHeight="1">
      <c r="A77" s="20"/>
      <c r="B77" s="85"/>
      <c r="C77" s="22"/>
      <c r="D77" s="22"/>
      <c r="E77" s="22"/>
      <c r="G77" s="22"/>
      <c r="H77" s="22"/>
      <c r="I77" s="22"/>
      <c r="K77" s="22"/>
      <c r="L77" s="22"/>
      <c r="M77" s="22"/>
      <c r="O77" s="22"/>
      <c r="P77" s="22"/>
      <c r="Q77" s="22"/>
      <c r="S77" s="22"/>
      <c r="T77" s="22"/>
      <c r="U77" s="22"/>
      <c r="W77" s="22"/>
      <c r="X77" s="22"/>
      <c r="Y77" s="22"/>
      <c r="AA77" s="22"/>
      <c r="AB77" s="22"/>
      <c r="AC77" s="22"/>
      <c r="AE77" s="24"/>
      <c r="AF77" s="24"/>
      <c r="AG77" s="24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6"/>
      <c r="AW77" s="24"/>
      <c r="AX77" s="20"/>
      <c r="AY77" s="85"/>
      <c r="AZ77" s="22"/>
      <c r="BA77" s="22"/>
      <c r="BB77" s="22"/>
      <c r="BD77" s="22"/>
      <c r="BE77" s="22"/>
      <c r="BF77" s="22"/>
      <c r="BH77" s="22"/>
      <c r="BI77" s="22"/>
      <c r="BJ77" s="22"/>
      <c r="BL77" s="22"/>
      <c r="BM77" s="22"/>
      <c r="BN77" s="22"/>
      <c r="BP77" s="22"/>
      <c r="BQ77" s="22"/>
      <c r="BR77" s="22"/>
      <c r="BT77" s="22"/>
      <c r="BU77" s="22"/>
      <c r="BV77" s="22"/>
      <c r="BX77" s="22"/>
      <c r="BY77" s="22"/>
      <c r="BZ77" s="22"/>
      <c r="CB77" s="24"/>
      <c r="CC77" s="24"/>
      <c r="CD77" s="24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6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</row>
    <row r="78" spans="1:200" s="23" customFormat="1" ht="14.25" customHeight="1">
      <c r="A78" s="20"/>
      <c r="B78" s="85"/>
      <c r="C78" s="22"/>
      <c r="D78" s="22"/>
      <c r="E78" s="22"/>
      <c r="G78" s="22"/>
      <c r="H78" s="22"/>
      <c r="I78" s="22"/>
      <c r="K78" s="22"/>
      <c r="L78" s="22"/>
      <c r="M78" s="22"/>
      <c r="O78" s="22"/>
      <c r="P78" s="22"/>
      <c r="Q78" s="22"/>
      <c r="S78" s="22"/>
      <c r="T78" s="22"/>
      <c r="U78" s="22"/>
      <c r="W78" s="22"/>
      <c r="X78" s="22"/>
      <c r="Y78" s="22"/>
      <c r="AA78" s="22"/>
      <c r="AB78" s="22"/>
      <c r="AC78" s="22"/>
      <c r="AE78" s="24"/>
      <c r="AF78" s="24"/>
      <c r="AG78" s="24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6"/>
      <c r="AW78" s="24"/>
      <c r="AX78" s="20"/>
      <c r="AY78" s="85"/>
      <c r="AZ78" s="22"/>
      <c r="BA78" s="22"/>
      <c r="BB78" s="22"/>
      <c r="BD78" s="22"/>
      <c r="BE78" s="22"/>
      <c r="BF78" s="22"/>
      <c r="BH78" s="22"/>
      <c r="BI78" s="22"/>
      <c r="BJ78" s="22"/>
      <c r="BL78" s="22"/>
      <c r="BM78" s="22"/>
      <c r="BN78" s="22"/>
      <c r="BP78" s="22"/>
      <c r="BQ78" s="22"/>
      <c r="BR78" s="22"/>
      <c r="BT78" s="22"/>
      <c r="BU78" s="22"/>
      <c r="BV78" s="22"/>
      <c r="BX78" s="22"/>
      <c r="BY78" s="22"/>
      <c r="BZ78" s="22"/>
      <c r="CB78" s="24"/>
      <c r="CC78" s="24"/>
      <c r="CD78" s="24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6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</row>
    <row r="79" spans="1:200" s="23" customFormat="1" ht="14.25" customHeight="1">
      <c r="A79" s="20"/>
      <c r="B79" s="85"/>
      <c r="C79" s="22"/>
      <c r="D79" s="22"/>
      <c r="E79" s="22"/>
      <c r="G79" s="22"/>
      <c r="H79" s="22"/>
      <c r="I79" s="22"/>
      <c r="K79" s="22"/>
      <c r="L79" s="22"/>
      <c r="M79" s="22"/>
      <c r="O79" s="22"/>
      <c r="P79" s="22"/>
      <c r="Q79" s="22"/>
      <c r="S79" s="22"/>
      <c r="T79" s="22"/>
      <c r="U79" s="22"/>
      <c r="W79" s="22"/>
      <c r="X79" s="22"/>
      <c r="Y79" s="22"/>
      <c r="AA79" s="22"/>
      <c r="AB79" s="22"/>
      <c r="AC79" s="22"/>
      <c r="AE79" s="24"/>
      <c r="AF79" s="24"/>
      <c r="AG79" s="24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6"/>
      <c r="AW79" s="24"/>
      <c r="AX79" s="20"/>
      <c r="AY79" s="85"/>
      <c r="AZ79" s="22"/>
      <c r="BA79" s="22"/>
      <c r="BB79" s="22"/>
      <c r="BD79" s="22"/>
      <c r="BE79" s="22"/>
      <c r="BF79" s="22"/>
      <c r="BH79" s="22"/>
      <c r="BI79" s="22"/>
      <c r="BJ79" s="22"/>
      <c r="BL79" s="22"/>
      <c r="BM79" s="22"/>
      <c r="BN79" s="22"/>
      <c r="BP79" s="22"/>
      <c r="BQ79" s="22"/>
      <c r="BR79" s="22"/>
      <c r="BT79" s="22"/>
      <c r="BU79" s="22"/>
      <c r="BV79" s="22"/>
      <c r="BX79" s="22"/>
      <c r="BY79" s="22"/>
      <c r="BZ79" s="22"/>
      <c r="CB79" s="24"/>
      <c r="CC79" s="24"/>
      <c r="CD79" s="24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6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</row>
    <row r="80" spans="1:200" s="23" customFormat="1" ht="14.25" customHeight="1">
      <c r="A80" s="20"/>
      <c r="B80" s="85"/>
      <c r="C80" s="22"/>
      <c r="D80" s="22"/>
      <c r="E80" s="22"/>
      <c r="G80" s="22"/>
      <c r="H80" s="22"/>
      <c r="I80" s="22"/>
      <c r="K80" s="22"/>
      <c r="L80" s="22"/>
      <c r="M80" s="22"/>
      <c r="O80" s="22"/>
      <c r="P80" s="22"/>
      <c r="Q80" s="22"/>
      <c r="S80" s="22"/>
      <c r="T80" s="22"/>
      <c r="U80" s="22"/>
      <c r="W80" s="22"/>
      <c r="X80" s="22"/>
      <c r="Y80" s="22"/>
      <c r="AA80" s="22"/>
      <c r="AB80" s="22"/>
      <c r="AC80" s="22"/>
      <c r="AE80" s="24"/>
      <c r="AF80" s="24"/>
      <c r="AG80" s="24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6"/>
      <c r="AW80" s="24"/>
      <c r="AX80" s="20"/>
      <c r="AY80" s="85"/>
      <c r="AZ80" s="22"/>
      <c r="BA80" s="22"/>
      <c r="BB80" s="22"/>
      <c r="BD80" s="22"/>
      <c r="BE80" s="22"/>
      <c r="BF80" s="22"/>
      <c r="BH80" s="22"/>
      <c r="BI80" s="22"/>
      <c r="BJ80" s="22"/>
      <c r="BL80" s="22"/>
      <c r="BM80" s="22"/>
      <c r="BN80" s="22"/>
      <c r="BP80" s="22"/>
      <c r="BQ80" s="22"/>
      <c r="BR80" s="22"/>
      <c r="BT80" s="22"/>
      <c r="BU80" s="22"/>
      <c r="BV80" s="22"/>
      <c r="BX80" s="22"/>
      <c r="BY80" s="22"/>
      <c r="BZ80" s="22"/>
      <c r="CB80" s="24"/>
      <c r="CC80" s="24"/>
      <c r="CD80" s="24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6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</row>
    <row r="81" spans="1:200" s="23" customFormat="1" ht="14.25" customHeight="1">
      <c r="A81" s="20"/>
      <c r="B81" s="85"/>
      <c r="C81" s="22"/>
      <c r="D81" s="22"/>
      <c r="E81" s="22"/>
      <c r="G81" s="22"/>
      <c r="H81" s="22"/>
      <c r="I81" s="22"/>
      <c r="K81" s="22"/>
      <c r="L81" s="22"/>
      <c r="M81" s="22"/>
      <c r="O81" s="22"/>
      <c r="P81" s="22"/>
      <c r="Q81" s="22"/>
      <c r="S81" s="22"/>
      <c r="T81" s="22"/>
      <c r="U81" s="22"/>
      <c r="W81" s="22"/>
      <c r="X81" s="22"/>
      <c r="Y81" s="22"/>
      <c r="AA81" s="22"/>
      <c r="AB81" s="22"/>
      <c r="AC81" s="22"/>
      <c r="AE81" s="24"/>
      <c r="AF81" s="24"/>
      <c r="AG81" s="24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6"/>
      <c r="AW81" s="24"/>
      <c r="AX81" s="20"/>
      <c r="AY81" s="85"/>
      <c r="AZ81" s="22"/>
      <c r="BA81" s="22"/>
      <c r="BB81" s="22"/>
      <c r="BD81" s="22"/>
      <c r="BE81" s="22"/>
      <c r="BF81" s="22"/>
      <c r="BH81" s="22"/>
      <c r="BI81" s="22"/>
      <c r="BJ81" s="22"/>
      <c r="BL81" s="22"/>
      <c r="BM81" s="22"/>
      <c r="BN81" s="22"/>
      <c r="BP81" s="22"/>
      <c r="BQ81" s="22"/>
      <c r="BR81" s="22"/>
      <c r="BT81" s="22"/>
      <c r="BU81" s="22"/>
      <c r="BV81" s="22"/>
      <c r="BX81" s="22"/>
      <c r="BY81" s="22"/>
      <c r="BZ81" s="22"/>
      <c r="CB81" s="24"/>
      <c r="CC81" s="24"/>
      <c r="CD81" s="24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6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</row>
    <row r="82" spans="1:200" s="23" customFormat="1" ht="14.25" customHeight="1">
      <c r="A82" s="20"/>
      <c r="B82" s="85"/>
      <c r="C82" s="22"/>
      <c r="D82" s="22"/>
      <c r="E82" s="22"/>
      <c r="G82" s="22"/>
      <c r="H82" s="22"/>
      <c r="I82" s="22"/>
      <c r="K82" s="22"/>
      <c r="L82" s="22"/>
      <c r="M82" s="22"/>
      <c r="O82" s="22"/>
      <c r="P82" s="22"/>
      <c r="Q82" s="22"/>
      <c r="S82" s="22"/>
      <c r="T82" s="22"/>
      <c r="U82" s="22"/>
      <c r="W82" s="22"/>
      <c r="X82" s="22"/>
      <c r="Y82" s="22"/>
      <c r="AA82" s="22"/>
      <c r="AB82" s="22"/>
      <c r="AC82" s="22"/>
      <c r="AE82" s="24"/>
      <c r="AF82" s="24"/>
      <c r="AG82" s="24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6"/>
      <c r="AW82" s="24"/>
      <c r="AX82" s="20"/>
      <c r="AY82" s="85"/>
      <c r="AZ82" s="22"/>
      <c r="BA82" s="22"/>
      <c r="BB82" s="22"/>
      <c r="BD82" s="22"/>
      <c r="BE82" s="22"/>
      <c r="BF82" s="22"/>
      <c r="BH82" s="22"/>
      <c r="BI82" s="22"/>
      <c r="BJ82" s="22"/>
      <c r="BL82" s="22"/>
      <c r="BM82" s="22"/>
      <c r="BN82" s="22"/>
      <c r="BP82" s="22"/>
      <c r="BQ82" s="22"/>
      <c r="BR82" s="22"/>
      <c r="BT82" s="22"/>
      <c r="BU82" s="22"/>
      <c r="BV82" s="22"/>
      <c r="BX82" s="22"/>
      <c r="BY82" s="22"/>
      <c r="BZ82" s="22"/>
      <c r="CB82" s="24"/>
      <c r="CC82" s="24"/>
      <c r="CD82" s="24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6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</row>
    <row r="83" spans="1:200" s="23" customFormat="1" ht="14.25" customHeight="1">
      <c r="A83" s="20"/>
      <c r="B83" s="85"/>
      <c r="C83" s="22"/>
      <c r="D83" s="22"/>
      <c r="E83" s="22"/>
      <c r="G83" s="22"/>
      <c r="H83" s="22"/>
      <c r="I83" s="22"/>
      <c r="K83" s="22"/>
      <c r="L83" s="22"/>
      <c r="M83" s="22"/>
      <c r="O83" s="22"/>
      <c r="P83" s="22"/>
      <c r="Q83" s="22"/>
      <c r="S83" s="22"/>
      <c r="T83" s="22"/>
      <c r="U83" s="22"/>
      <c r="W83" s="22"/>
      <c r="X83" s="22"/>
      <c r="Y83" s="22"/>
      <c r="AA83" s="22"/>
      <c r="AB83" s="22"/>
      <c r="AC83" s="22"/>
      <c r="AE83" s="24"/>
      <c r="AF83" s="24"/>
      <c r="AG83" s="24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6"/>
      <c r="AW83" s="24"/>
      <c r="AX83" s="20"/>
      <c r="AY83" s="85"/>
      <c r="AZ83" s="22"/>
      <c r="BA83" s="22"/>
      <c r="BB83" s="22"/>
      <c r="BD83" s="22"/>
      <c r="BE83" s="22"/>
      <c r="BF83" s="22"/>
      <c r="BH83" s="22"/>
      <c r="BI83" s="22"/>
      <c r="BJ83" s="22"/>
      <c r="BL83" s="22"/>
      <c r="BM83" s="22"/>
      <c r="BN83" s="22"/>
      <c r="BP83" s="22"/>
      <c r="BQ83" s="22"/>
      <c r="BR83" s="22"/>
      <c r="BT83" s="22"/>
      <c r="BU83" s="22"/>
      <c r="BV83" s="22"/>
      <c r="BX83" s="22"/>
      <c r="BY83" s="22"/>
      <c r="BZ83" s="22"/>
      <c r="CB83" s="24"/>
      <c r="CC83" s="24"/>
      <c r="CD83" s="24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6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</row>
    <row r="84" spans="1:200" s="23" customFormat="1" ht="14.25" customHeight="1">
      <c r="A84" s="20"/>
      <c r="B84" s="85"/>
      <c r="C84" s="22"/>
      <c r="D84" s="22"/>
      <c r="E84" s="22"/>
      <c r="G84" s="22"/>
      <c r="H84" s="22"/>
      <c r="I84" s="22"/>
      <c r="K84" s="22"/>
      <c r="L84" s="22"/>
      <c r="M84" s="22"/>
      <c r="O84" s="22"/>
      <c r="P84" s="22"/>
      <c r="Q84" s="22"/>
      <c r="S84" s="22"/>
      <c r="T84" s="22"/>
      <c r="U84" s="22"/>
      <c r="W84" s="22"/>
      <c r="X84" s="22"/>
      <c r="Y84" s="22"/>
      <c r="AA84" s="22"/>
      <c r="AB84" s="22"/>
      <c r="AC84" s="22"/>
      <c r="AE84" s="24"/>
      <c r="AF84" s="24"/>
      <c r="AG84" s="24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6"/>
      <c r="AW84" s="24"/>
      <c r="AX84" s="20"/>
      <c r="AY84" s="85"/>
      <c r="AZ84" s="22"/>
      <c r="BA84" s="22"/>
      <c r="BB84" s="22"/>
      <c r="BD84" s="22"/>
      <c r="BE84" s="22"/>
      <c r="BF84" s="22"/>
      <c r="BH84" s="22"/>
      <c r="BI84" s="22"/>
      <c r="BJ84" s="22"/>
      <c r="BL84" s="22"/>
      <c r="BM84" s="22"/>
      <c r="BN84" s="22"/>
      <c r="BP84" s="22"/>
      <c r="BQ84" s="22"/>
      <c r="BR84" s="22"/>
      <c r="BT84" s="22"/>
      <c r="BU84" s="22"/>
      <c r="BV84" s="22"/>
      <c r="BX84" s="22"/>
      <c r="BY84" s="22"/>
      <c r="BZ84" s="22"/>
      <c r="CB84" s="24"/>
      <c r="CC84" s="24"/>
      <c r="CD84" s="24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6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</row>
    <row r="85" spans="1:200" s="23" customFormat="1" ht="14.25" customHeight="1">
      <c r="A85" s="20"/>
      <c r="B85" s="85"/>
      <c r="C85" s="22"/>
      <c r="D85" s="22"/>
      <c r="E85" s="22"/>
      <c r="G85" s="22"/>
      <c r="H85" s="22"/>
      <c r="I85" s="22"/>
      <c r="K85" s="22"/>
      <c r="L85" s="22"/>
      <c r="M85" s="22"/>
      <c r="O85" s="22"/>
      <c r="P85" s="22"/>
      <c r="Q85" s="22"/>
      <c r="S85" s="22"/>
      <c r="T85" s="22"/>
      <c r="U85" s="22"/>
      <c r="W85" s="22"/>
      <c r="X85" s="22"/>
      <c r="Y85" s="22"/>
      <c r="AA85" s="22"/>
      <c r="AB85" s="22"/>
      <c r="AC85" s="22"/>
      <c r="AE85" s="24"/>
      <c r="AF85" s="24"/>
      <c r="AG85" s="24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6"/>
      <c r="AW85" s="24"/>
      <c r="AX85" s="20"/>
      <c r="AY85" s="85"/>
      <c r="AZ85" s="22"/>
      <c r="BA85" s="22"/>
      <c r="BB85" s="22"/>
      <c r="BD85" s="22"/>
      <c r="BE85" s="22"/>
      <c r="BF85" s="22"/>
      <c r="BH85" s="22"/>
      <c r="BI85" s="22"/>
      <c r="BJ85" s="22"/>
      <c r="BL85" s="22"/>
      <c r="BM85" s="22"/>
      <c r="BN85" s="22"/>
      <c r="BP85" s="22"/>
      <c r="BQ85" s="22"/>
      <c r="BR85" s="22"/>
      <c r="BT85" s="22"/>
      <c r="BU85" s="22"/>
      <c r="BV85" s="22"/>
      <c r="BX85" s="22"/>
      <c r="BY85" s="22"/>
      <c r="BZ85" s="22"/>
      <c r="CB85" s="24"/>
      <c r="CC85" s="24"/>
      <c r="CD85" s="24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6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</row>
    <row r="86" spans="1:200" s="23" customFormat="1" ht="14.25" customHeight="1">
      <c r="A86" s="20"/>
      <c r="B86" s="85"/>
      <c r="C86" s="22"/>
      <c r="D86" s="22"/>
      <c r="E86" s="22"/>
      <c r="G86" s="22"/>
      <c r="H86" s="22"/>
      <c r="I86" s="22"/>
      <c r="K86" s="22"/>
      <c r="L86" s="22"/>
      <c r="M86" s="22"/>
      <c r="O86" s="22"/>
      <c r="P86" s="22"/>
      <c r="Q86" s="22"/>
      <c r="S86" s="22"/>
      <c r="T86" s="22"/>
      <c r="U86" s="22"/>
      <c r="W86" s="22"/>
      <c r="X86" s="22"/>
      <c r="Y86" s="22"/>
      <c r="AA86" s="22"/>
      <c r="AB86" s="22"/>
      <c r="AC86" s="22"/>
      <c r="AE86" s="24"/>
      <c r="AF86" s="24"/>
      <c r="AG86" s="24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6"/>
      <c r="AW86" s="24"/>
      <c r="AX86" s="20"/>
      <c r="AY86" s="85"/>
      <c r="AZ86" s="22"/>
      <c r="BA86" s="22"/>
      <c r="BB86" s="22"/>
      <c r="BD86" s="22"/>
      <c r="BE86" s="22"/>
      <c r="BF86" s="22"/>
      <c r="BH86" s="22"/>
      <c r="BI86" s="22"/>
      <c r="BJ86" s="22"/>
      <c r="BL86" s="22"/>
      <c r="BM86" s="22"/>
      <c r="BN86" s="22"/>
      <c r="BP86" s="22"/>
      <c r="BQ86" s="22"/>
      <c r="BR86" s="22"/>
      <c r="BT86" s="22"/>
      <c r="BU86" s="22"/>
      <c r="BV86" s="22"/>
      <c r="BX86" s="22"/>
      <c r="BY86" s="22"/>
      <c r="BZ86" s="22"/>
      <c r="CB86" s="24"/>
      <c r="CC86" s="24"/>
      <c r="CD86" s="24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6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</row>
    <row r="87" spans="1:200" s="23" customFormat="1" ht="14.25" customHeight="1">
      <c r="A87" s="20"/>
      <c r="B87" s="85"/>
      <c r="C87" s="22"/>
      <c r="D87" s="22"/>
      <c r="E87" s="22"/>
      <c r="G87" s="22"/>
      <c r="H87" s="22"/>
      <c r="I87" s="22"/>
      <c r="K87" s="22"/>
      <c r="L87" s="22"/>
      <c r="M87" s="22"/>
      <c r="O87" s="22"/>
      <c r="P87" s="22"/>
      <c r="Q87" s="22"/>
      <c r="S87" s="22"/>
      <c r="T87" s="22"/>
      <c r="U87" s="22"/>
      <c r="W87" s="22"/>
      <c r="X87" s="22"/>
      <c r="Y87" s="22"/>
      <c r="AA87" s="22"/>
      <c r="AB87" s="22"/>
      <c r="AC87" s="22"/>
      <c r="AE87" s="24"/>
      <c r="AF87" s="24"/>
      <c r="AG87" s="24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6"/>
      <c r="AW87" s="24"/>
      <c r="AX87" s="20"/>
      <c r="AY87" s="85"/>
      <c r="AZ87" s="22"/>
      <c r="BA87" s="22"/>
      <c r="BB87" s="22"/>
      <c r="BD87" s="22"/>
      <c r="BE87" s="22"/>
      <c r="BF87" s="22"/>
      <c r="BH87" s="22"/>
      <c r="BI87" s="22"/>
      <c r="BJ87" s="22"/>
      <c r="BL87" s="22"/>
      <c r="BM87" s="22"/>
      <c r="BN87" s="22"/>
      <c r="BP87" s="22"/>
      <c r="BQ87" s="22"/>
      <c r="BR87" s="22"/>
      <c r="BT87" s="22"/>
      <c r="BU87" s="22"/>
      <c r="BV87" s="22"/>
      <c r="BX87" s="22"/>
      <c r="BY87" s="22"/>
      <c r="BZ87" s="22"/>
      <c r="CB87" s="24"/>
      <c r="CC87" s="24"/>
      <c r="CD87" s="24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6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</row>
    <row r="88" spans="1:200" s="23" customFormat="1" ht="14.25" customHeight="1">
      <c r="A88" s="20"/>
      <c r="B88" s="85"/>
      <c r="C88" s="22"/>
      <c r="D88" s="22"/>
      <c r="E88" s="22"/>
      <c r="G88" s="22"/>
      <c r="H88" s="22"/>
      <c r="I88" s="22"/>
      <c r="K88" s="22"/>
      <c r="L88" s="22"/>
      <c r="M88" s="22"/>
      <c r="O88" s="22"/>
      <c r="P88" s="22"/>
      <c r="Q88" s="22"/>
      <c r="S88" s="22"/>
      <c r="T88" s="22"/>
      <c r="U88" s="22"/>
      <c r="W88" s="22"/>
      <c r="X88" s="22"/>
      <c r="Y88" s="22"/>
      <c r="AA88" s="22"/>
      <c r="AB88" s="22"/>
      <c r="AC88" s="22"/>
      <c r="AE88" s="24"/>
      <c r="AF88" s="24"/>
      <c r="AG88" s="24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6"/>
      <c r="AW88" s="24"/>
      <c r="AX88" s="20"/>
      <c r="AY88" s="85"/>
      <c r="AZ88" s="22"/>
      <c r="BA88" s="22"/>
      <c r="BB88" s="22"/>
      <c r="BD88" s="22"/>
      <c r="BE88" s="22"/>
      <c r="BF88" s="22"/>
      <c r="BH88" s="22"/>
      <c r="BI88" s="22"/>
      <c r="BJ88" s="22"/>
      <c r="BL88" s="22"/>
      <c r="BM88" s="22"/>
      <c r="BN88" s="22"/>
      <c r="BP88" s="22"/>
      <c r="BQ88" s="22"/>
      <c r="BR88" s="22"/>
      <c r="BT88" s="22"/>
      <c r="BU88" s="22"/>
      <c r="BV88" s="22"/>
      <c r="BX88" s="22"/>
      <c r="BY88" s="22"/>
      <c r="BZ88" s="22"/>
      <c r="CB88" s="24"/>
      <c r="CC88" s="24"/>
      <c r="CD88" s="24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6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</row>
    <row r="89" spans="1:200" s="23" customFormat="1" ht="14.25" customHeight="1">
      <c r="A89" s="20"/>
      <c r="B89" s="85"/>
      <c r="C89" s="22"/>
      <c r="D89" s="22"/>
      <c r="E89" s="22"/>
      <c r="G89" s="22"/>
      <c r="H89" s="22"/>
      <c r="I89" s="22"/>
      <c r="K89" s="22"/>
      <c r="L89" s="22"/>
      <c r="M89" s="22"/>
      <c r="O89" s="22"/>
      <c r="P89" s="22"/>
      <c r="Q89" s="22"/>
      <c r="S89" s="22"/>
      <c r="T89" s="22"/>
      <c r="U89" s="22"/>
      <c r="W89" s="22"/>
      <c r="X89" s="22"/>
      <c r="Y89" s="22"/>
      <c r="AA89" s="22"/>
      <c r="AB89" s="22"/>
      <c r="AC89" s="22"/>
      <c r="AE89" s="24"/>
      <c r="AF89" s="24"/>
      <c r="AG89" s="24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6"/>
      <c r="AW89" s="24"/>
      <c r="AX89" s="20"/>
      <c r="AY89" s="85"/>
      <c r="AZ89" s="22"/>
      <c r="BA89" s="22"/>
      <c r="BB89" s="22"/>
      <c r="BD89" s="22"/>
      <c r="BE89" s="22"/>
      <c r="BF89" s="22"/>
      <c r="BH89" s="22"/>
      <c r="BI89" s="22"/>
      <c r="BJ89" s="22"/>
      <c r="BL89" s="22"/>
      <c r="BM89" s="22"/>
      <c r="BN89" s="22"/>
      <c r="BP89" s="22"/>
      <c r="BQ89" s="22"/>
      <c r="BR89" s="22"/>
      <c r="BT89" s="22"/>
      <c r="BU89" s="22"/>
      <c r="BV89" s="22"/>
      <c r="BX89" s="22"/>
      <c r="BY89" s="22"/>
      <c r="BZ89" s="22"/>
      <c r="CB89" s="24"/>
      <c r="CC89" s="24"/>
      <c r="CD89" s="24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6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</row>
    <row r="90" spans="1:200" s="23" customFormat="1" ht="14.25" customHeight="1">
      <c r="A90" s="20"/>
      <c r="B90" s="85"/>
      <c r="C90" s="22"/>
      <c r="D90" s="22"/>
      <c r="E90" s="22"/>
      <c r="G90" s="22"/>
      <c r="H90" s="22"/>
      <c r="I90" s="22"/>
      <c r="K90" s="22"/>
      <c r="L90" s="22"/>
      <c r="M90" s="22"/>
      <c r="O90" s="22"/>
      <c r="P90" s="22"/>
      <c r="Q90" s="22"/>
      <c r="S90" s="22"/>
      <c r="T90" s="22"/>
      <c r="U90" s="22"/>
      <c r="W90" s="22"/>
      <c r="X90" s="22"/>
      <c r="Y90" s="22"/>
      <c r="AA90" s="22"/>
      <c r="AB90" s="22"/>
      <c r="AC90" s="22"/>
      <c r="AE90" s="24"/>
      <c r="AF90" s="24"/>
      <c r="AG90" s="24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6"/>
      <c r="AW90" s="24"/>
      <c r="AX90" s="20"/>
      <c r="AY90" s="85"/>
      <c r="AZ90" s="22"/>
      <c r="BA90" s="22"/>
      <c r="BB90" s="22"/>
      <c r="BD90" s="22"/>
      <c r="BE90" s="22"/>
      <c r="BF90" s="22"/>
      <c r="BH90" s="22"/>
      <c r="BI90" s="22"/>
      <c r="BJ90" s="22"/>
      <c r="BL90" s="22"/>
      <c r="BM90" s="22"/>
      <c r="BN90" s="22"/>
      <c r="BP90" s="22"/>
      <c r="BQ90" s="22"/>
      <c r="BR90" s="22"/>
      <c r="BT90" s="22"/>
      <c r="BU90" s="22"/>
      <c r="BV90" s="22"/>
      <c r="BX90" s="22"/>
      <c r="BY90" s="22"/>
      <c r="BZ90" s="22"/>
      <c r="CB90" s="24"/>
      <c r="CC90" s="24"/>
      <c r="CD90" s="24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6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</row>
    <row r="91" spans="1:200" s="23" customFormat="1" ht="14.25" customHeight="1">
      <c r="A91" s="20"/>
      <c r="B91" s="85"/>
      <c r="C91" s="22"/>
      <c r="D91" s="22"/>
      <c r="E91" s="22"/>
      <c r="G91" s="22"/>
      <c r="H91" s="22"/>
      <c r="I91" s="22"/>
      <c r="K91" s="22"/>
      <c r="L91" s="22"/>
      <c r="M91" s="22"/>
      <c r="O91" s="22"/>
      <c r="P91" s="22"/>
      <c r="Q91" s="22"/>
      <c r="S91" s="22"/>
      <c r="T91" s="22"/>
      <c r="U91" s="22"/>
      <c r="W91" s="22"/>
      <c r="X91" s="22"/>
      <c r="Y91" s="22"/>
      <c r="AA91" s="22"/>
      <c r="AB91" s="22"/>
      <c r="AC91" s="22"/>
      <c r="AE91" s="24"/>
      <c r="AF91" s="24"/>
      <c r="AG91" s="24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6"/>
      <c r="AW91" s="24"/>
      <c r="AX91" s="20"/>
      <c r="AY91" s="85"/>
      <c r="AZ91" s="22"/>
      <c r="BA91" s="22"/>
      <c r="BB91" s="22"/>
      <c r="BD91" s="22"/>
      <c r="BE91" s="22"/>
      <c r="BF91" s="22"/>
      <c r="BH91" s="22"/>
      <c r="BI91" s="22"/>
      <c r="BJ91" s="22"/>
      <c r="BL91" s="22"/>
      <c r="BM91" s="22"/>
      <c r="BN91" s="22"/>
      <c r="BP91" s="22"/>
      <c r="BQ91" s="22"/>
      <c r="BR91" s="22"/>
      <c r="BT91" s="22"/>
      <c r="BU91" s="22"/>
      <c r="BV91" s="22"/>
      <c r="BX91" s="22"/>
      <c r="BY91" s="22"/>
      <c r="BZ91" s="22"/>
      <c r="CB91" s="24"/>
      <c r="CC91" s="24"/>
      <c r="CD91" s="24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6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</row>
    <row r="92" spans="1:200" s="23" customFormat="1" ht="14.25" customHeight="1">
      <c r="A92" s="20"/>
      <c r="B92" s="85"/>
      <c r="C92" s="22"/>
      <c r="D92" s="22"/>
      <c r="E92" s="22"/>
      <c r="G92" s="22"/>
      <c r="H92" s="22"/>
      <c r="I92" s="22"/>
      <c r="K92" s="22"/>
      <c r="L92" s="22"/>
      <c r="M92" s="22"/>
      <c r="O92" s="22"/>
      <c r="P92" s="22"/>
      <c r="Q92" s="22"/>
      <c r="S92" s="22"/>
      <c r="T92" s="22"/>
      <c r="U92" s="22"/>
      <c r="W92" s="22"/>
      <c r="X92" s="22"/>
      <c r="Y92" s="22"/>
      <c r="AA92" s="22"/>
      <c r="AB92" s="22"/>
      <c r="AC92" s="22"/>
      <c r="AE92" s="24"/>
      <c r="AF92" s="24"/>
      <c r="AG92" s="24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6"/>
      <c r="AW92" s="24"/>
      <c r="AX92" s="20"/>
      <c r="AY92" s="85"/>
      <c r="AZ92" s="22"/>
      <c r="BA92" s="22"/>
      <c r="BB92" s="22"/>
      <c r="BD92" s="22"/>
      <c r="BE92" s="22"/>
      <c r="BF92" s="22"/>
      <c r="BH92" s="22"/>
      <c r="BI92" s="22"/>
      <c r="BJ92" s="22"/>
      <c r="BL92" s="22"/>
      <c r="BM92" s="22"/>
      <c r="BN92" s="22"/>
      <c r="BP92" s="22"/>
      <c r="BQ92" s="22"/>
      <c r="BR92" s="22"/>
      <c r="BT92" s="22"/>
      <c r="BU92" s="22"/>
      <c r="BV92" s="22"/>
      <c r="BX92" s="22"/>
      <c r="BY92" s="22"/>
      <c r="BZ92" s="22"/>
      <c r="CB92" s="24"/>
      <c r="CC92" s="24"/>
      <c r="CD92" s="24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6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</row>
    <row r="93" spans="1:200" s="23" customFormat="1" ht="14.25" customHeight="1">
      <c r="A93" s="20"/>
      <c r="B93" s="85"/>
      <c r="C93" s="22"/>
      <c r="D93" s="22"/>
      <c r="E93" s="22"/>
      <c r="G93" s="22"/>
      <c r="H93" s="22"/>
      <c r="I93" s="22"/>
      <c r="K93" s="22"/>
      <c r="L93" s="22"/>
      <c r="M93" s="22"/>
      <c r="O93" s="22"/>
      <c r="P93" s="22"/>
      <c r="Q93" s="22"/>
      <c r="S93" s="22"/>
      <c r="T93" s="22"/>
      <c r="U93" s="22"/>
      <c r="W93" s="22"/>
      <c r="X93" s="22"/>
      <c r="Y93" s="22"/>
      <c r="AA93" s="22"/>
      <c r="AB93" s="22"/>
      <c r="AC93" s="22"/>
      <c r="AE93" s="24"/>
      <c r="AF93" s="24"/>
      <c r="AG93" s="24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6"/>
      <c r="AW93" s="24"/>
      <c r="AX93" s="20"/>
      <c r="AY93" s="85"/>
      <c r="AZ93" s="22"/>
      <c r="BA93" s="22"/>
      <c r="BB93" s="22"/>
      <c r="BD93" s="22"/>
      <c r="BE93" s="22"/>
      <c r="BF93" s="22"/>
      <c r="BH93" s="22"/>
      <c r="BI93" s="22"/>
      <c r="BJ93" s="22"/>
      <c r="BL93" s="22"/>
      <c r="BM93" s="22"/>
      <c r="BN93" s="22"/>
      <c r="BP93" s="22"/>
      <c r="BQ93" s="22"/>
      <c r="BR93" s="22"/>
      <c r="BT93" s="22"/>
      <c r="BU93" s="22"/>
      <c r="BV93" s="22"/>
      <c r="BX93" s="22"/>
      <c r="BY93" s="22"/>
      <c r="BZ93" s="22"/>
      <c r="CB93" s="24"/>
      <c r="CC93" s="24"/>
      <c r="CD93" s="24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6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</row>
    <row r="94" spans="1:200" s="23" customFormat="1" ht="14.25" customHeight="1">
      <c r="A94" s="20"/>
      <c r="B94" s="85"/>
      <c r="C94" s="22"/>
      <c r="D94" s="22"/>
      <c r="E94" s="22"/>
      <c r="G94" s="22"/>
      <c r="H94" s="22"/>
      <c r="I94" s="22"/>
      <c r="K94" s="22"/>
      <c r="L94" s="22"/>
      <c r="M94" s="22"/>
      <c r="O94" s="22"/>
      <c r="P94" s="22"/>
      <c r="Q94" s="22"/>
      <c r="S94" s="22"/>
      <c r="T94" s="22"/>
      <c r="U94" s="22"/>
      <c r="W94" s="22"/>
      <c r="X94" s="22"/>
      <c r="Y94" s="22"/>
      <c r="AA94" s="22"/>
      <c r="AB94" s="22"/>
      <c r="AC94" s="22"/>
      <c r="AE94" s="24"/>
      <c r="AF94" s="24"/>
      <c r="AG94" s="24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6"/>
      <c r="AW94" s="24"/>
      <c r="AX94" s="20"/>
      <c r="AY94" s="85"/>
      <c r="AZ94" s="22"/>
      <c r="BA94" s="22"/>
      <c r="BB94" s="22"/>
      <c r="BD94" s="22"/>
      <c r="BE94" s="22"/>
      <c r="BF94" s="22"/>
      <c r="BH94" s="22"/>
      <c r="BI94" s="22"/>
      <c r="BJ94" s="22"/>
      <c r="BL94" s="22"/>
      <c r="BM94" s="22"/>
      <c r="BN94" s="22"/>
      <c r="BP94" s="22"/>
      <c r="BQ94" s="22"/>
      <c r="BR94" s="22"/>
      <c r="BT94" s="22"/>
      <c r="BU94" s="22"/>
      <c r="BV94" s="22"/>
      <c r="BX94" s="22"/>
      <c r="BY94" s="22"/>
      <c r="BZ94" s="22"/>
      <c r="CB94" s="24"/>
      <c r="CC94" s="24"/>
      <c r="CD94" s="24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6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</row>
    <row r="95" spans="1:200" s="23" customFormat="1" ht="14.25" customHeight="1">
      <c r="A95" s="20"/>
      <c r="B95" s="85"/>
      <c r="C95" s="22"/>
      <c r="D95" s="22"/>
      <c r="E95" s="22"/>
      <c r="G95" s="22"/>
      <c r="H95" s="22"/>
      <c r="I95" s="22"/>
      <c r="K95" s="22"/>
      <c r="L95" s="22"/>
      <c r="M95" s="22"/>
      <c r="O95" s="22"/>
      <c r="P95" s="22"/>
      <c r="Q95" s="22"/>
      <c r="S95" s="22"/>
      <c r="T95" s="22"/>
      <c r="U95" s="22"/>
      <c r="W95" s="22"/>
      <c r="X95" s="22"/>
      <c r="Y95" s="22"/>
      <c r="AA95" s="22"/>
      <c r="AB95" s="22"/>
      <c r="AC95" s="22"/>
      <c r="AE95" s="24"/>
      <c r="AF95" s="24"/>
      <c r="AG95" s="24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6"/>
      <c r="AW95" s="24"/>
      <c r="AX95" s="20"/>
      <c r="AY95" s="85"/>
      <c r="AZ95" s="22"/>
      <c r="BA95" s="22"/>
      <c r="BB95" s="22"/>
      <c r="BD95" s="22"/>
      <c r="BE95" s="22"/>
      <c r="BF95" s="22"/>
      <c r="BH95" s="22"/>
      <c r="BI95" s="22"/>
      <c r="BJ95" s="22"/>
      <c r="BL95" s="22"/>
      <c r="BM95" s="22"/>
      <c r="BN95" s="22"/>
      <c r="BP95" s="22"/>
      <c r="BQ95" s="22"/>
      <c r="BR95" s="22"/>
      <c r="BT95" s="22"/>
      <c r="BU95" s="22"/>
      <c r="BV95" s="22"/>
      <c r="BX95" s="22"/>
      <c r="BY95" s="22"/>
      <c r="BZ95" s="22"/>
      <c r="CB95" s="24"/>
      <c r="CC95" s="24"/>
      <c r="CD95" s="24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6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</row>
    <row r="96" spans="1:200" s="23" customFormat="1" ht="14.25" customHeight="1">
      <c r="A96" s="20"/>
      <c r="B96" s="85"/>
      <c r="C96" s="22"/>
      <c r="D96" s="22"/>
      <c r="E96" s="22"/>
      <c r="G96" s="22"/>
      <c r="H96" s="22"/>
      <c r="I96" s="22"/>
      <c r="K96" s="22"/>
      <c r="L96" s="22"/>
      <c r="M96" s="22"/>
      <c r="O96" s="22"/>
      <c r="P96" s="22"/>
      <c r="Q96" s="22"/>
      <c r="S96" s="22"/>
      <c r="T96" s="22"/>
      <c r="U96" s="22"/>
      <c r="W96" s="22"/>
      <c r="X96" s="22"/>
      <c r="Y96" s="22"/>
      <c r="AA96" s="22"/>
      <c r="AB96" s="22"/>
      <c r="AC96" s="22"/>
      <c r="AE96" s="24"/>
      <c r="AF96" s="24"/>
      <c r="AG96" s="24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6"/>
      <c r="AW96" s="24"/>
      <c r="AX96" s="20"/>
      <c r="AY96" s="85"/>
      <c r="AZ96" s="22"/>
      <c r="BA96" s="22"/>
      <c r="BB96" s="22"/>
      <c r="BD96" s="22"/>
      <c r="BE96" s="22"/>
      <c r="BF96" s="22"/>
      <c r="BH96" s="22"/>
      <c r="BI96" s="22"/>
      <c r="BJ96" s="22"/>
      <c r="BL96" s="22"/>
      <c r="BM96" s="22"/>
      <c r="BN96" s="22"/>
      <c r="BP96" s="22"/>
      <c r="BQ96" s="22"/>
      <c r="BR96" s="22"/>
      <c r="BT96" s="22"/>
      <c r="BU96" s="22"/>
      <c r="BV96" s="22"/>
      <c r="BX96" s="22"/>
      <c r="BY96" s="22"/>
      <c r="BZ96" s="22"/>
      <c r="CB96" s="24"/>
      <c r="CC96" s="24"/>
      <c r="CD96" s="24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6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</row>
    <row r="97" spans="1:200" s="23" customFormat="1" ht="14.25" customHeight="1">
      <c r="A97" s="20"/>
      <c r="B97" s="85"/>
      <c r="C97" s="22"/>
      <c r="D97" s="22"/>
      <c r="E97" s="22"/>
      <c r="G97" s="22"/>
      <c r="H97" s="22"/>
      <c r="I97" s="22"/>
      <c r="K97" s="22"/>
      <c r="L97" s="22"/>
      <c r="M97" s="22"/>
      <c r="O97" s="22"/>
      <c r="P97" s="22"/>
      <c r="Q97" s="22"/>
      <c r="S97" s="22"/>
      <c r="T97" s="22"/>
      <c r="U97" s="22"/>
      <c r="W97" s="22"/>
      <c r="X97" s="22"/>
      <c r="Y97" s="22"/>
      <c r="AA97" s="22"/>
      <c r="AB97" s="22"/>
      <c r="AC97" s="22"/>
      <c r="AE97" s="24"/>
      <c r="AF97" s="24"/>
      <c r="AG97" s="24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6"/>
      <c r="AW97" s="24"/>
      <c r="AX97" s="20"/>
      <c r="AY97" s="85"/>
      <c r="AZ97" s="22"/>
      <c r="BA97" s="22"/>
      <c r="BB97" s="22"/>
      <c r="BD97" s="22"/>
      <c r="BE97" s="22"/>
      <c r="BF97" s="22"/>
      <c r="BH97" s="22"/>
      <c r="BI97" s="22"/>
      <c r="BJ97" s="22"/>
      <c r="BL97" s="22"/>
      <c r="BM97" s="22"/>
      <c r="BN97" s="22"/>
      <c r="BP97" s="22"/>
      <c r="BQ97" s="22"/>
      <c r="BR97" s="22"/>
      <c r="BT97" s="22"/>
      <c r="BU97" s="22"/>
      <c r="BV97" s="22"/>
      <c r="BX97" s="22"/>
      <c r="BY97" s="22"/>
      <c r="BZ97" s="22"/>
      <c r="CB97" s="24"/>
      <c r="CC97" s="24"/>
      <c r="CD97" s="24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6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</row>
    <row r="98" spans="1:200" s="23" customFormat="1" ht="14.25" customHeight="1">
      <c r="A98" s="20"/>
      <c r="B98" s="85"/>
      <c r="C98" s="22"/>
      <c r="D98" s="22"/>
      <c r="E98" s="22"/>
      <c r="G98" s="22"/>
      <c r="H98" s="22"/>
      <c r="I98" s="22"/>
      <c r="K98" s="22"/>
      <c r="L98" s="22"/>
      <c r="M98" s="22"/>
      <c r="O98" s="22"/>
      <c r="P98" s="22"/>
      <c r="Q98" s="22"/>
      <c r="S98" s="22"/>
      <c r="T98" s="22"/>
      <c r="U98" s="22"/>
      <c r="W98" s="22"/>
      <c r="X98" s="22"/>
      <c r="Y98" s="22"/>
      <c r="AA98" s="22"/>
      <c r="AB98" s="22"/>
      <c r="AC98" s="22"/>
      <c r="AE98" s="24"/>
      <c r="AF98" s="24"/>
      <c r="AG98" s="24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6"/>
      <c r="AW98" s="24"/>
      <c r="AX98" s="20"/>
      <c r="AY98" s="85"/>
      <c r="AZ98" s="22"/>
      <c r="BA98" s="22"/>
      <c r="BB98" s="22"/>
      <c r="BD98" s="22"/>
      <c r="BE98" s="22"/>
      <c r="BF98" s="22"/>
      <c r="BH98" s="22"/>
      <c r="BI98" s="22"/>
      <c r="BJ98" s="22"/>
      <c r="BL98" s="22"/>
      <c r="BM98" s="22"/>
      <c r="BN98" s="22"/>
      <c r="BP98" s="22"/>
      <c r="BQ98" s="22"/>
      <c r="BR98" s="22"/>
      <c r="BT98" s="22"/>
      <c r="BU98" s="22"/>
      <c r="BV98" s="22"/>
      <c r="BX98" s="22"/>
      <c r="BY98" s="22"/>
      <c r="BZ98" s="22"/>
      <c r="CB98" s="24"/>
      <c r="CC98" s="24"/>
      <c r="CD98" s="24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6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</row>
    <row r="99" spans="1:200" s="23" customFormat="1" ht="14.25" customHeight="1">
      <c r="A99" s="20"/>
      <c r="B99" s="85"/>
      <c r="C99" s="22"/>
      <c r="D99" s="22"/>
      <c r="E99" s="22"/>
      <c r="G99" s="22"/>
      <c r="H99" s="22"/>
      <c r="I99" s="22"/>
      <c r="K99" s="22"/>
      <c r="L99" s="22"/>
      <c r="M99" s="22"/>
      <c r="O99" s="22"/>
      <c r="P99" s="22"/>
      <c r="Q99" s="22"/>
      <c r="S99" s="22"/>
      <c r="T99" s="22"/>
      <c r="U99" s="22"/>
      <c r="W99" s="22"/>
      <c r="X99" s="22"/>
      <c r="Y99" s="22"/>
      <c r="AA99" s="22"/>
      <c r="AB99" s="22"/>
      <c r="AC99" s="22"/>
      <c r="AE99" s="24"/>
      <c r="AF99" s="24"/>
      <c r="AG99" s="24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6"/>
      <c r="AW99" s="24"/>
      <c r="AX99" s="20"/>
      <c r="AY99" s="85"/>
      <c r="AZ99" s="22"/>
      <c r="BA99" s="22"/>
      <c r="BB99" s="22"/>
      <c r="BD99" s="22"/>
      <c r="BE99" s="22"/>
      <c r="BF99" s="22"/>
      <c r="BH99" s="22"/>
      <c r="BI99" s="22"/>
      <c r="BJ99" s="22"/>
      <c r="BL99" s="22"/>
      <c r="BM99" s="22"/>
      <c r="BN99" s="22"/>
      <c r="BP99" s="22"/>
      <c r="BQ99" s="22"/>
      <c r="BR99" s="22"/>
      <c r="BT99" s="22"/>
      <c r="BU99" s="22"/>
      <c r="BV99" s="22"/>
      <c r="BX99" s="22"/>
      <c r="BY99" s="22"/>
      <c r="BZ99" s="22"/>
      <c r="CB99" s="24"/>
      <c r="CC99" s="24"/>
      <c r="CD99" s="24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6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</row>
    <row r="100" spans="1:200" s="23" customFormat="1" ht="14.25" customHeight="1">
      <c r="A100" s="20"/>
      <c r="B100" s="85"/>
      <c r="C100" s="22"/>
      <c r="D100" s="22"/>
      <c r="E100" s="22"/>
      <c r="G100" s="22"/>
      <c r="H100" s="22"/>
      <c r="I100" s="22"/>
      <c r="K100" s="22"/>
      <c r="L100" s="22"/>
      <c r="M100" s="22"/>
      <c r="O100" s="22"/>
      <c r="P100" s="22"/>
      <c r="Q100" s="22"/>
      <c r="S100" s="22"/>
      <c r="T100" s="22"/>
      <c r="U100" s="22"/>
      <c r="W100" s="22"/>
      <c r="X100" s="22"/>
      <c r="Y100" s="22"/>
      <c r="AA100" s="22"/>
      <c r="AB100" s="22"/>
      <c r="AC100" s="22"/>
      <c r="AE100" s="24"/>
      <c r="AF100" s="24"/>
      <c r="AG100" s="24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6"/>
      <c r="AW100" s="24"/>
      <c r="AX100" s="20"/>
      <c r="AY100" s="85"/>
      <c r="AZ100" s="22"/>
      <c r="BA100" s="22"/>
      <c r="BB100" s="22"/>
      <c r="BD100" s="22"/>
      <c r="BE100" s="22"/>
      <c r="BF100" s="22"/>
      <c r="BH100" s="22"/>
      <c r="BI100" s="22"/>
      <c r="BJ100" s="22"/>
      <c r="BL100" s="22"/>
      <c r="BM100" s="22"/>
      <c r="BN100" s="22"/>
      <c r="BP100" s="22"/>
      <c r="BQ100" s="22"/>
      <c r="BR100" s="22"/>
      <c r="BT100" s="22"/>
      <c r="BU100" s="22"/>
      <c r="BV100" s="22"/>
      <c r="BX100" s="22"/>
      <c r="BY100" s="22"/>
      <c r="BZ100" s="22"/>
      <c r="CB100" s="24"/>
      <c r="CC100" s="24"/>
      <c r="CD100" s="24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6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</row>
    <row r="101" spans="1:200" s="23" customFormat="1" ht="14.25" customHeight="1">
      <c r="A101" s="20"/>
      <c r="B101" s="85"/>
      <c r="C101" s="22"/>
      <c r="D101" s="22"/>
      <c r="E101" s="22"/>
      <c r="G101" s="22"/>
      <c r="H101" s="22"/>
      <c r="I101" s="22"/>
      <c r="K101" s="22"/>
      <c r="L101" s="22"/>
      <c r="M101" s="22"/>
      <c r="O101" s="22"/>
      <c r="P101" s="22"/>
      <c r="Q101" s="22"/>
      <c r="S101" s="22"/>
      <c r="T101" s="22"/>
      <c r="U101" s="22"/>
      <c r="W101" s="22"/>
      <c r="X101" s="22"/>
      <c r="Y101" s="22"/>
      <c r="AA101" s="22"/>
      <c r="AB101" s="22"/>
      <c r="AC101" s="22"/>
      <c r="AE101" s="24"/>
      <c r="AF101" s="24"/>
      <c r="AG101" s="24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6"/>
      <c r="AW101" s="24"/>
      <c r="AX101" s="20"/>
      <c r="AY101" s="85"/>
      <c r="AZ101" s="22"/>
      <c r="BA101" s="22"/>
      <c r="BB101" s="22"/>
      <c r="BD101" s="22"/>
      <c r="BE101" s="22"/>
      <c r="BF101" s="22"/>
      <c r="BH101" s="22"/>
      <c r="BI101" s="22"/>
      <c r="BJ101" s="22"/>
      <c r="BL101" s="22"/>
      <c r="BM101" s="22"/>
      <c r="BN101" s="22"/>
      <c r="BP101" s="22"/>
      <c r="BQ101" s="22"/>
      <c r="BR101" s="22"/>
      <c r="BT101" s="22"/>
      <c r="BU101" s="22"/>
      <c r="BV101" s="22"/>
      <c r="BX101" s="22"/>
      <c r="BY101" s="22"/>
      <c r="BZ101" s="22"/>
      <c r="CB101" s="24"/>
      <c r="CC101" s="24"/>
      <c r="CD101" s="24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6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</row>
    <row r="102" spans="1:200" s="23" customFormat="1" ht="14.25" customHeight="1">
      <c r="A102" s="20"/>
      <c r="B102" s="85"/>
      <c r="C102" s="22"/>
      <c r="D102" s="22"/>
      <c r="E102" s="22"/>
      <c r="G102" s="22"/>
      <c r="H102" s="22"/>
      <c r="I102" s="22"/>
      <c r="K102" s="22"/>
      <c r="L102" s="22"/>
      <c r="M102" s="22"/>
      <c r="O102" s="22"/>
      <c r="P102" s="22"/>
      <c r="Q102" s="22"/>
      <c r="S102" s="22"/>
      <c r="T102" s="22"/>
      <c r="U102" s="22"/>
      <c r="W102" s="22"/>
      <c r="X102" s="22"/>
      <c r="Y102" s="22"/>
      <c r="AA102" s="22"/>
      <c r="AB102" s="22"/>
      <c r="AC102" s="22"/>
      <c r="AE102" s="24"/>
      <c r="AF102" s="24"/>
      <c r="AG102" s="24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6"/>
      <c r="AW102" s="24"/>
      <c r="AX102" s="20"/>
      <c r="AY102" s="85"/>
      <c r="AZ102" s="22"/>
      <c r="BA102" s="22"/>
      <c r="BB102" s="22"/>
      <c r="BD102" s="22"/>
      <c r="BE102" s="22"/>
      <c r="BF102" s="22"/>
      <c r="BH102" s="22"/>
      <c r="BI102" s="22"/>
      <c r="BJ102" s="22"/>
      <c r="BL102" s="22"/>
      <c r="BM102" s="22"/>
      <c r="BN102" s="22"/>
      <c r="BP102" s="22"/>
      <c r="BQ102" s="22"/>
      <c r="BR102" s="22"/>
      <c r="BT102" s="22"/>
      <c r="BU102" s="22"/>
      <c r="BV102" s="22"/>
      <c r="BX102" s="22"/>
      <c r="BY102" s="22"/>
      <c r="BZ102" s="22"/>
      <c r="CB102" s="24"/>
      <c r="CC102" s="24"/>
      <c r="CD102" s="24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6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</row>
    <row r="103" spans="1:200" s="23" customFormat="1" ht="14.25" customHeight="1">
      <c r="A103" s="20"/>
      <c r="B103" s="85"/>
      <c r="C103" s="22"/>
      <c r="D103" s="22"/>
      <c r="E103" s="22"/>
      <c r="G103" s="22"/>
      <c r="H103" s="22"/>
      <c r="I103" s="22"/>
      <c r="K103" s="22"/>
      <c r="L103" s="22"/>
      <c r="M103" s="22"/>
      <c r="O103" s="22"/>
      <c r="P103" s="22"/>
      <c r="Q103" s="22"/>
      <c r="S103" s="22"/>
      <c r="T103" s="22"/>
      <c r="U103" s="22"/>
      <c r="W103" s="22"/>
      <c r="X103" s="22"/>
      <c r="Y103" s="22"/>
      <c r="AA103" s="22"/>
      <c r="AB103" s="22"/>
      <c r="AC103" s="22"/>
      <c r="AE103" s="24"/>
      <c r="AF103" s="24"/>
      <c r="AG103" s="24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6"/>
      <c r="AW103" s="24"/>
      <c r="AX103" s="20"/>
      <c r="AY103" s="85"/>
      <c r="AZ103" s="22"/>
      <c r="BA103" s="22"/>
      <c r="BB103" s="22"/>
      <c r="BD103" s="22"/>
      <c r="BE103" s="22"/>
      <c r="BF103" s="22"/>
      <c r="BH103" s="22"/>
      <c r="BI103" s="22"/>
      <c r="BJ103" s="22"/>
      <c r="BL103" s="22"/>
      <c r="BM103" s="22"/>
      <c r="BN103" s="22"/>
      <c r="BP103" s="22"/>
      <c r="BQ103" s="22"/>
      <c r="BR103" s="22"/>
      <c r="BT103" s="22"/>
      <c r="BU103" s="22"/>
      <c r="BV103" s="22"/>
      <c r="BX103" s="22"/>
      <c r="BY103" s="22"/>
      <c r="BZ103" s="22"/>
      <c r="CB103" s="24"/>
      <c r="CC103" s="24"/>
      <c r="CD103" s="24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6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</row>
    <row r="104" spans="1:200" s="23" customFormat="1" ht="14.25" customHeight="1">
      <c r="A104" s="20"/>
      <c r="B104" s="85"/>
      <c r="C104" s="22"/>
      <c r="D104" s="22"/>
      <c r="E104" s="22"/>
      <c r="G104" s="22"/>
      <c r="H104" s="22"/>
      <c r="I104" s="22"/>
      <c r="K104" s="22"/>
      <c r="L104" s="22"/>
      <c r="M104" s="22"/>
      <c r="O104" s="22"/>
      <c r="P104" s="22"/>
      <c r="Q104" s="22"/>
      <c r="S104" s="22"/>
      <c r="T104" s="22"/>
      <c r="U104" s="22"/>
      <c r="W104" s="22"/>
      <c r="X104" s="22"/>
      <c r="Y104" s="22"/>
      <c r="AA104" s="22"/>
      <c r="AB104" s="22"/>
      <c r="AC104" s="22"/>
      <c r="AE104" s="24"/>
      <c r="AF104" s="24"/>
      <c r="AG104" s="24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6"/>
      <c r="AW104" s="24"/>
      <c r="AX104" s="20"/>
      <c r="AY104" s="85"/>
      <c r="AZ104" s="22"/>
      <c r="BA104" s="22"/>
      <c r="BB104" s="22"/>
      <c r="BD104" s="22"/>
      <c r="BE104" s="22"/>
      <c r="BF104" s="22"/>
      <c r="BH104" s="22"/>
      <c r="BI104" s="22"/>
      <c r="BJ104" s="22"/>
      <c r="BL104" s="22"/>
      <c r="BM104" s="22"/>
      <c r="BN104" s="22"/>
      <c r="BP104" s="22"/>
      <c r="BQ104" s="22"/>
      <c r="BR104" s="22"/>
      <c r="BT104" s="22"/>
      <c r="BU104" s="22"/>
      <c r="BV104" s="22"/>
      <c r="BX104" s="22"/>
      <c r="BY104" s="22"/>
      <c r="BZ104" s="22"/>
      <c r="CB104" s="24"/>
      <c r="CC104" s="24"/>
      <c r="CD104" s="24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6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</row>
    <row r="105" spans="1:200" s="23" customFormat="1" ht="14.25" customHeight="1">
      <c r="A105" s="20"/>
      <c r="B105" s="85"/>
      <c r="C105" s="22"/>
      <c r="D105" s="22"/>
      <c r="E105" s="22"/>
      <c r="G105" s="22"/>
      <c r="H105" s="22"/>
      <c r="I105" s="22"/>
      <c r="K105" s="22"/>
      <c r="L105" s="22"/>
      <c r="M105" s="22"/>
      <c r="O105" s="22"/>
      <c r="P105" s="22"/>
      <c r="Q105" s="22"/>
      <c r="S105" s="22"/>
      <c r="T105" s="22"/>
      <c r="U105" s="22"/>
      <c r="W105" s="22"/>
      <c r="X105" s="22"/>
      <c r="Y105" s="22"/>
      <c r="AA105" s="22"/>
      <c r="AB105" s="22"/>
      <c r="AC105" s="22"/>
      <c r="AE105" s="24"/>
      <c r="AF105" s="24"/>
      <c r="AG105" s="24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6"/>
      <c r="AW105" s="24"/>
      <c r="AX105" s="20"/>
      <c r="AY105" s="85"/>
      <c r="AZ105" s="22"/>
      <c r="BA105" s="22"/>
      <c r="BB105" s="22"/>
      <c r="BD105" s="22"/>
      <c r="BE105" s="22"/>
      <c r="BF105" s="22"/>
      <c r="BH105" s="22"/>
      <c r="BI105" s="22"/>
      <c r="BJ105" s="22"/>
      <c r="BL105" s="22"/>
      <c r="BM105" s="22"/>
      <c r="BN105" s="22"/>
      <c r="BP105" s="22"/>
      <c r="BQ105" s="22"/>
      <c r="BR105" s="22"/>
      <c r="BT105" s="22"/>
      <c r="BU105" s="22"/>
      <c r="BV105" s="22"/>
      <c r="BX105" s="22"/>
      <c r="BY105" s="22"/>
      <c r="BZ105" s="22"/>
      <c r="CB105" s="24"/>
      <c r="CC105" s="24"/>
      <c r="CD105" s="24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6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</row>
    <row r="106" spans="1:200" s="23" customFormat="1" ht="14.25" customHeight="1">
      <c r="A106" s="20"/>
      <c r="B106" s="85"/>
      <c r="C106" s="22"/>
      <c r="D106" s="22"/>
      <c r="E106" s="22"/>
      <c r="G106" s="22"/>
      <c r="H106" s="22"/>
      <c r="I106" s="22"/>
      <c r="K106" s="22"/>
      <c r="L106" s="22"/>
      <c r="M106" s="22"/>
      <c r="O106" s="22"/>
      <c r="P106" s="22"/>
      <c r="Q106" s="22"/>
      <c r="S106" s="22"/>
      <c r="T106" s="22"/>
      <c r="U106" s="22"/>
      <c r="W106" s="22"/>
      <c r="X106" s="22"/>
      <c r="Y106" s="22"/>
      <c r="AA106" s="22"/>
      <c r="AB106" s="22"/>
      <c r="AC106" s="22"/>
      <c r="AE106" s="24"/>
      <c r="AF106" s="24"/>
      <c r="AG106" s="24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6"/>
      <c r="AW106" s="24"/>
      <c r="AX106" s="20"/>
      <c r="AY106" s="85"/>
      <c r="AZ106" s="22"/>
      <c r="BA106" s="22"/>
      <c r="BB106" s="22"/>
      <c r="BD106" s="22"/>
      <c r="BE106" s="22"/>
      <c r="BF106" s="22"/>
      <c r="BH106" s="22"/>
      <c r="BI106" s="22"/>
      <c r="BJ106" s="22"/>
      <c r="BL106" s="22"/>
      <c r="BM106" s="22"/>
      <c r="BN106" s="22"/>
      <c r="BP106" s="22"/>
      <c r="BQ106" s="22"/>
      <c r="BR106" s="22"/>
      <c r="BT106" s="22"/>
      <c r="BU106" s="22"/>
      <c r="BV106" s="22"/>
      <c r="BX106" s="22"/>
      <c r="BY106" s="22"/>
      <c r="BZ106" s="22"/>
      <c r="CB106" s="24"/>
      <c r="CC106" s="24"/>
      <c r="CD106" s="24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6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</row>
    <row r="107" spans="1:200" s="23" customFormat="1" ht="14.25" customHeight="1">
      <c r="A107" s="20"/>
      <c r="B107" s="85"/>
      <c r="C107" s="22"/>
      <c r="D107" s="22"/>
      <c r="E107" s="22"/>
      <c r="G107" s="22"/>
      <c r="H107" s="22"/>
      <c r="I107" s="22"/>
      <c r="K107" s="22"/>
      <c r="L107" s="22"/>
      <c r="M107" s="22"/>
      <c r="O107" s="22"/>
      <c r="P107" s="22"/>
      <c r="Q107" s="22"/>
      <c r="S107" s="22"/>
      <c r="T107" s="22"/>
      <c r="U107" s="22"/>
      <c r="W107" s="22"/>
      <c r="X107" s="22"/>
      <c r="Y107" s="22"/>
      <c r="AA107" s="22"/>
      <c r="AB107" s="22"/>
      <c r="AC107" s="22"/>
      <c r="AE107" s="24"/>
      <c r="AF107" s="24"/>
      <c r="AG107" s="24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6"/>
      <c r="AW107" s="24"/>
      <c r="AX107" s="20"/>
      <c r="AY107" s="85"/>
      <c r="AZ107" s="22"/>
      <c r="BA107" s="22"/>
      <c r="BB107" s="22"/>
      <c r="BD107" s="22"/>
      <c r="BE107" s="22"/>
      <c r="BF107" s="22"/>
      <c r="BH107" s="22"/>
      <c r="BI107" s="22"/>
      <c r="BJ107" s="22"/>
      <c r="BL107" s="22"/>
      <c r="BM107" s="22"/>
      <c r="BN107" s="22"/>
      <c r="BP107" s="22"/>
      <c r="BQ107" s="22"/>
      <c r="BR107" s="22"/>
      <c r="BT107" s="22"/>
      <c r="BU107" s="22"/>
      <c r="BV107" s="22"/>
      <c r="BX107" s="22"/>
      <c r="BY107" s="22"/>
      <c r="BZ107" s="22"/>
      <c r="CB107" s="24"/>
      <c r="CC107" s="24"/>
      <c r="CD107" s="24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6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</row>
    <row r="108" spans="1:200" s="23" customFormat="1" ht="14.25" customHeight="1">
      <c r="A108" s="20"/>
      <c r="B108" s="85"/>
      <c r="C108" s="22"/>
      <c r="D108" s="22"/>
      <c r="E108" s="22"/>
      <c r="G108" s="22"/>
      <c r="H108" s="22"/>
      <c r="I108" s="22"/>
      <c r="K108" s="22"/>
      <c r="L108" s="22"/>
      <c r="M108" s="22"/>
      <c r="O108" s="22"/>
      <c r="P108" s="22"/>
      <c r="Q108" s="22"/>
      <c r="S108" s="22"/>
      <c r="T108" s="22"/>
      <c r="U108" s="22"/>
      <c r="W108" s="22"/>
      <c r="X108" s="22"/>
      <c r="Y108" s="22"/>
      <c r="AA108" s="22"/>
      <c r="AB108" s="22"/>
      <c r="AC108" s="22"/>
      <c r="AE108" s="24"/>
      <c r="AF108" s="24"/>
      <c r="AG108" s="24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6"/>
      <c r="AW108" s="24"/>
      <c r="AX108" s="20"/>
      <c r="AY108" s="85"/>
      <c r="AZ108" s="22"/>
      <c r="BA108" s="22"/>
      <c r="BB108" s="22"/>
      <c r="BD108" s="22"/>
      <c r="BE108" s="22"/>
      <c r="BF108" s="22"/>
      <c r="BH108" s="22"/>
      <c r="BI108" s="22"/>
      <c r="BJ108" s="22"/>
      <c r="BL108" s="22"/>
      <c r="BM108" s="22"/>
      <c r="BN108" s="22"/>
      <c r="BP108" s="22"/>
      <c r="BQ108" s="22"/>
      <c r="BR108" s="22"/>
      <c r="BT108" s="22"/>
      <c r="BU108" s="22"/>
      <c r="BV108" s="22"/>
      <c r="BX108" s="22"/>
      <c r="BY108" s="22"/>
      <c r="BZ108" s="22"/>
      <c r="CB108" s="24"/>
      <c r="CC108" s="24"/>
      <c r="CD108" s="24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6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</row>
    <row r="109" spans="1:200" s="23" customFormat="1" ht="14.25" customHeight="1">
      <c r="A109" s="20"/>
      <c r="B109" s="85"/>
      <c r="C109" s="22"/>
      <c r="D109" s="22"/>
      <c r="E109" s="22"/>
      <c r="G109" s="22"/>
      <c r="H109" s="22"/>
      <c r="I109" s="22"/>
      <c r="K109" s="22"/>
      <c r="L109" s="22"/>
      <c r="M109" s="22"/>
      <c r="O109" s="22"/>
      <c r="P109" s="22"/>
      <c r="Q109" s="22"/>
      <c r="S109" s="22"/>
      <c r="T109" s="22"/>
      <c r="U109" s="22"/>
      <c r="W109" s="22"/>
      <c r="X109" s="22"/>
      <c r="Y109" s="22"/>
      <c r="AA109" s="22"/>
      <c r="AB109" s="22"/>
      <c r="AC109" s="22"/>
      <c r="AE109" s="24"/>
      <c r="AF109" s="24"/>
      <c r="AG109" s="24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6"/>
      <c r="AW109" s="24"/>
      <c r="AX109" s="20"/>
      <c r="AY109" s="85"/>
      <c r="AZ109" s="22"/>
      <c r="BA109" s="22"/>
      <c r="BB109" s="22"/>
      <c r="BD109" s="22"/>
      <c r="BE109" s="22"/>
      <c r="BF109" s="22"/>
      <c r="BH109" s="22"/>
      <c r="BI109" s="22"/>
      <c r="BJ109" s="22"/>
      <c r="BL109" s="22"/>
      <c r="BM109" s="22"/>
      <c r="BN109" s="22"/>
      <c r="BP109" s="22"/>
      <c r="BQ109" s="22"/>
      <c r="BR109" s="22"/>
      <c r="BT109" s="22"/>
      <c r="BU109" s="22"/>
      <c r="BV109" s="22"/>
      <c r="BX109" s="22"/>
      <c r="BY109" s="22"/>
      <c r="BZ109" s="22"/>
      <c r="CB109" s="24"/>
      <c r="CC109" s="24"/>
      <c r="CD109" s="24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6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</row>
    <row r="110" spans="1:200" s="23" customFormat="1" ht="14.25" customHeight="1">
      <c r="A110" s="20"/>
      <c r="B110" s="85"/>
      <c r="C110" s="22"/>
      <c r="D110" s="22"/>
      <c r="E110" s="22"/>
      <c r="G110" s="22"/>
      <c r="H110" s="22"/>
      <c r="I110" s="22"/>
      <c r="K110" s="22"/>
      <c r="L110" s="22"/>
      <c r="M110" s="22"/>
      <c r="O110" s="22"/>
      <c r="P110" s="22"/>
      <c r="Q110" s="22"/>
      <c r="S110" s="22"/>
      <c r="T110" s="22"/>
      <c r="U110" s="22"/>
      <c r="W110" s="22"/>
      <c r="X110" s="22"/>
      <c r="Y110" s="22"/>
      <c r="AA110" s="22"/>
      <c r="AB110" s="22"/>
      <c r="AC110" s="22"/>
      <c r="AE110" s="24"/>
      <c r="AF110" s="24"/>
      <c r="AG110" s="24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6"/>
      <c r="AW110" s="24"/>
      <c r="AX110" s="20"/>
      <c r="AY110" s="85"/>
      <c r="AZ110" s="22"/>
      <c r="BA110" s="22"/>
      <c r="BB110" s="22"/>
      <c r="BD110" s="22"/>
      <c r="BE110" s="22"/>
      <c r="BF110" s="22"/>
      <c r="BH110" s="22"/>
      <c r="BI110" s="22"/>
      <c r="BJ110" s="22"/>
      <c r="BL110" s="22"/>
      <c r="BM110" s="22"/>
      <c r="BN110" s="22"/>
      <c r="BP110" s="22"/>
      <c r="BQ110" s="22"/>
      <c r="BR110" s="22"/>
      <c r="BT110" s="22"/>
      <c r="BU110" s="22"/>
      <c r="BV110" s="22"/>
      <c r="BX110" s="22"/>
      <c r="BY110" s="22"/>
      <c r="BZ110" s="22"/>
      <c r="CB110" s="24"/>
      <c r="CC110" s="24"/>
      <c r="CD110" s="24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6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</row>
    <row r="111" spans="1:200" s="23" customFormat="1" ht="14.25" customHeight="1">
      <c r="A111" s="20"/>
      <c r="B111" s="85"/>
      <c r="C111" s="22"/>
      <c r="D111" s="22"/>
      <c r="E111" s="22"/>
      <c r="G111" s="22"/>
      <c r="H111" s="22"/>
      <c r="I111" s="22"/>
      <c r="K111" s="22"/>
      <c r="L111" s="22"/>
      <c r="M111" s="22"/>
      <c r="O111" s="22"/>
      <c r="P111" s="22"/>
      <c r="Q111" s="22"/>
      <c r="S111" s="22"/>
      <c r="T111" s="22"/>
      <c r="U111" s="22"/>
      <c r="W111" s="22"/>
      <c r="X111" s="22"/>
      <c r="Y111" s="22"/>
      <c r="AA111" s="22"/>
      <c r="AB111" s="22"/>
      <c r="AC111" s="22"/>
      <c r="AE111" s="24"/>
      <c r="AF111" s="24"/>
      <c r="AG111" s="24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6"/>
      <c r="AW111" s="24"/>
      <c r="AX111" s="20"/>
      <c r="AY111" s="85"/>
      <c r="AZ111" s="22"/>
      <c r="BA111" s="22"/>
      <c r="BB111" s="22"/>
      <c r="BD111" s="22"/>
      <c r="BE111" s="22"/>
      <c r="BF111" s="22"/>
      <c r="BH111" s="22"/>
      <c r="BI111" s="22"/>
      <c r="BJ111" s="22"/>
      <c r="BL111" s="22"/>
      <c r="BM111" s="22"/>
      <c r="BN111" s="22"/>
      <c r="BP111" s="22"/>
      <c r="BQ111" s="22"/>
      <c r="BR111" s="22"/>
      <c r="BT111" s="22"/>
      <c r="BU111" s="22"/>
      <c r="BV111" s="22"/>
      <c r="BX111" s="22"/>
      <c r="BY111" s="22"/>
      <c r="BZ111" s="22"/>
      <c r="CB111" s="24"/>
      <c r="CC111" s="24"/>
      <c r="CD111" s="24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6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</row>
    <row r="112" spans="1:200" s="23" customFormat="1" ht="14.25" customHeight="1">
      <c r="A112" s="20"/>
      <c r="B112" s="85"/>
      <c r="C112" s="22"/>
      <c r="D112" s="22"/>
      <c r="E112" s="22"/>
      <c r="G112" s="22"/>
      <c r="H112" s="22"/>
      <c r="I112" s="22"/>
      <c r="K112" s="22"/>
      <c r="L112" s="22"/>
      <c r="M112" s="22"/>
      <c r="O112" s="22"/>
      <c r="P112" s="22"/>
      <c r="Q112" s="22"/>
      <c r="S112" s="22"/>
      <c r="T112" s="22"/>
      <c r="U112" s="22"/>
      <c r="W112" s="22"/>
      <c r="X112" s="22"/>
      <c r="Y112" s="22"/>
      <c r="AA112" s="22"/>
      <c r="AB112" s="22"/>
      <c r="AC112" s="22"/>
      <c r="AE112" s="24"/>
      <c r="AF112" s="24"/>
      <c r="AG112" s="24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6"/>
      <c r="AW112" s="24"/>
      <c r="AX112" s="20"/>
      <c r="AY112" s="85"/>
      <c r="AZ112" s="22"/>
      <c r="BA112" s="22"/>
      <c r="BB112" s="22"/>
      <c r="BD112" s="22"/>
      <c r="BE112" s="22"/>
      <c r="BF112" s="22"/>
      <c r="BH112" s="22"/>
      <c r="BI112" s="22"/>
      <c r="BJ112" s="22"/>
      <c r="BL112" s="22"/>
      <c r="BM112" s="22"/>
      <c r="BN112" s="22"/>
      <c r="BP112" s="22"/>
      <c r="BQ112" s="22"/>
      <c r="BR112" s="22"/>
      <c r="BT112" s="22"/>
      <c r="BU112" s="22"/>
      <c r="BV112" s="22"/>
      <c r="BX112" s="22"/>
      <c r="BY112" s="22"/>
      <c r="BZ112" s="22"/>
      <c r="CB112" s="24"/>
      <c r="CC112" s="24"/>
      <c r="CD112" s="24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6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</row>
    <row r="113" spans="1:200" s="23" customFormat="1" ht="14.25" customHeight="1">
      <c r="A113" s="20"/>
      <c r="B113" s="85"/>
      <c r="C113" s="22"/>
      <c r="D113" s="22"/>
      <c r="E113" s="22"/>
      <c r="G113" s="22"/>
      <c r="H113" s="22"/>
      <c r="I113" s="22"/>
      <c r="K113" s="22"/>
      <c r="L113" s="22"/>
      <c r="M113" s="22"/>
      <c r="O113" s="22"/>
      <c r="P113" s="22"/>
      <c r="Q113" s="22"/>
      <c r="S113" s="22"/>
      <c r="T113" s="22"/>
      <c r="U113" s="22"/>
      <c r="W113" s="22"/>
      <c r="X113" s="22"/>
      <c r="Y113" s="22"/>
      <c r="AA113" s="22"/>
      <c r="AB113" s="22"/>
      <c r="AC113" s="22"/>
      <c r="AE113" s="24"/>
      <c r="AF113" s="24"/>
      <c r="AG113" s="24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6"/>
      <c r="AW113" s="24"/>
      <c r="AX113" s="20"/>
      <c r="AY113" s="85"/>
      <c r="AZ113" s="22"/>
      <c r="BA113" s="22"/>
      <c r="BB113" s="22"/>
      <c r="BD113" s="22"/>
      <c r="BE113" s="22"/>
      <c r="BF113" s="22"/>
      <c r="BH113" s="22"/>
      <c r="BI113" s="22"/>
      <c r="BJ113" s="22"/>
      <c r="BL113" s="22"/>
      <c r="BM113" s="22"/>
      <c r="BN113" s="22"/>
      <c r="BP113" s="22"/>
      <c r="BQ113" s="22"/>
      <c r="BR113" s="22"/>
      <c r="BT113" s="22"/>
      <c r="BU113" s="22"/>
      <c r="BV113" s="22"/>
      <c r="BX113" s="22"/>
      <c r="BY113" s="22"/>
      <c r="BZ113" s="22"/>
      <c r="CB113" s="24"/>
      <c r="CC113" s="24"/>
      <c r="CD113" s="24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6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</row>
    <row r="114" spans="1:200" s="23" customFormat="1" ht="14.25" customHeight="1">
      <c r="A114" s="20"/>
      <c r="B114" s="85"/>
      <c r="C114" s="22"/>
      <c r="D114" s="22"/>
      <c r="E114" s="22"/>
      <c r="G114" s="22"/>
      <c r="H114" s="22"/>
      <c r="I114" s="22"/>
      <c r="K114" s="22"/>
      <c r="L114" s="22"/>
      <c r="M114" s="22"/>
      <c r="O114" s="22"/>
      <c r="P114" s="22"/>
      <c r="Q114" s="22"/>
      <c r="S114" s="22"/>
      <c r="T114" s="22"/>
      <c r="U114" s="22"/>
      <c r="W114" s="22"/>
      <c r="X114" s="22"/>
      <c r="Y114" s="22"/>
      <c r="AA114" s="22"/>
      <c r="AB114" s="22"/>
      <c r="AC114" s="22"/>
      <c r="AE114" s="24"/>
      <c r="AF114" s="24"/>
      <c r="AG114" s="24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6"/>
      <c r="AW114" s="24"/>
      <c r="AX114" s="20"/>
      <c r="AY114" s="85"/>
      <c r="AZ114" s="22"/>
      <c r="BA114" s="22"/>
      <c r="BB114" s="22"/>
      <c r="BD114" s="22"/>
      <c r="BE114" s="22"/>
      <c r="BF114" s="22"/>
      <c r="BH114" s="22"/>
      <c r="BI114" s="22"/>
      <c r="BJ114" s="22"/>
      <c r="BL114" s="22"/>
      <c r="BM114" s="22"/>
      <c r="BN114" s="22"/>
      <c r="BP114" s="22"/>
      <c r="BQ114" s="22"/>
      <c r="BR114" s="22"/>
      <c r="BT114" s="22"/>
      <c r="BU114" s="22"/>
      <c r="BV114" s="22"/>
      <c r="BX114" s="22"/>
      <c r="BY114" s="22"/>
      <c r="BZ114" s="22"/>
      <c r="CB114" s="24"/>
      <c r="CC114" s="24"/>
      <c r="CD114" s="24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6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</row>
    <row r="115" spans="1:200" s="23" customFormat="1" ht="14.25" customHeight="1">
      <c r="A115" s="20"/>
      <c r="B115" s="85"/>
      <c r="C115" s="22"/>
      <c r="D115" s="22"/>
      <c r="E115" s="22"/>
      <c r="G115" s="22"/>
      <c r="H115" s="22"/>
      <c r="I115" s="22"/>
      <c r="K115" s="22"/>
      <c r="L115" s="22"/>
      <c r="M115" s="22"/>
      <c r="O115" s="22"/>
      <c r="P115" s="22"/>
      <c r="Q115" s="22"/>
      <c r="S115" s="22"/>
      <c r="T115" s="22"/>
      <c r="U115" s="22"/>
      <c r="W115" s="22"/>
      <c r="X115" s="22"/>
      <c r="Y115" s="22"/>
      <c r="AA115" s="22"/>
      <c r="AB115" s="22"/>
      <c r="AC115" s="22"/>
      <c r="AE115" s="24"/>
      <c r="AF115" s="24"/>
      <c r="AG115" s="24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6"/>
      <c r="AW115" s="24"/>
      <c r="AX115" s="20"/>
      <c r="AY115" s="85"/>
      <c r="AZ115" s="22"/>
      <c r="BA115" s="22"/>
      <c r="BB115" s="22"/>
      <c r="BD115" s="22"/>
      <c r="BE115" s="22"/>
      <c r="BF115" s="22"/>
      <c r="BH115" s="22"/>
      <c r="BI115" s="22"/>
      <c r="BJ115" s="22"/>
      <c r="BL115" s="22"/>
      <c r="BM115" s="22"/>
      <c r="BN115" s="22"/>
      <c r="BP115" s="22"/>
      <c r="BQ115" s="22"/>
      <c r="BR115" s="22"/>
      <c r="BT115" s="22"/>
      <c r="BU115" s="22"/>
      <c r="BV115" s="22"/>
      <c r="BX115" s="22"/>
      <c r="BY115" s="22"/>
      <c r="BZ115" s="22"/>
      <c r="CB115" s="24"/>
      <c r="CC115" s="24"/>
      <c r="CD115" s="24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6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</row>
    <row r="116" spans="1:200" s="23" customFormat="1" ht="14.25" customHeight="1">
      <c r="A116" s="20"/>
      <c r="B116" s="85"/>
      <c r="C116" s="22"/>
      <c r="D116" s="22"/>
      <c r="E116" s="22"/>
      <c r="G116" s="22"/>
      <c r="H116" s="22"/>
      <c r="I116" s="22"/>
      <c r="K116" s="22"/>
      <c r="L116" s="22"/>
      <c r="M116" s="22"/>
      <c r="O116" s="22"/>
      <c r="P116" s="22"/>
      <c r="Q116" s="22"/>
      <c r="S116" s="22"/>
      <c r="T116" s="22"/>
      <c r="U116" s="22"/>
      <c r="W116" s="22"/>
      <c r="X116" s="22"/>
      <c r="Y116" s="22"/>
      <c r="AA116" s="22"/>
      <c r="AB116" s="22"/>
      <c r="AC116" s="22"/>
      <c r="AE116" s="24"/>
      <c r="AF116" s="24"/>
      <c r="AG116" s="24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6"/>
      <c r="AW116" s="24"/>
      <c r="AX116" s="20"/>
      <c r="AY116" s="85"/>
      <c r="AZ116" s="22"/>
      <c r="BA116" s="22"/>
      <c r="BB116" s="22"/>
      <c r="BD116" s="22"/>
      <c r="BE116" s="22"/>
      <c r="BF116" s="22"/>
      <c r="BH116" s="22"/>
      <c r="BI116" s="22"/>
      <c r="BJ116" s="22"/>
      <c r="BL116" s="22"/>
      <c r="BM116" s="22"/>
      <c r="BN116" s="22"/>
      <c r="BP116" s="22"/>
      <c r="BQ116" s="22"/>
      <c r="BR116" s="22"/>
      <c r="BT116" s="22"/>
      <c r="BU116" s="22"/>
      <c r="BV116" s="22"/>
      <c r="BX116" s="22"/>
      <c r="BY116" s="22"/>
      <c r="BZ116" s="22"/>
      <c r="CB116" s="24"/>
      <c r="CC116" s="24"/>
      <c r="CD116" s="24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6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</row>
    <row r="117" spans="1:200" s="23" customFormat="1" ht="14.25" customHeight="1">
      <c r="A117" s="20"/>
      <c r="B117" s="85"/>
      <c r="C117" s="22"/>
      <c r="D117" s="22"/>
      <c r="E117" s="22"/>
      <c r="G117" s="22"/>
      <c r="H117" s="22"/>
      <c r="I117" s="22"/>
      <c r="K117" s="22"/>
      <c r="L117" s="22"/>
      <c r="M117" s="22"/>
      <c r="O117" s="22"/>
      <c r="P117" s="22"/>
      <c r="Q117" s="22"/>
      <c r="S117" s="22"/>
      <c r="T117" s="22"/>
      <c r="U117" s="22"/>
      <c r="W117" s="22"/>
      <c r="X117" s="22"/>
      <c r="Y117" s="22"/>
      <c r="AA117" s="22"/>
      <c r="AB117" s="22"/>
      <c r="AC117" s="22"/>
      <c r="AE117" s="24"/>
      <c r="AF117" s="24"/>
      <c r="AG117" s="24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6"/>
      <c r="AW117" s="24"/>
      <c r="AX117" s="20"/>
      <c r="AY117" s="85"/>
      <c r="AZ117" s="22"/>
      <c r="BA117" s="22"/>
      <c r="BB117" s="22"/>
      <c r="BD117" s="22"/>
      <c r="BE117" s="22"/>
      <c r="BF117" s="22"/>
      <c r="BH117" s="22"/>
      <c r="BI117" s="22"/>
      <c r="BJ117" s="22"/>
      <c r="BL117" s="22"/>
      <c r="BM117" s="22"/>
      <c r="BN117" s="22"/>
      <c r="BP117" s="22"/>
      <c r="BQ117" s="22"/>
      <c r="BR117" s="22"/>
      <c r="BT117" s="22"/>
      <c r="BU117" s="22"/>
      <c r="BV117" s="22"/>
      <c r="BX117" s="22"/>
      <c r="BY117" s="22"/>
      <c r="BZ117" s="22"/>
      <c r="CB117" s="24"/>
      <c r="CC117" s="24"/>
      <c r="CD117" s="24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6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</row>
    <row r="118" spans="1:200" s="23" customFormat="1" ht="14.25" customHeight="1">
      <c r="A118" s="20"/>
      <c r="B118" s="85"/>
      <c r="C118" s="22"/>
      <c r="D118" s="22"/>
      <c r="E118" s="22"/>
      <c r="G118" s="22"/>
      <c r="H118" s="22"/>
      <c r="I118" s="22"/>
      <c r="K118" s="22"/>
      <c r="L118" s="22"/>
      <c r="M118" s="22"/>
      <c r="O118" s="22"/>
      <c r="P118" s="22"/>
      <c r="Q118" s="22"/>
      <c r="S118" s="22"/>
      <c r="T118" s="22"/>
      <c r="U118" s="22"/>
      <c r="W118" s="22"/>
      <c r="X118" s="22"/>
      <c r="Y118" s="22"/>
      <c r="AA118" s="22"/>
      <c r="AB118" s="22"/>
      <c r="AC118" s="22"/>
      <c r="AE118" s="24"/>
      <c r="AF118" s="24"/>
      <c r="AG118" s="24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6"/>
      <c r="AW118" s="24"/>
      <c r="AX118" s="20"/>
      <c r="AY118" s="85"/>
      <c r="AZ118" s="22"/>
      <c r="BA118" s="22"/>
      <c r="BB118" s="22"/>
      <c r="BD118" s="22"/>
      <c r="BE118" s="22"/>
      <c r="BF118" s="22"/>
      <c r="BH118" s="22"/>
      <c r="BI118" s="22"/>
      <c r="BJ118" s="22"/>
      <c r="BL118" s="22"/>
      <c r="BM118" s="22"/>
      <c r="BN118" s="22"/>
      <c r="BP118" s="22"/>
      <c r="BQ118" s="22"/>
      <c r="BR118" s="22"/>
      <c r="BT118" s="22"/>
      <c r="BU118" s="22"/>
      <c r="BV118" s="22"/>
      <c r="BX118" s="22"/>
      <c r="BY118" s="22"/>
      <c r="BZ118" s="22"/>
      <c r="CB118" s="24"/>
      <c r="CC118" s="24"/>
      <c r="CD118" s="24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6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</row>
    <row r="119" spans="1:200" s="23" customFormat="1" ht="14.25" customHeight="1">
      <c r="A119" s="20"/>
      <c r="B119" s="85"/>
      <c r="C119" s="22"/>
      <c r="D119" s="22"/>
      <c r="E119" s="22"/>
      <c r="G119" s="22"/>
      <c r="H119" s="22"/>
      <c r="I119" s="22"/>
      <c r="K119" s="22"/>
      <c r="L119" s="22"/>
      <c r="M119" s="22"/>
      <c r="O119" s="22"/>
      <c r="P119" s="22"/>
      <c r="Q119" s="22"/>
      <c r="S119" s="22"/>
      <c r="T119" s="22"/>
      <c r="U119" s="22"/>
      <c r="W119" s="22"/>
      <c r="X119" s="22"/>
      <c r="Y119" s="22"/>
      <c r="AA119" s="22"/>
      <c r="AB119" s="22"/>
      <c r="AC119" s="22"/>
      <c r="AE119" s="24"/>
      <c r="AF119" s="24"/>
      <c r="AG119" s="24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6"/>
      <c r="AW119" s="24"/>
      <c r="AX119" s="20"/>
      <c r="AY119" s="85"/>
      <c r="AZ119" s="22"/>
      <c r="BA119" s="22"/>
      <c r="BB119" s="22"/>
      <c r="BD119" s="22"/>
      <c r="BE119" s="22"/>
      <c r="BF119" s="22"/>
      <c r="BH119" s="22"/>
      <c r="BI119" s="22"/>
      <c r="BJ119" s="22"/>
      <c r="BL119" s="22"/>
      <c r="BM119" s="22"/>
      <c r="BN119" s="22"/>
      <c r="BP119" s="22"/>
      <c r="BQ119" s="22"/>
      <c r="BR119" s="22"/>
      <c r="BT119" s="22"/>
      <c r="BU119" s="22"/>
      <c r="BV119" s="22"/>
      <c r="BX119" s="22"/>
      <c r="BY119" s="22"/>
      <c r="BZ119" s="22"/>
      <c r="CB119" s="24"/>
      <c r="CC119" s="24"/>
      <c r="CD119" s="24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6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</row>
    <row r="120" spans="1:200" s="23" customFormat="1" ht="14.25" customHeight="1">
      <c r="A120" s="20"/>
      <c r="B120" s="85"/>
      <c r="C120" s="22"/>
      <c r="D120" s="22"/>
      <c r="E120" s="22"/>
      <c r="G120" s="22"/>
      <c r="H120" s="22"/>
      <c r="I120" s="22"/>
      <c r="K120" s="22"/>
      <c r="L120" s="22"/>
      <c r="M120" s="22"/>
      <c r="O120" s="22"/>
      <c r="P120" s="22"/>
      <c r="Q120" s="22"/>
      <c r="S120" s="22"/>
      <c r="T120" s="22"/>
      <c r="U120" s="22"/>
      <c r="W120" s="22"/>
      <c r="X120" s="22"/>
      <c r="Y120" s="22"/>
      <c r="AA120" s="22"/>
      <c r="AB120" s="22"/>
      <c r="AC120" s="22"/>
      <c r="AE120" s="24"/>
      <c r="AF120" s="24"/>
      <c r="AG120" s="24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6"/>
      <c r="AW120" s="24"/>
      <c r="AX120" s="20"/>
      <c r="AY120" s="85"/>
      <c r="AZ120" s="22"/>
      <c r="BA120" s="22"/>
      <c r="BB120" s="22"/>
      <c r="BD120" s="22"/>
      <c r="BE120" s="22"/>
      <c r="BF120" s="22"/>
      <c r="BH120" s="22"/>
      <c r="BI120" s="22"/>
      <c r="BJ120" s="22"/>
      <c r="BL120" s="22"/>
      <c r="BM120" s="22"/>
      <c r="BN120" s="22"/>
      <c r="BP120" s="22"/>
      <c r="BQ120" s="22"/>
      <c r="BR120" s="22"/>
      <c r="BT120" s="22"/>
      <c r="BU120" s="22"/>
      <c r="BV120" s="22"/>
      <c r="BX120" s="22"/>
      <c r="BY120" s="22"/>
      <c r="BZ120" s="22"/>
      <c r="CB120" s="24"/>
      <c r="CC120" s="24"/>
      <c r="CD120" s="24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6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</row>
    <row r="121" spans="1:200" s="23" customFormat="1" ht="14.25" customHeight="1">
      <c r="A121" s="20"/>
      <c r="B121" s="85"/>
      <c r="C121" s="22"/>
      <c r="D121" s="22"/>
      <c r="E121" s="22"/>
      <c r="G121" s="22"/>
      <c r="H121" s="22"/>
      <c r="I121" s="22"/>
      <c r="K121" s="22"/>
      <c r="L121" s="22"/>
      <c r="M121" s="22"/>
      <c r="O121" s="22"/>
      <c r="P121" s="22"/>
      <c r="Q121" s="22"/>
      <c r="S121" s="22"/>
      <c r="T121" s="22"/>
      <c r="U121" s="22"/>
      <c r="W121" s="22"/>
      <c r="X121" s="22"/>
      <c r="Y121" s="22"/>
      <c r="AA121" s="22"/>
      <c r="AB121" s="22"/>
      <c r="AC121" s="22"/>
      <c r="AE121" s="24"/>
      <c r="AF121" s="24"/>
      <c r="AG121" s="24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6"/>
      <c r="AW121" s="24"/>
      <c r="AX121" s="20"/>
      <c r="AY121" s="85"/>
      <c r="AZ121" s="22"/>
      <c r="BA121" s="22"/>
      <c r="BB121" s="22"/>
      <c r="BD121" s="22"/>
      <c r="BE121" s="22"/>
      <c r="BF121" s="22"/>
      <c r="BH121" s="22"/>
      <c r="BI121" s="22"/>
      <c r="BJ121" s="22"/>
      <c r="BL121" s="22"/>
      <c r="BM121" s="22"/>
      <c r="BN121" s="22"/>
      <c r="BP121" s="22"/>
      <c r="BQ121" s="22"/>
      <c r="BR121" s="22"/>
      <c r="BT121" s="22"/>
      <c r="BU121" s="22"/>
      <c r="BV121" s="22"/>
      <c r="BX121" s="22"/>
      <c r="BY121" s="22"/>
      <c r="BZ121" s="22"/>
      <c r="CB121" s="24"/>
      <c r="CC121" s="24"/>
      <c r="CD121" s="24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6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</row>
    <row r="122" spans="1:200" s="23" customFormat="1" ht="14.25" customHeight="1">
      <c r="A122" s="20"/>
      <c r="B122" s="85"/>
      <c r="C122" s="22"/>
      <c r="D122" s="22"/>
      <c r="E122" s="22"/>
      <c r="G122" s="22"/>
      <c r="H122" s="22"/>
      <c r="I122" s="22"/>
      <c r="K122" s="22"/>
      <c r="L122" s="22"/>
      <c r="M122" s="22"/>
      <c r="O122" s="22"/>
      <c r="P122" s="22"/>
      <c r="Q122" s="22"/>
      <c r="S122" s="22"/>
      <c r="T122" s="22"/>
      <c r="U122" s="22"/>
      <c r="W122" s="22"/>
      <c r="X122" s="22"/>
      <c r="Y122" s="22"/>
      <c r="AA122" s="22"/>
      <c r="AB122" s="22"/>
      <c r="AC122" s="22"/>
      <c r="AE122" s="24"/>
      <c r="AF122" s="24"/>
      <c r="AG122" s="24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6"/>
      <c r="AW122" s="24"/>
      <c r="AX122" s="20"/>
      <c r="AY122" s="85"/>
      <c r="AZ122" s="22"/>
      <c r="BA122" s="22"/>
      <c r="BB122" s="22"/>
      <c r="BD122" s="22"/>
      <c r="BE122" s="22"/>
      <c r="BF122" s="22"/>
      <c r="BH122" s="22"/>
      <c r="BI122" s="22"/>
      <c r="BJ122" s="22"/>
      <c r="BL122" s="22"/>
      <c r="BM122" s="22"/>
      <c r="BN122" s="22"/>
      <c r="BP122" s="22"/>
      <c r="BQ122" s="22"/>
      <c r="BR122" s="22"/>
      <c r="BT122" s="22"/>
      <c r="BU122" s="22"/>
      <c r="BV122" s="22"/>
      <c r="BX122" s="22"/>
      <c r="BY122" s="22"/>
      <c r="BZ122" s="22"/>
      <c r="CB122" s="24"/>
      <c r="CC122" s="24"/>
      <c r="CD122" s="24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6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</row>
    <row r="123" spans="1:200" s="23" customFormat="1" ht="14.25" customHeight="1">
      <c r="A123" s="20"/>
      <c r="B123" s="85"/>
      <c r="C123" s="22"/>
      <c r="D123" s="22"/>
      <c r="E123" s="22"/>
      <c r="G123" s="22"/>
      <c r="H123" s="22"/>
      <c r="I123" s="22"/>
      <c r="K123" s="22"/>
      <c r="L123" s="22"/>
      <c r="M123" s="22"/>
      <c r="O123" s="22"/>
      <c r="P123" s="22"/>
      <c r="Q123" s="22"/>
      <c r="S123" s="22"/>
      <c r="T123" s="22"/>
      <c r="U123" s="22"/>
      <c r="W123" s="22"/>
      <c r="X123" s="22"/>
      <c r="Y123" s="22"/>
      <c r="AA123" s="22"/>
      <c r="AB123" s="22"/>
      <c r="AC123" s="22"/>
      <c r="AE123" s="24"/>
      <c r="AF123" s="24"/>
      <c r="AG123" s="24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6"/>
      <c r="AW123" s="24"/>
      <c r="AX123" s="20"/>
      <c r="AY123" s="85"/>
      <c r="AZ123" s="22"/>
      <c r="BA123" s="22"/>
      <c r="BB123" s="22"/>
      <c r="BD123" s="22"/>
      <c r="BE123" s="22"/>
      <c r="BF123" s="22"/>
      <c r="BH123" s="22"/>
      <c r="BI123" s="22"/>
      <c r="BJ123" s="22"/>
      <c r="BL123" s="22"/>
      <c r="BM123" s="22"/>
      <c r="BN123" s="22"/>
      <c r="BP123" s="22"/>
      <c r="BQ123" s="22"/>
      <c r="BR123" s="22"/>
      <c r="BT123" s="22"/>
      <c r="BU123" s="22"/>
      <c r="BV123" s="22"/>
      <c r="BX123" s="22"/>
      <c r="BY123" s="22"/>
      <c r="BZ123" s="22"/>
      <c r="CB123" s="24"/>
      <c r="CC123" s="24"/>
      <c r="CD123" s="24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6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</row>
    <row r="124" spans="1:200" s="23" customFormat="1" ht="14.25" customHeight="1">
      <c r="A124" s="20"/>
      <c r="B124" s="85"/>
      <c r="C124" s="22"/>
      <c r="D124" s="22"/>
      <c r="E124" s="22"/>
      <c r="G124" s="22"/>
      <c r="H124" s="22"/>
      <c r="I124" s="22"/>
      <c r="K124" s="22"/>
      <c r="L124" s="22"/>
      <c r="M124" s="22"/>
      <c r="O124" s="22"/>
      <c r="P124" s="22"/>
      <c r="Q124" s="22"/>
      <c r="S124" s="22"/>
      <c r="T124" s="22"/>
      <c r="U124" s="22"/>
      <c r="W124" s="22"/>
      <c r="X124" s="22"/>
      <c r="Y124" s="22"/>
      <c r="AA124" s="22"/>
      <c r="AB124" s="22"/>
      <c r="AC124" s="22"/>
      <c r="AE124" s="24"/>
      <c r="AF124" s="24"/>
      <c r="AG124" s="24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6"/>
      <c r="AW124" s="24"/>
      <c r="AX124" s="20"/>
      <c r="AY124" s="85"/>
      <c r="AZ124" s="22"/>
      <c r="BA124" s="22"/>
      <c r="BB124" s="22"/>
      <c r="BD124" s="22"/>
      <c r="BE124" s="22"/>
      <c r="BF124" s="22"/>
      <c r="BH124" s="22"/>
      <c r="BI124" s="22"/>
      <c r="BJ124" s="22"/>
      <c r="BL124" s="22"/>
      <c r="BM124" s="22"/>
      <c r="BN124" s="22"/>
      <c r="BP124" s="22"/>
      <c r="BQ124" s="22"/>
      <c r="BR124" s="22"/>
      <c r="BT124" s="22"/>
      <c r="BU124" s="22"/>
      <c r="BV124" s="22"/>
      <c r="BX124" s="22"/>
      <c r="BY124" s="22"/>
      <c r="BZ124" s="22"/>
      <c r="CB124" s="24"/>
      <c r="CC124" s="24"/>
      <c r="CD124" s="24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6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</row>
    <row r="125" spans="1:200" s="23" customFormat="1" ht="14.25" customHeight="1">
      <c r="A125" s="20"/>
      <c r="B125" s="85"/>
      <c r="C125" s="22"/>
      <c r="D125" s="22"/>
      <c r="E125" s="22"/>
      <c r="G125" s="22"/>
      <c r="H125" s="22"/>
      <c r="I125" s="22"/>
      <c r="K125" s="22"/>
      <c r="L125" s="22"/>
      <c r="M125" s="22"/>
      <c r="O125" s="22"/>
      <c r="P125" s="22"/>
      <c r="Q125" s="22"/>
      <c r="S125" s="22"/>
      <c r="T125" s="22"/>
      <c r="U125" s="22"/>
      <c r="W125" s="22"/>
      <c r="X125" s="22"/>
      <c r="Y125" s="22"/>
      <c r="AA125" s="22"/>
      <c r="AB125" s="22"/>
      <c r="AC125" s="22"/>
      <c r="AE125" s="24"/>
      <c r="AF125" s="24"/>
      <c r="AG125" s="24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6"/>
      <c r="AW125" s="24"/>
      <c r="AX125" s="20"/>
      <c r="AY125" s="85"/>
      <c r="AZ125" s="22"/>
      <c r="BA125" s="22"/>
      <c r="BB125" s="22"/>
      <c r="BD125" s="22"/>
      <c r="BE125" s="22"/>
      <c r="BF125" s="22"/>
      <c r="BH125" s="22"/>
      <c r="BI125" s="22"/>
      <c r="BJ125" s="22"/>
      <c r="BL125" s="22"/>
      <c r="BM125" s="22"/>
      <c r="BN125" s="22"/>
      <c r="BP125" s="22"/>
      <c r="BQ125" s="22"/>
      <c r="BR125" s="22"/>
      <c r="BT125" s="22"/>
      <c r="BU125" s="22"/>
      <c r="BV125" s="22"/>
      <c r="BX125" s="22"/>
      <c r="BY125" s="22"/>
      <c r="BZ125" s="22"/>
      <c r="CB125" s="24"/>
      <c r="CC125" s="24"/>
      <c r="CD125" s="24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6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</row>
    <row r="126" spans="1:200" s="23" customFormat="1" ht="14.25" customHeight="1">
      <c r="A126" s="20"/>
      <c r="B126" s="85"/>
      <c r="C126" s="22"/>
      <c r="D126" s="22"/>
      <c r="E126" s="22"/>
      <c r="G126" s="22"/>
      <c r="H126" s="22"/>
      <c r="I126" s="22"/>
      <c r="K126" s="22"/>
      <c r="L126" s="22"/>
      <c r="M126" s="22"/>
      <c r="O126" s="22"/>
      <c r="P126" s="22"/>
      <c r="Q126" s="22"/>
      <c r="S126" s="22"/>
      <c r="T126" s="22"/>
      <c r="U126" s="22"/>
      <c r="W126" s="22"/>
      <c r="X126" s="22"/>
      <c r="Y126" s="22"/>
      <c r="AA126" s="22"/>
      <c r="AB126" s="22"/>
      <c r="AC126" s="22"/>
      <c r="AE126" s="24"/>
      <c r="AF126" s="24"/>
      <c r="AG126" s="24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6"/>
      <c r="AW126" s="24"/>
      <c r="AX126" s="20"/>
      <c r="AY126" s="85"/>
      <c r="AZ126" s="22"/>
      <c r="BA126" s="22"/>
      <c r="BB126" s="22"/>
      <c r="BD126" s="22"/>
      <c r="BE126" s="22"/>
      <c r="BF126" s="22"/>
      <c r="BH126" s="22"/>
      <c r="BI126" s="22"/>
      <c r="BJ126" s="22"/>
      <c r="BL126" s="22"/>
      <c r="BM126" s="22"/>
      <c r="BN126" s="22"/>
      <c r="BP126" s="22"/>
      <c r="BQ126" s="22"/>
      <c r="BR126" s="22"/>
      <c r="BT126" s="22"/>
      <c r="BU126" s="22"/>
      <c r="BV126" s="22"/>
      <c r="BX126" s="22"/>
      <c r="BY126" s="22"/>
      <c r="BZ126" s="22"/>
      <c r="CB126" s="24"/>
      <c r="CC126" s="24"/>
      <c r="CD126" s="24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6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</row>
    <row r="127" spans="1:200" s="23" customFormat="1" ht="14.25" customHeight="1">
      <c r="A127" s="20"/>
      <c r="B127" s="21"/>
      <c r="C127" s="22"/>
      <c r="D127" s="22"/>
      <c r="E127" s="22"/>
      <c r="G127" s="22"/>
      <c r="H127" s="22"/>
      <c r="I127" s="22"/>
      <c r="K127" s="22"/>
      <c r="L127" s="22"/>
      <c r="M127" s="22"/>
      <c r="O127" s="22"/>
      <c r="P127" s="22"/>
      <c r="Q127" s="22"/>
      <c r="S127" s="22"/>
      <c r="T127" s="22"/>
      <c r="U127" s="22"/>
      <c r="W127" s="22"/>
      <c r="X127" s="22"/>
      <c r="Y127" s="22"/>
      <c r="AA127" s="22"/>
      <c r="AB127" s="22"/>
      <c r="AC127" s="22"/>
      <c r="AE127" s="24"/>
      <c r="AF127" s="24"/>
      <c r="AG127" s="24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6"/>
      <c r="AW127" s="24"/>
      <c r="AX127" s="20"/>
      <c r="AY127" s="21"/>
      <c r="AZ127" s="22"/>
      <c r="BA127" s="22"/>
      <c r="BB127" s="22"/>
      <c r="BD127" s="22"/>
      <c r="BE127" s="22"/>
      <c r="BF127" s="22"/>
      <c r="BH127" s="22"/>
      <c r="BI127" s="22"/>
      <c r="BJ127" s="22"/>
      <c r="BL127" s="22"/>
      <c r="BM127" s="22"/>
      <c r="BN127" s="22"/>
      <c r="BP127" s="22"/>
      <c r="BQ127" s="22"/>
      <c r="BR127" s="22"/>
      <c r="BT127" s="22"/>
      <c r="BU127" s="22"/>
      <c r="BV127" s="22"/>
      <c r="BX127" s="22"/>
      <c r="BY127" s="22"/>
      <c r="BZ127" s="22"/>
      <c r="CB127" s="24"/>
      <c r="CC127" s="24"/>
      <c r="CD127" s="24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6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</row>
    <row r="128" spans="1:200" s="23" customFormat="1" ht="14.25" customHeight="1">
      <c r="A128" s="20"/>
      <c r="B128" s="21"/>
      <c r="C128" s="22"/>
      <c r="D128" s="22"/>
      <c r="E128" s="22"/>
      <c r="G128" s="22"/>
      <c r="H128" s="22"/>
      <c r="I128" s="22"/>
      <c r="K128" s="22"/>
      <c r="L128" s="22"/>
      <c r="M128" s="22"/>
      <c r="O128" s="22"/>
      <c r="P128" s="22"/>
      <c r="Q128" s="22"/>
      <c r="S128" s="22"/>
      <c r="T128" s="22"/>
      <c r="U128" s="22"/>
      <c r="W128" s="22"/>
      <c r="X128" s="22"/>
      <c r="Y128" s="22"/>
      <c r="AA128" s="22"/>
      <c r="AB128" s="22"/>
      <c r="AC128" s="22"/>
      <c r="AE128" s="24"/>
      <c r="AF128" s="24"/>
      <c r="AG128" s="24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6"/>
      <c r="AW128" s="24"/>
      <c r="AX128" s="20"/>
      <c r="AY128" s="21"/>
      <c r="AZ128" s="22"/>
      <c r="BA128" s="22"/>
      <c r="BB128" s="22"/>
      <c r="BD128" s="22"/>
      <c r="BE128" s="22"/>
      <c r="BF128" s="22"/>
      <c r="BH128" s="22"/>
      <c r="BI128" s="22"/>
      <c r="BJ128" s="22"/>
      <c r="BL128" s="22"/>
      <c r="BM128" s="22"/>
      <c r="BN128" s="22"/>
      <c r="BP128" s="22"/>
      <c r="BQ128" s="22"/>
      <c r="BR128" s="22"/>
      <c r="BT128" s="22"/>
      <c r="BU128" s="22"/>
      <c r="BV128" s="22"/>
      <c r="BX128" s="22"/>
      <c r="BY128" s="22"/>
      <c r="BZ128" s="22"/>
      <c r="CB128" s="24"/>
      <c r="CC128" s="24"/>
      <c r="CD128" s="24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6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</row>
    <row r="129" spans="1:200" s="23" customFormat="1" ht="14.25" customHeight="1">
      <c r="A129" s="20"/>
      <c r="B129" s="21"/>
      <c r="C129" s="22"/>
      <c r="D129" s="22"/>
      <c r="E129" s="22"/>
      <c r="G129" s="22"/>
      <c r="H129" s="22"/>
      <c r="I129" s="22"/>
      <c r="K129" s="22"/>
      <c r="L129" s="22"/>
      <c r="M129" s="22"/>
      <c r="O129" s="22"/>
      <c r="P129" s="22"/>
      <c r="Q129" s="22"/>
      <c r="S129" s="22"/>
      <c r="T129" s="22"/>
      <c r="U129" s="22"/>
      <c r="W129" s="22"/>
      <c r="X129" s="22"/>
      <c r="Y129" s="22"/>
      <c r="AA129" s="22"/>
      <c r="AB129" s="22"/>
      <c r="AC129" s="22"/>
      <c r="AE129" s="24"/>
      <c r="AF129" s="24"/>
      <c r="AG129" s="24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6"/>
      <c r="AW129" s="24"/>
      <c r="AX129" s="20"/>
      <c r="AY129" s="21"/>
      <c r="AZ129" s="22"/>
      <c r="BA129" s="22"/>
      <c r="BB129" s="22"/>
      <c r="BD129" s="22"/>
      <c r="BE129" s="22"/>
      <c r="BF129" s="22"/>
      <c r="BH129" s="22"/>
      <c r="BI129" s="22"/>
      <c r="BJ129" s="22"/>
      <c r="BL129" s="22"/>
      <c r="BM129" s="22"/>
      <c r="BN129" s="22"/>
      <c r="BP129" s="22"/>
      <c r="BQ129" s="22"/>
      <c r="BR129" s="22"/>
      <c r="BT129" s="22"/>
      <c r="BU129" s="22"/>
      <c r="BV129" s="22"/>
      <c r="BX129" s="22"/>
      <c r="BY129" s="22"/>
      <c r="BZ129" s="22"/>
      <c r="CB129" s="24"/>
      <c r="CC129" s="24"/>
      <c r="CD129" s="24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6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</row>
    <row r="130" spans="1:200" s="23" customFormat="1" ht="14.25" customHeight="1">
      <c r="A130" s="20"/>
      <c r="B130" s="21"/>
      <c r="C130" s="22"/>
      <c r="D130" s="22"/>
      <c r="E130" s="22"/>
      <c r="G130" s="22"/>
      <c r="H130" s="22"/>
      <c r="I130" s="22"/>
      <c r="K130" s="22"/>
      <c r="L130" s="22"/>
      <c r="M130" s="22"/>
      <c r="O130" s="22"/>
      <c r="P130" s="22"/>
      <c r="Q130" s="22"/>
      <c r="S130" s="22"/>
      <c r="T130" s="22"/>
      <c r="U130" s="22"/>
      <c r="W130" s="22"/>
      <c r="X130" s="22"/>
      <c r="Y130" s="22"/>
      <c r="AA130" s="22"/>
      <c r="AB130" s="22"/>
      <c r="AC130" s="22"/>
      <c r="AE130" s="24"/>
      <c r="AF130" s="24"/>
      <c r="AG130" s="24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6"/>
      <c r="AW130" s="24"/>
      <c r="AX130" s="20"/>
      <c r="AY130" s="21"/>
      <c r="AZ130" s="22"/>
      <c r="BA130" s="22"/>
      <c r="BB130" s="22"/>
      <c r="BD130" s="22"/>
      <c r="BE130" s="22"/>
      <c r="BF130" s="22"/>
      <c r="BH130" s="22"/>
      <c r="BI130" s="22"/>
      <c r="BJ130" s="22"/>
      <c r="BL130" s="22"/>
      <c r="BM130" s="22"/>
      <c r="BN130" s="22"/>
      <c r="BP130" s="22"/>
      <c r="BQ130" s="22"/>
      <c r="BR130" s="22"/>
      <c r="BT130" s="22"/>
      <c r="BU130" s="22"/>
      <c r="BV130" s="22"/>
      <c r="BX130" s="22"/>
      <c r="BY130" s="22"/>
      <c r="BZ130" s="22"/>
      <c r="CB130" s="24"/>
      <c r="CC130" s="24"/>
      <c r="CD130" s="24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6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</row>
    <row r="131" spans="1:200" s="23" customFormat="1" ht="14.25" customHeight="1">
      <c r="A131" s="20"/>
      <c r="B131" s="21"/>
      <c r="C131" s="22"/>
      <c r="D131" s="22"/>
      <c r="E131" s="22"/>
      <c r="G131" s="22"/>
      <c r="H131" s="22"/>
      <c r="I131" s="22"/>
      <c r="K131" s="22"/>
      <c r="L131" s="22"/>
      <c r="M131" s="22"/>
      <c r="O131" s="22"/>
      <c r="P131" s="22"/>
      <c r="Q131" s="22"/>
      <c r="S131" s="22"/>
      <c r="T131" s="22"/>
      <c r="U131" s="22"/>
      <c r="W131" s="22"/>
      <c r="X131" s="22"/>
      <c r="Y131" s="22"/>
      <c r="AA131" s="22"/>
      <c r="AB131" s="22"/>
      <c r="AC131" s="22"/>
      <c r="AE131" s="24"/>
      <c r="AF131" s="24"/>
      <c r="AG131" s="24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6"/>
      <c r="AW131" s="24"/>
      <c r="AX131" s="20"/>
      <c r="AY131" s="21"/>
      <c r="AZ131" s="22"/>
      <c r="BA131" s="22"/>
      <c r="BB131" s="22"/>
      <c r="BD131" s="22"/>
      <c r="BE131" s="22"/>
      <c r="BF131" s="22"/>
      <c r="BH131" s="22"/>
      <c r="BI131" s="22"/>
      <c r="BJ131" s="22"/>
      <c r="BL131" s="22"/>
      <c r="BM131" s="22"/>
      <c r="BN131" s="22"/>
      <c r="BP131" s="22"/>
      <c r="BQ131" s="22"/>
      <c r="BR131" s="22"/>
      <c r="BT131" s="22"/>
      <c r="BU131" s="22"/>
      <c r="BV131" s="22"/>
      <c r="BX131" s="22"/>
      <c r="BY131" s="22"/>
      <c r="BZ131" s="22"/>
      <c r="CB131" s="24"/>
      <c r="CC131" s="24"/>
      <c r="CD131" s="24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6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</row>
    <row r="132" spans="1:200" s="23" customFormat="1" ht="14.25" customHeight="1">
      <c r="A132" s="20"/>
      <c r="B132" s="21"/>
      <c r="C132" s="22"/>
      <c r="D132" s="22"/>
      <c r="E132" s="22"/>
      <c r="G132" s="22"/>
      <c r="H132" s="22"/>
      <c r="I132" s="22"/>
      <c r="K132" s="22"/>
      <c r="L132" s="22"/>
      <c r="M132" s="22"/>
      <c r="O132" s="22"/>
      <c r="P132" s="22"/>
      <c r="Q132" s="22"/>
      <c r="S132" s="22"/>
      <c r="T132" s="22"/>
      <c r="U132" s="22"/>
      <c r="W132" s="22"/>
      <c r="X132" s="22"/>
      <c r="Y132" s="22"/>
      <c r="AA132" s="22"/>
      <c r="AB132" s="22"/>
      <c r="AC132" s="22"/>
      <c r="AE132" s="24"/>
      <c r="AF132" s="24"/>
      <c r="AG132" s="24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6"/>
      <c r="AW132" s="24"/>
      <c r="AX132" s="20"/>
      <c r="AY132" s="21"/>
      <c r="AZ132" s="22"/>
      <c r="BA132" s="22"/>
      <c r="BB132" s="22"/>
      <c r="BD132" s="22"/>
      <c r="BE132" s="22"/>
      <c r="BF132" s="22"/>
      <c r="BH132" s="22"/>
      <c r="BI132" s="22"/>
      <c r="BJ132" s="22"/>
      <c r="BL132" s="22"/>
      <c r="BM132" s="22"/>
      <c r="BN132" s="22"/>
      <c r="BP132" s="22"/>
      <c r="BQ132" s="22"/>
      <c r="BR132" s="22"/>
      <c r="BT132" s="22"/>
      <c r="BU132" s="22"/>
      <c r="BV132" s="22"/>
      <c r="BX132" s="22"/>
      <c r="BY132" s="22"/>
      <c r="BZ132" s="22"/>
      <c r="CB132" s="24"/>
      <c r="CC132" s="24"/>
      <c r="CD132" s="24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6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</row>
    <row r="133" spans="1:200" s="23" customFormat="1" ht="14.25" customHeight="1">
      <c r="A133" s="20"/>
      <c r="B133" s="21"/>
      <c r="C133" s="22"/>
      <c r="D133" s="22"/>
      <c r="E133" s="22"/>
      <c r="G133" s="22"/>
      <c r="H133" s="22"/>
      <c r="I133" s="22"/>
      <c r="K133" s="22"/>
      <c r="L133" s="22"/>
      <c r="M133" s="22"/>
      <c r="O133" s="22"/>
      <c r="P133" s="22"/>
      <c r="Q133" s="22"/>
      <c r="S133" s="22"/>
      <c r="T133" s="22"/>
      <c r="U133" s="22"/>
      <c r="W133" s="22"/>
      <c r="X133" s="22"/>
      <c r="Y133" s="22"/>
      <c r="AA133" s="22"/>
      <c r="AB133" s="22"/>
      <c r="AC133" s="22"/>
      <c r="AE133" s="24"/>
      <c r="AF133" s="24"/>
      <c r="AG133" s="24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6"/>
      <c r="AW133" s="24"/>
      <c r="AX133" s="20"/>
      <c r="AY133" s="21"/>
      <c r="AZ133" s="22"/>
      <c r="BA133" s="22"/>
      <c r="BB133" s="22"/>
      <c r="BD133" s="22"/>
      <c r="BE133" s="22"/>
      <c r="BF133" s="22"/>
      <c r="BH133" s="22"/>
      <c r="BI133" s="22"/>
      <c r="BJ133" s="22"/>
      <c r="BL133" s="22"/>
      <c r="BM133" s="22"/>
      <c r="BN133" s="22"/>
      <c r="BP133" s="22"/>
      <c r="BQ133" s="22"/>
      <c r="BR133" s="22"/>
      <c r="BT133" s="22"/>
      <c r="BU133" s="22"/>
      <c r="BV133" s="22"/>
      <c r="BX133" s="22"/>
      <c r="BY133" s="22"/>
      <c r="BZ133" s="22"/>
      <c r="CB133" s="24"/>
      <c r="CC133" s="24"/>
      <c r="CD133" s="24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6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</row>
    <row r="134" spans="1:200" s="23" customFormat="1" ht="14.25" customHeight="1">
      <c r="A134" s="20"/>
      <c r="B134" s="21"/>
      <c r="C134" s="22"/>
      <c r="D134" s="22"/>
      <c r="E134" s="22"/>
      <c r="G134" s="22"/>
      <c r="H134" s="22"/>
      <c r="I134" s="22"/>
      <c r="K134" s="22"/>
      <c r="L134" s="22"/>
      <c r="M134" s="22"/>
      <c r="O134" s="22"/>
      <c r="P134" s="22"/>
      <c r="Q134" s="22"/>
      <c r="S134" s="22"/>
      <c r="T134" s="22"/>
      <c r="U134" s="22"/>
      <c r="W134" s="22"/>
      <c r="X134" s="22"/>
      <c r="Y134" s="22"/>
      <c r="AA134" s="22"/>
      <c r="AB134" s="22"/>
      <c r="AC134" s="22"/>
      <c r="AE134" s="24"/>
      <c r="AF134" s="24"/>
      <c r="AG134" s="24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6"/>
      <c r="AW134" s="24"/>
      <c r="AX134" s="20"/>
      <c r="AY134" s="21"/>
      <c r="AZ134" s="22"/>
      <c r="BA134" s="22"/>
      <c r="BB134" s="22"/>
      <c r="BD134" s="22"/>
      <c r="BE134" s="22"/>
      <c r="BF134" s="22"/>
      <c r="BH134" s="22"/>
      <c r="BI134" s="22"/>
      <c r="BJ134" s="22"/>
      <c r="BL134" s="22"/>
      <c r="BM134" s="22"/>
      <c r="BN134" s="22"/>
      <c r="BP134" s="22"/>
      <c r="BQ134" s="22"/>
      <c r="BR134" s="22"/>
      <c r="BT134" s="22"/>
      <c r="BU134" s="22"/>
      <c r="BV134" s="22"/>
      <c r="BX134" s="22"/>
      <c r="BY134" s="22"/>
      <c r="BZ134" s="22"/>
      <c r="CB134" s="24"/>
      <c r="CC134" s="24"/>
      <c r="CD134" s="24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6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</row>
    <row r="135" spans="1:200" s="23" customFormat="1" ht="14.25" customHeight="1">
      <c r="A135" s="20"/>
      <c r="B135" s="21"/>
      <c r="C135" s="22"/>
      <c r="D135" s="22"/>
      <c r="E135" s="22"/>
      <c r="G135" s="22"/>
      <c r="H135" s="22"/>
      <c r="I135" s="22"/>
      <c r="K135" s="22"/>
      <c r="L135" s="22"/>
      <c r="M135" s="22"/>
      <c r="O135" s="22"/>
      <c r="P135" s="22"/>
      <c r="Q135" s="22"/>
      <c r="S135" s="22"/>
      <c r="T135" s="22"/>
      <c r="U135" s="22"/>
      <c r="W135" s="22"/>
      <c r="X135" s="22"/>
      <c r="Y135" s="22"/>
      <c r="AA135" s="22"/>
      <c r="AB135" s="22"/>
      <c r="AC135" s="22"/>
      <c r="AE135" s="24"/>
      <c r="AF135" s="24"/>
      <c r="AG135" s="24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6"/>
      <c r="AW135" s="24"/>
      <c r="AX135" s="20"/>
      <c r="AY135" s="21"/>
      <c r="AZ135" s="22"/>
      <c r="BA135" s="22"/>
      <c r="BB135" s="22"/>
      <c r="BD135" s="22"/>
      <c r="BE135" s="22"/>
      <c r="BF135" s="22"/>
      <c r="BH135" s="22"/>
      <c r="BI135" s="22"/>
      <c r="BJ135" s="22"/>
      <c r="BL135" s="22"/>
      <c r="BM135" s="22"/>
      <c r="BN135" s="22"/>
      <c r="BP135" s="22"/>
      <c r="BQ135" s="22"/>
      <c r="BR135" s="22"/>
      <c r="BT135" s="22"/>
      <c r="BU135" s="22"/>
      <c r="BV135" s="22"/>
      <c r="BX135" s="22"/>
      <c r="BY135" s="22"/>
      <c r="BZ135" s="22"/>
      <c r="CB135" s="24"/>
      <c r="CC135" s="24"/>
      <c r="CD135" s="24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6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</row>
    <row r="136" spans="1:200" s="23" customFormat="1" ht="14.25" customHeight="1">
      <c r="A136" s="20"/>
      <c r="B136" s="21"/>
      <c r="C136" s="22"/>
      <c r="D136" s="22"/>
      <c r="E136" s="22"/>
      <c r="G136" s="22"/>
      <c r="H136" s="22"/>
      <c r="I136" s="22"/>
      <c r="K136" s="22"/>
      <c r="L136" s="22"/>
      <c r="M136" s="22"/>
      <c r="O136" s="22"/>
      <c r="P136" s="22"/>
      <c r="Q136" s="22"/>
      <c r="S136" s="22"/>
      <c r="T136" s="22"/>
      <c r="U136" s="22"/>
      <c r="W136" s="22"/>
      <c r="X136" s="22"/>
      <c r="Y136" s="22"/>
      <c r="AA136" s="22"/>
      <c r="AB136" s="22"/>
      <c r="AC136" s="22"/>
      <c r="AE136" s="24"/>
      <c r="AF136" s="24"/>
      <c r="AG136" s="24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6"/>
      <c r="AW136" s="24"/>
      <c r="AX136" s="20"/>
      <c r="AY136" s="21"/>
      <c r="AZ136" s="22"/>
      <c r="BA136" s="22"/>
      <c r="BB136" s="22"/>
      <c r="BD136" s="22"/>
      <c r="BE136" s="22"/>
      <c r="BF136" s="22"/>
      <c r="BH136" s="22"/>
      <c r="BI136" s="22"/>
      <c r="BJ136" s="22"/>
      <c r="BL136" s="22"/>
      <c r="BM136" s="22"/>
      <c r="BN136" s="22"/>
      <c r="BP136" s="22"/>
      <c r="BQ136" s="22"/>
      <c r="BR136" s="22"/>
      <c r="BT136" s="22"/>
      <c r="BU136" s="22"/>
      <c r="BV136" s="22"/>
      <c r="BX136" s="22"/>
      <c r="BY136" s="22"/>
      <c r="BZ136" s="22"/>
      <c r="CB136" s="24"/>
      <c r="CC136" s="24"/>
      <c r="CD136" s="24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6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</row>
    <row r="137" spans="1:200" s="23" customFormat="1" ht="14.25" customHeight="1">
      <c r="A137" s="20"/>
      <c r="B137" s="21"/>
      <c r="C137" s="22"/>
      <c r="D137" s="22"/>
      <c r="E137" s="22"/>
      <c r="G137" s="22"/>
      <c r="H137" s="22"/>
      <c r="I137" s="22"/>
      <c r="K137" s="22"/>
      <c r="L137" s="22"/>
      <c r="M137" s="22"/>
      <c r="O137" s="22"/>
      <c r="P137" s="22"/>
      <c r="Q137" s="22"/>
      <c r="S137" s="22"/>
      <c r="T137" s="22"/>
      <c r="U137" s="22"/>
      <c r="W137" s="22"/>
      <c r="X137" s="22"/>
      <c r="Y137" s="22"/>
      <c r="AA137" s="22"/>
      <c r="AB137" s="22"/>
      <c r="AC137" s="22"/>
      <c r="AE137" s="24"/>
      <c r="AF137" s="24"/>
      <c r="AG137" s="24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6"/>
      <c r="AW137" s="24"/>
      <c r="AX137" s="20"/>
      <c r="AY137" s="21"/>
      <c r="AZ137" s="22"/>
      <c r="BA137" s="22"/>
      <c r="BB137" s="22"/>
      <c r="BD137" s="22"/>
      <c r="BE137" s="22"/>
      <c r="BF137" s="22"/>
      <c r="BH137" s="22"/>
      <c r="BI137" s="22"/>
      <c r="BJ137" s="22"/>
      <c r="BL137" s="22"/>
      <c r="BM137" s="22"/>
      <c r="BN137" s="22"/>
      <c r="BP137" s="22"/>
      <c r="BQ137" s="22"/>
      <c r="BR137" s="22"/>
      <c r="BT137" s="22"/>
      <c r="BU137" s="22"/>
      <c r="BV137" s="22"/>
      <c r="BX137" s="22"/>
      <c r="BY137" s="22"/>
      <c r="BZ137" s="22"/>
      <c r="CB137" s="24"/>
      <c r="CC137" s="24"/>
      <c r="CD137" s="24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6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</row>
    <row r="138" spans="1:200" s="23" customFormat="1" ht="14.25" customHeight="1">
      <c r="A138" s="20"/>
      <c r="B138" s="21"/>
      <c r="C138" s="22"/>
      <c r="D138" s="22"/>
      <c r="E138" s="22"/>
      <c r="G138" s="22"/>
      <c r="H138" s="22"/>
      <c r="I138" s="22"/>
      <c r="K138" s="22"/>
      <c r="L138" s="22"/>
      <c r="M138" s="22"/>
      <c r="O138" s="22"/>
      <c r="P138" s="22"/>
      <c r="Q138" s="22"/>
      <c r="S138" s="22"/>
      <c r="T138" s="22"/>
      <c r="U138" s="22"/>
      <c r="W138" s="22"/>
      <c r="X138" s="22"/>
      <c r="Y138" s="22"/>
      <c r="AA138" s="22"/>
      <c r="AB138" s="22"/>
      <c r="AC138" s="22"/>
      <c r="AE138" s="24"/>
      <c r="AF138" s="24"/>
      <c r="AG138" s="24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6"/>
      <c r="AW138" s="24"/>
      <c r="AX138" s="20"/>
      <c r="AY138" s="21"/>
      <c r="AZ138" s="22"/>
      <c r="BA138" s="22"/>
      <c r="BB138" s="22"/>
      <c r="BD138" s="22"/>
      <c r="BE138" s="22"/>
      <c r="BF138" s="22"/>
      <c r="BH138" s="22"/>
      <c r="BI138" s="22"/>
      <c r="BJ138" s="22"/>
      <c r="BL138" s="22"/>
      <c r="BM138" s="22"/>
      <c r="BN138" s="22"/>
      <c r="BP138" s="22"/>
      <c r="BQ138" s="22"/>
      <c r="BR138" s="22"/>
      <c r="BT138" s="22"/>
      <c r="BU138" s="22"/>
      <c r="BV138" s="22"/>
      <c r="BX138" s="22"/>
      <c r="BY138" s="22"/>
      <c r="BZ138" s="22"/>
      <c r="CB138" s="24"/>
      <c r="CC138" s="24"/>
      <c r="CD138" s="24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6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</row>
    <row r="139" spans="1:200" s="23" customFormat="1" ht="14.25" customHeight="1">
      <c r="A139" s="20"/>
      <c r="B139" s="21"/>
      <c r="C139" s="22"/>
      <c r="D139" s="22"/>
      <c r="E139" s="22"/>
      <c r="G139" s="22"/>
      <c r="H139" s="22"/>
      <c r="I139" s="22"/>
      <c r="K139" s="22"/>
      <c r="L139" s="22"/>
      <c r="M139" s="22"/>
      <c r="O139" s="22"/>
      <c r="P139" s="22"/>
      <c r="Q139" s="22"/>
      <c r="S139" s="22"/>
      <c r="T139" s="22"/>
      <c r="U139" s="22"/>
      <c r="W139" s="22"/>
      <c r="X139" s="22"/>
      <c r="Y139" s="22"/>
      <c r="AA139" s="22"/>
      <c r="AB139" s="22"/>
      <c r="AC139" s="22"/>
      <c r="AE139" s="24"/>
      <c r="AF139" s="24"/>
      <c r="AG139" s="24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6"/>
      <c r="AW139" s="24"/>
      <c r="AX139" s="20"/>
      <c r="AY139" s="21"/>
      <c r="AZ139" s="22"/>
      <c r="BA139" s="22"/>
      <c r="BB139" s="22"/>
      <c r="BD139" s="22"/>
      <c r="BE139" s="22"/>
      <c r="BF139" s="22"/>
      <c r="BH139" s="22"/>
      <c r="BI139" s="22"/>
      <c r="BJ139" s="22"/>
      <c r="BL139" s="22"/>
      <c r="BM139" s="22"/>
      <c r="BN139" s="22"/>
      <c r="BP139" s="22"/>
      <c r="BQ139" s="22"/>
      <c r="BR139" s="22"/>
      <c r="BT139" s="22"/>
      <c r="BU139" s="22"/>
      <c r="BV139" s="22"/>
      <c r="BX139" s="22"/>
      <c r="BY139" s="22"/>
      <c r="BZ139" s="22"/>
      <c r="CB139" s="24"/>
      <c r="CC139" s="24"/>
      <c r="CD139" s="24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6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</row>
    <row r="140" spans="1:200" s="23" customFormat="1" ht="14.25" customHeight="1">
      <c r="A140" s="20"/>
      <c r="B140" s="21"/>
      <c r="C140" s="22"/>
      <c r="D140" s="22"/>
      <c r="E140" s="22"/>
      <c r="G140" s="22"/>
      <c r="H140" s="22"/>
      <c r="I140" s="22"/>
      <c r="K140" s="22"/>
      <c r="L140" s="22"/>
      <c r="M140" s="22"/>
      <c r="O140" s="22"/>
      <c r="P140" s="22"/>
      <c r="Q140" s="22"/>
      <c r="S140" s="22"/>
      <c r="T140" s="22"/>
      <c r="U140" s="22"/>
      <c r="W140" s="22"/>
      <c r="X140" s="22"/>
      <c r="Y140" s="22"/>
      <c r="AA140" s="22"/>
      <c r="AB140" s="22"/>
      <c r="AC140" s="22"/>
      <c r="AE140" s="24"/>
      <c r="AF140" s="24"/>
      <c r="AG140" s="24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6"/>
      <c r="AW140" s="24"/>
      <c r="AX140" s="20"/>
      <c r="AY140" s="21"/>
      <c r="AZ140" s="22"/>
      <c r="BA140" s="22"/>
      <c r="BB140" s="22"/>
      <c r="BD140" s="22"/>
      <c r="BE140" s="22"/>
      <c r="BF140" s="22"/>
      <c r="BH140" s="22"/>
      <c r="BI140" s="22"/>
      <c r="BJ140" s="22"/>
      <c r="BL140" s="22"/>
      <c r="BM140" s="22"/>
      <c r="BN140" s="22"/>
      <c r="BP140" s="22"/>
      <c r="BQ140" s="22"/>
      <c r="BR140" s="22"/>
      <c r="BT140" s="22"/>
      <c r="BU140" s="22"/>
      <c r="BV140" s="22"/>
      <c r="BX140" s="22"/>
      <c r="BY140" s="22"/>
      <c r="BZ140" s="22"/>
      <c r="CB140" s="24"/>
      <c r="CC140" s="24"/>
      <c r="CD140" s="24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6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</row>
    <row r="141" spans="1:200" s="23" customFormat="1" ht="14.25" customHeight="1">
      <c r="A141" s="20"/>
      <c r="B141" s="21"/>
      <c r="C141" s="22"/>
      <c r="D141" s="22"/>
      <c r="E141" s="22"/>
      <c r="G141" s="22"/>
      <c r="H141" s="22"/>
      <c r="I141" s="22"/>
      <c r="K141" s="22"/>
      <c r="L141" s="22"/>
      <c r="M141" s="22"/>
      <c r="O141" s="22"/>
      <c r="P141" s="22"/>
      <c r="Q141" s="22"/>
      <c r="S141" s="22"/>
      <c r="T141" s="22"/>
      <c r="U141" s="22"/>
      <c r="W141" s="22"/>
      <c r="X141" s="22"/>
      <c r="Y141" s="22"/>
      <c r="AA141" s="22"/>
      <c r="AB141" s="22"/>
      <c r="AC141" s="22"/>
      <c r="AE141" s="24"/>
      <c r="AF141" s="24"/>
      <c r="AG141" s="24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6"/>
      <c r="AW141" s="24"/>
      <c r="AX141" s="20"/>
      <c r="AY141" s="21"/>
      <c r="AZ141" s="22"/>
      <c r="BA141" s="22"/>
      <c r="BB141" s="22"/>
      <c r="BD141" s="22"/>
      <c r="BE141" s="22"/>
      <c r="BF141" s="22"/>
      <c r="BH141" s="22"/>
      <c r="BI141" s="22"/>
      <c r="BJ141" s="22"/>
      <c r="BL141" s="22"/>
      <c r="BM141" s="22"/>
      <c r="BN141" s="22"/>
      <c r="BP141" s="22"/>
      <c r="BQ141" s="22"/>
      <c r="BR141" s="22"/>
      <c r="BT141" s="22"/>
      <c r="BU141" s="22"/>
      <c r="BV141" s="22"/>
      <c r="BX141" s="22"/>
      <c r="BY141" s="22"/>
      <c r="BZ141" s="22"/>
      <c r="CB141" s="24"/>
      <c r="CC141" s="24"/>
      <c r="CD141" s="24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6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</row>
    <row r="142" spans="1:200" s="23" customFormat="1" ht="14.25" customHeight="1">
      <c r="A142" s="20"/>
      <c r="B142" s="21"/>
      <c r="C142" s="22"/>
      <c r="D142" s="22"/>
      <c r="E142" s="22"/>
      <c r="G142" s="22"/>
      <c r="H142" s="22"/>
      <c r="I142" s="22"/>
      <c r="K142" s="22"/>
      <c r="L142" s="22"/>
      <c r="M142" s="22"/>
      <c r="O142" s="22"/>
      <c r="P142" s="22"/>
      <c r="Q142" s="22"/>
      <c r="S142" s="22"/>
      <c r="T142" s="22"/>
      <c r="U142" s="22"/>
      <c r="W142" s="22"/>
      <c r="X142" s="22"/>
      <c r="Y142" s="22"/>
      <c r="AA142" s="22"/>
      <c r="AB142" s="22"/>
      <c r="AC142" s="22"/>
      <c r="AE142" s="24"/>
      <c r="AF142" s="24"/>
      <c r="AG142" s="24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6"/>
      <c r="AW142" s="24"/>
      <c r="AX142" s="20"/>
      <c r="AY142" s="21"/>
      <c r="AZ142" s="22"/>
      <c r="BA142" s="22"/>
      <c r="BB142" s="22"/>
      <c r="BD142" s="22"/>
      <c r="BE142" s="22"/>
      <c r="BF142" s="22"/>
      <c r="BH142" s="22"/>
      <c r="BI142" s="22"/>
      <c r="BJ142" s="22"/>
      <c r="BL142" s="22"/>
      <c r="BM142" s="22"/>
      <c r="BN142" s="22"/>
      <c r="BP142" s="22"/>
      <c r="BQ142" s="22"/>
      <c r="BR142" s="22"/>
      <c r="BT142" s="22"/>
      <c r="BU142" s="22"/>
      <c r="BV142" s="22"/>
      <c r="BX142" s="22"/>
      <c r="BY142" s="22"/>
      <c r="BZ142" s="22"/>
      <c r="CB142" s="24"/>
      <c r="CC142" s="24"/>
      <c r="CD142" s="24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6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</row>
    <row r="143" spans="1:200" s="23" customFormat="1" ht="14.25" customHeight="1">
      <c r="A143" s="20"/>
      <c r="B143" s="21"/>
      <c r="C143" s="22"/>
      <c r="D143" s="22"/>
      <c r="E143" s="22"/>
      <c r="G143" s="22"/>
      <c r="H143" s="22"/>
      <c r="I143" s="22"/>
      <c r="K143" s="22"/>
      <c r="L143" s="22"/>
      <c r="M143" s="22"/>
      <c r="O143" s="22"/>
      <c r="P143" s="22"/>
      <c r="Q143" s="22"/>
      <c r="S143" s="22"/>
      <c r="T143" s="22"/>
      <c r="U143" s="22"/>
      <c r="W143" s="22"/>
      <c r="X143" s="22"/>
      <c r="Y143" s="22"/>
      <c r="AA143" s="22"/>
      <c r="AB143" s="22"/>
      <c r="AC143" s="22"/>
      <c r="AE143" s="24"/>
      <c r="AF143" s="24"/>
      <c r="AG143" s="24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6"/>
      <c r="AW143" s="24"/>
      <c r="AX143" s="20"/>
      <c r="AY143" s="21"/>
      <c r="AZ143" s="22"/>
      <c r="BA143" s="22"/>
      <c r="BB143" s="22"/>
      <c r="BD143" s="22"/>
      <c r="BE143" s="22"/>
      <c r="BF143" s="22"/>
      <c r="BH143" s="22"/>
      <c r="BI143" s="22"/>
      <c r="BJ143" s="22"/>
      <c r="BL143" s="22"/>
      <c r="BM143" s="22"/>
      <c r="BN143" s="22"/>
      <c r="BP143" s="22"/>
      <c r="BQ143" s="22"/>
      <c r="BR143" s="22"/>
      <c r="BT143" s="22"/>
      <c r="BU143" s="22"/>
      <c r="BV143" s="22"/>
      <c r="BX143" s="22"/>
      <c r="BY143" s="22"/>
      <c r="BZ143" s="22"/>
      <c r="CB143" s="24"/>
      <c r="CC143" s="24"/>
      <c r="CD143" s="24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6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</row>
    <row r="144" spans="1:200" s="23" customFormat="1" ht="14.25" customHeight="1">
      <c r="A144" s="20"/>
      <c r="B144" s="21"/>
      <c r="C144" s="22"/>
      <c r="D144" s="22"/>
      <c r="E144" s="22"/>
      <c r="G144" s="22"/>
      <c r="H144" s="22"/>
      <c r="I144" s="22"/>
      <c r="K144" s="22"/>
      <c r="L144" s="22"/>
      <c r="M144" s="22"/>
      <c r="O144" s="22"/>
      <c r="P144" s="22"/>
      <c r="Q144" s="22"/>
      <c r="S144" s="22"/>
      <c r="T144" s="22"/>
      <c r="U144" s="22"/>
      <c r="W144" s="22"/>
      <c r="X144" s="22"/>
      <c r="Y144" s="22"/>
      <c r="AA144" s="22"/>
      <c r="AB144" s="22"/>
      <c r="AC144" s="22"/>
      <c r="AE144" s="24"/>
      <c r="AF144" s="24"/>
      <c r="AG144" s="24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6"/>
      <c r="AW144" s="24"/>
      <c r="AX144" s="20"/>
      <c r="AY144" s="21"/>
      <c r="AZ144" s="22"/>
      <c r="BA144" s="22"/>
      <c r="BB144" s="22"/>
      <c r="BD144" s="22"/>
      <c r="BE144" s="22"/>
      <c r="BF144" s="22"/>
      <c r="BH144" s="22"/>
      <c r="BI144" s="22"/>
      <c r="BJ144" s="22"/>
      <c r="BL144" s="22"/>
      <c r="BM144" s="22"/>
      <c r="BN144" s="22"/>
      <c r="BP144" s="22"/>
      <c r="BQ144" s="22"/>
      <c r="BR144" s="22"/>
      <c r="BT144" s="22"/>
      <c r="BU144" s="22"/>
      <c r="BV144" s="22"/>
      <c r="BX144" s="22"/>
      <c r="BY144" s="22"/>
      <c r="BZ144" s="22"/>
      <c r="CB144" s="24"/>
      <c r="CC144" s="24"/>
      <c r="CD144" s="24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6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</row>
    <row r="145" spans="1:200" s="23" customFormat="1" ht="14.25" customHeight="1">
      <c r="A145" s="20"/>
      <c r="B145" s="21"/>
      <c r="C145" s="22"/>
      <c r="D145" s="22"/>
      <c r="E145" s="22"/>
      <c r="G145" s="22"/>
      <c r="H145" s="22"/>
      <c r="I145" s="22"/>
      <c r="K145" s="22"/>
      <c r="L145" s="22"/>
      <c r="M145" s="22"/>
      <c r="O145" s="22"/>
      <c r="P145" s="22"/>
      <c r="Q145" s="22"/>
      <c r="S145" s="22"/>
      <c r="T145" s="22"/>
      <c r="U145" s="22"/>
      <c r="W145" s="22"/>
      <c r="X145" s="22"/>
      <c r="Y145" s="22"/>
      <c r="AA145" s="22"/>
      <c r="AB145" s="22"/>
      <c r="AC145" s="22"/>
      <c r="AE145" s="24"/>
      <c r="AF145" s="24"/>
      <c r="AG145" s="24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6"/>
      <c r="AW145" s="24"/>
      <c r="AX145" s="20"/>
      <c r="AY145" s="21"/>
      <c r="AZ145" s="22"/>
      <c r="BA145" s="22"/>
      <c r="BB145" s="22"/>
      <c r="BD145" s="22"/>
      <c r="BE145" s="22"/>
      <c r="BF145" s="22"/>
      <c r="BH145" s="22"/>
      <c r="BI145" s="22"/>
      <c r="BJ145" s="22"/>
      <c r="BL145" s="22"/>
      <c r="BM145" s="22"/>
      <c r="BN145" s="22"/>
      <c r="BP145" s="22"/>
      <c r="BQ145" s="22"/>
      <c r="BR145" s="22"/>
      <c r="BT145" s="22"/>
      <c r="BU145" s="22"/>
      <c r="BV145" s="22"/>
      <c r="BX145" s="22"/>
      <c r="BY145" s="22"/>
      <c r="BZ145" s="22"/>
      <c r="CB145" s="24"/>
      <c r="CC145" s="24"/>
      <c r="CD145" s="24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6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</row>
    <row r="146" spans="1:200" s="23" customFormat="1" ht="14.25" customHeight="1">
      <c r="A146" s="20"/>
      <c r="B146" s="21"/>
      <c r="C146" s="22"/>
      <c r="D146" s="22"/>
      <c r="E146" s="22"/>
      <c r="G146" s="22"/>
      <c r="H146" s="22"/>
      <c r="I146" s="22"/>
      <c r="K146" s="22"/>
      <c r="L146" s="22"/>
      <c r="M146" s="22"/>
      <c r="O146" s="22"/>
      <c r="P146" s="22"/>
      <c r="Q146" s="22"/>
      <c r="S146" s="22"/>
      <c r="T146" s="22"/>
      <c r="U146" s="22"/>
      <c r="W146" s="22"/>
      <c r="X146" s="22"/>
      <c r="Y146" s="22"/>
      <c r="AA146" s="22"/>
      <c r="AB146" s="22"/>
      <c r="AC146" s="22"/>
      <c r="AE146" s="24"/>
      <c r="AF146" s="24"/>
      <c r="AG146" s="24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6"/>
      <c r="AW146" s="24"/>
      <c r="AX146" s="20"/>
      <c r="AY146" s="21"/>
      <c r="AZ146" s="22"/>
      <c r="BA146" s="22"/>
      <c r="BB146" s="22"/>
      <c r="BD146" s="22"/>
      <c r="BE146" s="22"/>
      <c r="BF146" s="22"/>
      <c r="BH146" s="22"/>
      <c r="BI146" s="22"/>
      <c r="BJ146" s="22"/>
      <c r="BL146" s="22"/>
      <c r="BM146" s="22"/>
      <c r="BN146" s="22"/>
      <c r="BP146" s="22"/>
      <c r="BQ146" s="22"/>
      <c r="BR146" s="22"/>
      <c r="BT146" s="22"/>
      <c r="BU146" s="22"/>
      <c r="BV146" s="22"/>
      <c r="BX146" s="22"/>
      <c r="BY146" s="22"/>
      <c r="BZ146" s="22"/>
      <c r="CB146" s="24"/>
      <c r="CC146" s="24"/>
      <c r="CD146" s="24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6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</row>
    <row r="147" spans="1:200" s="23" customFormat="1" ht="14.25" customHeight="1">
      <c r="A147" s="20"/>
      <c r="B147" s="21"/>
      <c r="C147" s="22"/>
      <c r="D147" s="22"/>
      <c r="E147" s="22"/>
      <c r="G147" s="22"/>
      <c r="H147" s="22"/>
      <c r="I147" s="22"/>
      <c r="K147" s="22"/>
      <c r="L147" s="22"/>
      <c r="M147" s="22"/>
      <c r="O147" s="22"/>
      <c r="P147" s="22"/>
      <c r="Q147" s="22"/>
      <c r="S147" s="22"/>
      <c r="T147" s="22"/>
      <c r="U147" s="22"/>
      <c r="W147" s="22"/>
      <c r="X147" s="22"/>
      <c r="Y147" s="22"/>
      <c r="AA147" s="22"/>
      <c r="AB147" s="22"/>
      <c r="AC147" s="22"/>
      <c r="AE147" s="24"/>
      <c r="AF147" s="24"/>
      <c r="AG147" s="24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6"/>
      <c r="AW147" s="24"/>
      <c r="AX147" s="20"/>
      <c r="AY147" s="21"/>
      <c r="AZ147" s="22"/>
      <c r="BA147" s="22"/>
      <c r="BB147" s="22"/>
      <c r="BD147" s="22"/>
      <c r="BE147" s="22"/>
      <c r="BF147" s="22"/>
      <c r="BH147" s="22"/>
      <c r="BI147" s="22"/>
      <c r="BJ147" s="22"/>
      <c r="BL147" s="22"/>
      <c r="BM147" s="22"/>
      <c r="BN147" s="22"/>
      <c r="BP147" s="22"/>
      <c r="BQ147" s="22"/>
      <c r="BR147" s="22"/>
      <c r="BT147" s="22"/>
      <c r="BU147" s="22"/>
      <c r="BV147" s="22"/>
      <c r="BX147" s="22"/>
      <c r="BY147" s="22"/>
      <c r="BZ147" s="22"/>
      <c r="CB147" s="24"/>
      <c r="CC147" s="24"/>
      <c r="CD147" s="24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6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</row>
    <row r="148" spans="1:200" s="23" customFormat="1" ht="14.25" customHeight="1">
      <c r="A148" s="20"/>
      <c r="B148" s="21"/>
      <c r="C148" s="22"/>
      <c r="D148" s="22"/>
      <c r="E148" s="22"/>
      <c r="G148" s="22"/>
      <c r="H148" s="22"/>
      <c r="I148" s="22"/>
      <c r="K148" s="22"/>
      <c r="L148" s="22"/>
      <c r="M148" s="22"/>
      <c r="O148" s="22"/>
      <c r="P148" s="22"/>
      <c r="Q148" s="22"/>
      <c r="S148" s="22"/>
      <c r="T148" s="22"/>
      <c r="U148" s="22"/>
      <c r="W148" s="22"/>
      <c r="X148" s="22"/>
      <c r="Y148" s="22"/>
      <c r="AA148" s="22"/>
      <c r="AB148" s="22"/>
      <c r="AC148" s="22"/>
      <c r="AE148" s="24"/>
      <c r="AF148" s="24"/>
      <c r="AG148" s="24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6"/>
      <c r="AW148" s="24"/>
      <c r="AX148" s="20"/>
      <c r="AY148" s="21"/>
      <c r="AZ148" s="22"/>
      <c r="BA148" s="22"/>
      <c r="BB148" s="22"/>
      <c r="BD148" s="22"/>
      <c r="BE148" s="22"/>
      <c r="BF148" s="22"/>
      <c r="BH148" s="22"/>
      <c r="BI148" s="22"/>
      <c r="BJ148" s="22"/>
      <c r="BL148" s="22"/>
      <c r="BM148" s="22"/>
      <c r="BN148" s="22"/>
      <c r="BP148" s="22"/>
      <c r="BQ148" s="22"/>
      <c r="BR148" s="22"/>
      <c r="BT148" s="22"/>
      <c r="BU148" s="22"/>
      <c r="BV148" s="22"/>
      <c r="BX148" s="22"/>
      <c r="BY148" s="22"/>
      <c r="BZ148" s="22"/>
      <c r="CB148" s="24"/>
      <c r="CC148" s="24"/>
      <c r="CD148" s="24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6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</row>
    <row r="149" spans="1:200" s="23" customFormat="1" ht="14.25" customHeight="1">
      <c r="A149" s="20"/>
      <c r="B149" s="21"/>
      <c r="C149" s="22"/>
      <c r="D149" s="22"/>
      <c r="E149" s="22"/>
      <c r="G149" s="22"/>
      <c r="H149" s="22"/>
      <c r="I149" s="22"/>
      <c r="K149" s="22"/>
      <c r="L149" s="22"/>
      <c r="M149" s="22"/>
      <c r="O149" s="22"/>
      <c r="P149" s="22"/>
      <c r="Q149" s="22"/>
      <c r="S149" s="22"/>
      <c r="T149" s="22"/>
      <c r="U149" s="22"/>
      <c r="W149" s="22"/>
      <c r="X149" s="22"/>
      <c r="Y149" s="22"/>
      <c r="AA149" s="22"/>
      <c r="AB149" s="22"/>
      <c r="AC149" s="22"/>
      <c r="AE149" s="24"/>
      <c r="AF149" s="24"/>
      <c r="AG149" s="24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6"/>
      <c r="AW149" s="24"/>
      <c r="AX149" s="20"/>
      <c r="AY149" s="21"/>
      <c r="AZ149" s="22"/>
      <c r="BA149" s="22"/>
      <c r="BB149" s="22"/>
      <c r="BD149" s="22"/>
      <c r="BE149" s="22"/>
      <c r="BF149" s="22"/>
      <c r="BH149" s="22"/>
      <c r="BI149" s="22"/>
      <c r="BJ149" s="22"/>
      <c r="BL149" s="22"/>
      <c r="BM149" s="22"/>
      <c r="BN149" s="22"/>
      <c r="BP149" s="22"/>
      <c r="BQ149" s="22"/>
      <c r="BR149" s="22"/>
      <c r="BT149" s="22"/>
      <c r="BU149" s="22"/>
      <c r="BV149" s="22"/>
      <c r="BX149" s="22"/>
      <c r="BY149" s="22"/>
      <c r="BZ149" s="22"/>
      <c r="CB149" s="24"/>
      <c r="CC149" s="24"/>
      <c r="CD149" s="24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6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</row>
    <row r="150" spans="1:200" s="23" customFormat="1" ht="14.25" customHeight="1">
      <c r="A150" s="20"/>
      <c r="B150" s="21"/>
      <c r="C150" s="22"/>
      <c r="D150" s="22"/>
      <c r="E150" s="22"/>
      <c r="G150" s="22"/>
      <c r="H150" s="22"/>
      <c r="I150" s="22"/>
      <c r="K150" s="22"/>
      <c r="L150" s="22"/>
      <c r="M150" s="22"/>
      <c r="O150" s="22"/>
      <c r="P150" s="22"/>
      <c r="Q150" s="22"/>
      <c r="S150" s="22"/>
      <c r="T150" s="22"/>
      <c r="U150" s="22"/>
      <c r="W150" s="22"/>
      <c r="X150" s="22"/>
      <c r="Y150" s="22"/>
      <c r="AA150" s="22"/>
      <c r="AB150" s="22"/>
      <c r="AC150" s="22"/>
      <c r="AE150" s="24"/>
      <c r="AF150" s="24"/>
      <c r="AG150" s="24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6"/>
      <c r="AW150" s="24"/>
      <c r="AX150" s="20"/>
      <c r="AY150" s="21"/>
      <c r="AZ150" s="22"/>
      <c r="BA150" s="22"/>
      <c r="BB150" s="22"/>
      <c r="BD150" s="22"/>
      <c r="BE150" s="22"/>
      <c r="BF150" s="22"/>
      <c r="BH150" s="22"/>
      <c r="BI150" s="22"/>
      <c r="BJ150" s="22"/>
      <c r="BL150" s="22"/>
      <c r="BM150" s="22"/>
      <c r="BN150" s="22"/>
      <c r="BP150" s="22"/>
      <c r="BQ150" s="22"/>
      <c r="BR150" s="22"/>
      <c r="BT150" s="22"/>
      <c r="BU150" s="22"/>
      <c r="BV150" s="22"/>
      <c r="BX150" s="22"/>
      <c r="BY150" s="22"/>
      <c r="BZ150" s="22"/>
      <c r="CB150" s="24"/>
      <c r="CC150" s="24"/>
      <c r="CD150" s="24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6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</row>
    <row r="151" spans="1:200" s="23" customFormat="1" ht="14.25" customHeight="1">
      <c r="A151" s="20"/>
      <c r="B151" s="21"/>
      <c r="C151" s="22"/>
      <c r="D151" s="22"/>
      <c r="E151" s="22"/>
      <c r="G151" s="22"/>
      <c r="H151" s="22"/>
      <c r="I151" s="22"/>
      <c r="K151" s="22"/>
      <c r="L151" s="22"/>
      <c r="M151" s="22"/>
      <c r="O151" s="22"/>
      <c r="P151" s="22"/>
      <c r="Q151" s="22"/>
      <c r="S151" s="22"/>
      <c r="T151" s="22"/>
      <c r="U151" s="22"/>
      <c r="W151" s="22"/>
      <c r="X151" s="22"/>
      <c r="Y151" s="22"/>
      <c r="AA151" s="22"/>
      <c r="AB151" s="22"/>
      <c r="AC151" s="22"/>
      <c r="AE151" s="24"/>
      <c r="AF151" s="24"/>
      <c r="AG151" s="24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6"/>
      <c r="AW151" s="24"/>
      <c r="AX151" s="20"/>
      <c r="AY151" s="21"/>
      <c r="AZ151" s="22"/>
      <c r="BA151" s="22"/>
      <c r="BB151" s="22"/>
      <c r="BD151" s="22"/>
      <c r="BE151" s="22"/>
      <c r="BF151" s="22"/>
      <c r="BH151" s="22"/>
      <c r="BI151" s="22"/>
      <c r="BJ151" s="22"/>
      <c r="BL151" s="22"/>
      <c r="BM151" s="22"/>
      <c r="BN151" s="22"/>
      <c r="BP151" s="22"/>
      <c r="BQ151" s="22"/>
      <c r="BR151" s="22"/>
      <c r="BT151" s="22"/>
      <c r="BU151" s="22"/>
      <c r="BV151" s="22"/>
      <c r="BX151" s="22"/>
      <c r="BY151" s="22"/>
      <c r="BZ151" s="22"/>
      <c r="CB151" s="24"/>
      <c r="CC151" s="24"/>
      <c r="CD151" s="24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6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</row>
    <row r="152" spans="1:200" s="23" customFormat="1" ht="14.25" customHeight="1">
      <c r="A152" s="20"/>
      <c r="B152" s="21"/>
      <c r="C152" s="22"/>
      <c r="D152" s="22"/>
      <c r="E152" s="22"/>
      <c r="G152" s="22"/>
      <c r="H152" s="22"/>
      <c r="I152" s="22"/>
      <c r="K152" s="22"/>
      <c r="L152" s="22"/>
      <c r="M152" s="22"/>
      <c r="O152" s="22"/>
      <c r="P152" s="22"/>
      <c r="Q152" s="22"/>
      <c r="S152" s="22"/>
      <c r="T152" s="22"/>
      <c r="U152" s="22"/>
      <c r="W152" s="22"/>
      <c r="X152" s="22"/>
      <c r="Y152" s="22"/>
      <c r="AA152" s="22"/>
      <c r="AB152" s="22"/>
      <c r="AC152" s="22"/>
      <c r="AE152" s="24"/>
      <c r="AF152" s="24"/>
      <c r="AG152" s="24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6"/>
      <c r="AW152" s="24"/>
      <c r="AX152" s="20"/>
      <c r="AY152" s="21"/>
      <c r="AZ152" s="22"/>
      <c r="BA152" s="22"/>
      <c r="BB152" s="22"/>
      <c r="BD152" s="22"/>
      <c r="BE152" s="22"/>
      <c r="BF152" s="22"/>
      <c r="BH152" s="22"/>
      <c r="BI152" s="22"/>
      <c r="BJ152" s="22"/>
      <c r="BL152" s="22"/>
      <c r="BM152" s="22"/>
      <c r="BN152" s="22"/>
      <c r="BP152" s="22"/>
      <c r="BQ152" s="22"/>
      <c r="BR152" s="22"/>
      <c r="BT152" s="22"/>
      <c r="BU152" s="22"/>
      <c r="BV152" s="22"/>
      <c r="BX152" s="22"/>
      <c r="BY152" s="22"/>
      <c r="BZ152" s="22"/>
      <c r="CB152" s="24"/>
      <c r="CC152" s="24"/>
      <c r="CD152" s="24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6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</row>
    <row r="153" spans="1:200" s="23" customFormat="1" ht="14.25" customHeight="1">
      <c r="A153" s="20"/>
      <c r="B153" s="21"/>
      <c r="C153" s="22"/>
      <c r="D153" s="22"/>
      <c r="E153" s="22"/>
      <c r="G153" s="22"/>
      <c r="H153" s="22"/>
      <c r="I153" s="22"/>
      <c r="K153" s="22"/>
      <c r="L153" s="22"/>
      <c r="M153" s="22"/>
      <c r="O153" s="22"/>
      <c r="P153" s="22"/>
      <c r="Q153" s="22"/>
      <c r="S153" s="22"/>
      <c r="T153" s="22"/>
      <c r="U153" s="22"/>
      <c r="W153" s="22"/>
      <c r="X153" s="22"/>
      <c r="Y153" s="22"/>
      <c r="AA153" s="22"/>
      <c r="AB153" s="22"/>
      <c r="AC153" s="22"/>
      <c r="AE153" s="24"/>
      <c r="AF153" s="24"/>
      <c r="AG153" s="24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6"/>
      <c r="AW153" s="24"/>
      <c r="AX153" s="20"/>
      <c r="AY153" s="21"/>
      <c r="AZ153" s="22"/>
      <c r="BA153" s="22"/>
      <c r="BB153" s="22"/>
      <c r="BD153" s="22"/>
      <c r="BE153" s="22"/>
      <c r="BF153" s="22"/>
      <c r="BH153" s="22"/>
      <c r="BI153" s="22"/>
      <c r="BJ153" s="22"/>
      <c r="BL153" s="22"/>
      <c r="BM153" s="22"/>
      <c r="BN153" s="22"/>
      <c r="BP153" s="22"/>
      <c r="BQ153" s="22"/>
      <c r="BR153" s="22"/>
      <c r="BT153" s="22"/>
      <c r="BU153" s="22"/>
      <c r="BV153" s="22"/>
      <c r="BX153" s="22"/>
      <c r="BY153" s="22"/>
      <c r="BZ153" s="22"/>
      <c r="CB153" s="24"/>
      <c r="CC153" s="24"/>
      <c r="CD153" s="24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6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</row>
    <row r="154" spans="1:200" s="23" customFormat="1" ht="14.25" customHeight="1">
      <c r="A154" s="20"/>
      <c r="B154" s="21"/>
      <c r="C154" s="22"/>
      <c r="D154" s="22"/>
      <c r="E154" s="22"/>
      <c r="G154" s="22"/>
      <c r="H154" s="22"/>
      <c r="I154" s="22"/>
      <c r="K154" s="22"/>
      <c r="L154" s="22"/>
      <c r="M154" s="22"/>
      <c r="O154" s="22"/>
      <c r="P154" s="22"/>
      <c r="Q154" s="22"/>
      <c r="S154" s="22"/>
      <c r="T154" s="22"/>
      <c r="U154" s="22"/>
      <c r="W154" s="22"/>
      <c r="X154" s="22"/>
      <c r="Y154" s="22"/>
      <c r="AA154" s="22"/>
      <c r="AB154" s="22"/>
      <c r="AC154" s="22"/>
      <c r="AE154" s="24"/>
      <c r="AF154" s="24"/>
      <c r="AG154" s="24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6"/>
      <c r="AW154" s="24"/>
      <c r="AX154" s="20"/>
      <c r="AY154" s="21"/>
      <c r="AZ154" s="22"/>
      <c r="BA154" s="22"/>
      <c r="BB154" s="22"/>
      <c r="BD154" s="22"/>
      <c r="BE154" s="22"/>
      <c r="BF154" s="22"/>
      <c r="BH154" s="22"/>
      <c r="BI154" s="22"/>
      <c r="BJ154" s="22"/>
      <c r="BL154" s="22"/>
      <c r="BM154" s="22"/>
      <c r="BN154" s="22"/>
      <c r="BP154" s="22"/>
      <c r="BQ154" s="22"/>
      <c r="BR154" s="22"/>
      <c r="BT154" s="22"/>
      <c r="BU154" s="22"/>
      <c r="BV154" s="22"/>
      <c r="BX154" s="22"/>
      <c r="BY154" s="22"/>
      <c r="BZ154" s="22"/>
      <c r="CB154" s="24"/>
      <c r="CC154" s="24"/>
      <c r="CD154" s="24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6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</row>
    <row r="155" spans="1:200" s="23" customFormat="1" ht="14.25" customHeight="1">
      <c r="A155" s="20"/>
      <c r="B155" s="21"/>
      <c r="C155" s="22"/>
      <c r="D155" s="22"/>
      <c r="E155" s="22"/>
      <c r="G155" s="22"/>
      <c r="H155" s="22"/>
      <c r="I155" s="22"/>
      <c r="K155" s="22"/>
      <c r="L155" s="22"/>
      <c r="M155" s="22"/>
      <c r="O155" s="22"/>
      <c r="P155" s="22"/>
      <c r="Q155" s="22"/>
      <c r="S155" s="22"/>
      <c r="T155" s="22"/>
      <c r="U155" s="22"/>
      <c r="W155" s="22"/>
      <c r="X155" s="22"/>
      <c r="Y155" s="22"/>
      <c r="AA155" s="22"/>
      <c r="AB155" s="22"/>
      <c r="AC155" s="22"/>
      <c r="AE155" s="24"/>
      <c r="AF155" s="24"/>
      <c r="AG155" s="24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6"/>
      <c r="AW155" s="24"/>
      <c r="AX155" s="20"/>
      <c r="AY155" s="21"/>
      <c r="AZ155" s="22"/>
      <c r="BA155" s="22"/>
      <c r="BB155" s="22"/>
      <c r="BD155" s="22"/>
      <c r="BE155" s="22"/>
      <c r="BF155" s="22"/>
      <c r="BH155" s="22"/>
      <c r="BI155" s="22"/>
      <c r="BJ155" s="22"/>
      <c r="BL155" s="22"/>
      <c r="BM155" s="22"/>
      <c r="BN155" s="22"/>
      <c r="BP155" s="22"/>
      <c r="BQ155" s="22"/>
      <c r="BR155" s="22"/>
      <c r="BT155" s="22"/>
      <c r="BU155" s="22"/>
      <c r="BV155" s="22"/>
      <c r="BX155" s="22"/>
      <c r="BY155" s="22"/>
      <c r="BZ155" s="22"/>
      <c r="CB155" s="24"/>
      <c r="CC155" s="24"/>
      <c r="CD155" s="24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6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</row>
    <row r="156" spans="1:200" s="23" customFormat="1" ht="14.25" customHeight="1">
      <c r="A156" s="20"/>
      <c r="B156" s="21"/>
      <c r="C156" s="22"/>
      <c r="D156" s="22"/>
      <c r="E156" s="22"/>
      <c r="G156" s="22"/>
      <c r="H156" s="22"/>
      <c r="I156" s="22"/>
      <c r="K156" s="22"/>
      <c r="L156" s="22"/>
      <c r="M156" s="22"/>
      <c r="O156" s="22"/>
      <c r="P156" s="22"/>
      <c r="Q156" s="22"/>
      <c r="S156" s="22"/>
      <c r="T156" s="22"/>
      <c r="U156" s="22"/>
      <c r="W156" s="22"/>
      <c r="X156" s="22"/>
      <c r="Y156" s="22"/>
      <c r="AA156" s="22"/>
      <c r="AB156" s="22"/>
      <c r="AC156" s="22"/>
      <c r="AE156" s="24"/>
      <c r="AF156" s="24"/>
      <c r="AG156" s="24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6"/>
      <c r="AW156" s="24"/>
      <c r="AX156" s="20"/>
      <c r="AY156" s="21"/>
      <c r="AZ156" s="22"/>
      <c r="BA156" s="22"/>
      <c r="BB156" s="22"/>
      <c r="BD156" s="22"/>
      <c r="BE156" s="22"/>
      <c r="BF156" s="22"/>
      <c r="BH156" s="22"/>
      <c r="BI156" s="22"/>
      <c r="BJ156" s="22"/>
      <c r="BL156" s="22"/>
      <c r="BM156" s="22"/>
      <c r="BN156" s="22"/>
      <c r="BP156" s="22"/>
      <c r="BQ156" s="22"/>
      <c r="BR156" s="22"/>
      <c r="BT156" s="22"/>
      <c r="BU156" s="22"/>
      <c r="BV156" s="22"/>
      <c r="BX156" s="22"/>
      <c r="BY156" s="22"/>
      <c r="BZ156" s="22"/>
      <c r="CB156" s="24"/>
      <c r="CC156" s="24"/>
      <c r="CD156" s="24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6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</row>
    <row r="157" spans="1:200" s="23" customFormat="1" ht="14.25" customHeight="1">
      <c r="A157" s="20"/>
      <c r="B157" s="21"/>
      <c r="C157" s="22"/>
      <c r="D157" s="22"/>
      <c r="E157" s="22"/>
      <c r="G157" s="22"/>
      <c r="H157" s="22"/>
      <c r="I157" s="22"/>
      <c r="K157" s="22"/>
      <c r="L157" s="22"/>
      <c r="M157" s="22"/>
      <c r="O157" s="22"/>
      <c r="P157" s="22"/>
      <c r="Q157" s="22"/>
      <c r="S157" s="22"/>
      <c r="T157" s="22"/>
      <c r="U157" s="22"/>
      <c r="W157" s="22"/>
      <c r="X157" s="22"/>
      <c r="Y157" s="22"/>
      <c r="AA157" s="22"/>
      <c r="AB157" s="22"/>
      <c r="AC157" s="22"/>
      <c r="AE157" s="24"/>
      <c r="AF157" s="24"/>
      <c r="AG157" s="24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6"/>
      <c r="AW157" s="24"/>
      <c r="AX157" s="20"/>
      <c r="AY157" s="21"/>
      <c r="AZ157" s="22"/>
      <c r="BA157" s="22"/>
      <c r="BB157" s="22"/>
      <c r="BD157" s="22"/>
      <c r="BE157" s="22"/>
      <c r="BF157" s="22"/>
      <c r="BH157" s="22"/>
      <c r="BI157" s="22"/>
      <c r="BJ157" s="22"/>
      <c r="BL157" s="22"/>
      <c r="BM157" s="22"/>
      <c r="BN157" s="22"/>
      <c r="BP157" s="22"/>
      <c r="BQ157" s="22"/>
      <c r="BR157" s="22"/>
      <c r="BT157" s="22"/>
      <c r="BU157" s="22"/>
      <c r="BV157" s="22"/>
      <c r="BX157" s="22"/>
      <c r="BY157" s="22"/>
      <c r="BZ157" s="22"/>
      <c r="CB157" s="24"/>
      <c r="CC157" s="24"/>
      <c r="CD157" s="24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6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</row>
    <row r="158" spans="1:200" s="23" customFormat="1" ht="14.25" customHeight="1">
      <c r="A158" s="20"/>
      <c r="B158" s="21"/>
      <c r="C158" s="22"/>
      <c r="D158" s="22"/>
      <c r="E158" s="22"/>
      <c r="G158" s="22"/>
      <c r="H158" s="22"/>
      <c r="I158" s="22"/>
      <c r="K158" s="22"/>
      <c r="L158" s="22"/>
      <c r="M158" s="22"/>
      <c r="O158" s="22"/>
      <c r="P158" s="22"/>
      <c r="Q158" s="22"/>
      <c r="S158" s="22"/>
      <c r="T158" s="22"/>
      <c r="U158" s="22"/>
      <c r="W158" s="22"/>
      <c r="X158" s="22"/>
      <c r="Y158" s="22"/>
      <c r="AA158" s="22"/>
      <c r="AB158" s="22"/>
      <c r="AC158" s="22"/>
      <c r="AE158" s="24"/>
      <c r="AF158" s="24"/>
      <c r="AG158" s="24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6"/>
      <c r="AW158" s="24"/>
      <c r="AX158" s="20"/>
      <c r="AY158" s="21"/>
      <c r="AZ158" s="22"/>
      <c r="BA158" s="22"/>
      <c r="BB158" s="22"/>
      <c r="BD158" s="22"/>
      <c r="BE158" s="22"/>
      <c r="BF158" s="22"/>
      <c r="BH158" s="22"/>
      <c r="BI158" s="22"/>
      <c r="BJ158" s="22"/>
      <c r="BL158" s="22"/>
      <c r="BM158" s="22"/>
      <c r="BN158" s="22"/>
      <c r="BP158" s="22"/>
      <c r="BQ158" s="22"/>
      <c r="BR158" s="22"/>
      <c r="BT158" s="22"/>
      <c r="BU158" s="22"/>
      <c r="BV158" s="22"/>
      <c r="BX158" s="22"/>
      <c r="BY158" s="22"/>
      <c r="BZ158" s="22"/>
      <c r="CB158" s="24"/>
      <c r="CC158" s="24"/>
      <c r="CD158" s="24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6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</row>
    <row r="159" spans="1:200" s="23" customFormat="1" ht="14.25" customHeight="1">
      <c r="A159" s="20"/>
      <c r="B159" s="21"/>
      <c r="C159" s="22"/>
      <c r="D159" s="22"/>
      <c r="E159" s="22"/>
      <c r="G159" s="22"/>
      <c r="H159" s="22"/>
      <c r="I159" s="22"/>
      <c r="K159" s="22"/>
      <c r="L159" s="22"/>
      <c r="M159" s="22"/>
      <c r="O159" s="22"/>
      <c r="P159" s="22"/>
      <c r="Q159" s="22"/>
      <c r="S159" s="22"/>
      <c r="T159" s="22"/>
      <c r="U159" s="22"/>
      <c r="W159" s="22"/>
      <c r="X159" s="22"/>
      <c r="Y159" s="22"/>
      <c r="AA159" s="22"/>
      <c r="AB159" s="22"/>
      <c r="AC159" s="22"/>
      <c r="AE159" s="24"/>
      <c r="AF159" s="24"/>
      <c r="AG159" s="24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6"/>
      <c r="AW159" s="24"/>
      <c r="AX159" s="20"/>
      <c r="AY159" s="21"/>
      <c r="AZ159" s="22"/>
      <c r="BA159" s="22"/>
      <c r="BB159" s="22"/>
      <c r="BD159" s="22"/>
      <c r="BE159" s="22"/>
      <c r="BF159" s="22"/>
      <c r="BH159" s="22"/>
      <c r="BI159" s="22"/>
      <c r="BJ159" s="22"/>
      <c r="BL159" s="22"/>
      <c r="BM159" s="22"/>
      <c r="BN159" s="22"/>
      <c r="BP159" s="22"/>
      <c r="BQ159" s="22"/>
      <c r="BR159" s="22"/>
      <c r="BT159" s="22"/>
      <c r="BU159" s="22"/>
      <c r="BV159" s="22"/>
      <c r="BX159" s="22"/>
      <c r="BY159" s="22"/>
      <c r="BZ159" s="22"/>
      <c r="CB159" s="24"/>
      <c r="CC159" s="24"/>
      <c r="CD159" s="24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6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  <c r="EZ159" s="24"/>
      <c r="FA159" s="24"/>
      <c r="FB159" s="24"/>
      <c r="FC159" s="24"/>
      <c r="FD159" s="24"/>
      <c r="FE159" s="24"/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</row>
    <row r="160" spans="1:200" s="23" customFormat="1" ht="14.25" customHeight="1">
      <c r="A160" s="20"/>
      <c r="B160" s="21"/>
      <c r="C160" s="22"/>
      <c r="D160" s="22"/>
      <c r="E160" s="22"/>
      <c r="G160" s="22"/>
      <c r="H160" s="22"/>
      <c r="I160" s="22"/>
      <c r="K160" s="22"/>
      <c r="L160" s="22"/>
      <c r="M160" s="22"/>
      <c r="O160" s="22"/>
      <c r="P160" s="22"/>
      <c r="Q160" s="22"/>
      <c r="S160" s="22"/>
      <c r="T160" s="22"/>
      <c r="U160" s="22"/>
      <c r="W160" s="22"/>
      <c r="X160" s="22"/>
      <c r="Y160" s="22"/>
      <c r="AA160" s="22"/>
      <c r="AB160" s="22"/>
      <c r="AC160" s="22"/>
      <c r="AE160" s="24"/>
      <c r="AF160" s="24"/>
      <c r="AG160" s="24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6"/>
      <c r="AW160" s="24"/>
      <c r="AX160" s="20"/>
      <c r="AY160" s="21"/>
      <c r="AZ160" s="22"/>
      <c r="BA160" s="22"/>
      <c r="BB160" s="22"/>
      <c r="BD160" s="22"/>
      <c r="BE160" s="22"/>
      <c r="BF160" s="22"/>
      <c r="BH160" s="22"/>
      <c r="BI160" s="22"/>
      <c r="BJ160" s="22"/>
      <c r="BL160" s="22"/>
      <c r="BM160" s="22"/>
      <c r="BN160" s="22"/>
      <c r="BP160" s="22"/>
      <c r="BQ160" s="22"/>
      <c r="BR160" s="22"/>
      <c r="BT160" s="22"/>
      <c r="BU160" s="22"/>
      <c r="BV160" s="22"/>
      <c r="BX160" s="22"/>
      <c r="BY160" s="22"/>
      <c r="BZ160" s="22"/>
      <c r="CB160" s="24"/>
      <c r="CC160" s="24"/>
      <c r="CD160" s="24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6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</row>
    <row r="161" spans="1:200" s="23" customFormat="1" ht="14.25" customHeight="1">
      <c r="A161" s="20"/>
      <c r="B161" s="21"/>
      <c r="C161" s="22"/>
      <c r="D161" s="22"/>
      <c r="E161" s="22"/>
      <c r="G161" s="22"/>
      <c r="H161" s="22"/>
      <c r="I161" s="22"/>
      <c r="K161" s="22"/>
      <c r="L161" s="22"/>
      <c r="M161" s="22"/>
      <c r="O161" s="22"/>
      <c r="P161" s="22"/>
      <c r="Q161" s="22"/>
      <c r="S161" s="22"/>
      <c r="T161" s="22"/>
      <c r="U161" s="22"/>
      <c r="W161" s="22"/>
      <c r="X161" s="22"/>
      <c r="Y161" s="22"/>
      <c r="AA161" s="22"/>
      <c r="AB161" s="22"/>
      <c r="AC161" s="22"/>
      <c r="AE161" s="24"/>
      <c r="AF161" s="24"/>
      <c r="AG161" s="24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6"/>
      <c r="AW161" s="24"/>
      <c r="AX161" s="20"/>
      <c r="AY161" s="21"/>
      <c r="AZ161" s="22"/>
      <c r="BA161" s="22"/>
      <c r="BB161" s="22"/>
      <c r="BD161" s="22"/>
      <c r="BE161" s="22"/>
      <c r="BF161" s="22"/>
      <c r="BH161" s="22"/>
      <c r="BI161" s="22"/>
      <c r="BJ161" s="22"/>
      <c r="BL161" s="22"/>
      <c r="BM161" s="22"/>
      <c r="BN161" s="22"/>
      <c r="BP161" s="22"/>
      <c r="BQ161" s="22"/>
      <c r="BR161" s="22"/>
      <c r="BT161" s="22"/>
      <c r="BU161" s="22"/>
      <c r="BV161" s="22"/>
      <c r="BX161" s="22"/>
      <c r="BY161" s="22"/>
      <c r="BZ161" s="22"/>
      <c r="CB161" s="24"/>
      <c r="CC161" s="24"/>
      <c r="CD161" s="24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6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</row>
    <row r="162" spans="1:200" s="23" customFormat="1" ht="14.25" customHeight="1">
      <c r="A162" s="20"/>
      <c r="B162" s="21"/>
      <c r="C162" s="22"/>
      <c r="D162" s="22"/>
      <c r="E162" s="22"/>
      <c r="G162" s="22"/>
      <c r="H162" s="22"/>
      <c r="I162" s="22"/>
      <c r="K162" s="22"/>
      <c r="L162" s="22"/>
      <c r="M162" s="22"/>
      <c r="O162" s="22"/>
      <c r="P162" s="22"/>
      <c r="Q162" s="22"/>
      <c r="S162" s="22"/>
      <c r="T162" s="22"/>
      <c r="U162" s="22"/>
      <c r="W162" s="22"/>
      <c r="X162" s="22"/>
      <c r="Y162" s="22"/>
      <c r="AA162" s="22"/>
      <c r="AB162" s="22"/>
      <c r="AC162" s="22"/>
      <c r="AE162" s="24"/>
      <c r="AF162" s="24"/>
      <c r="AG162" s="24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6"/>
      <c r="AW162" s="24"/>
      <c r="AX162" s="20"/>
      <c r="AY162" s="21"/>
      <c r="AZ162" s="22"/>
      <c r="BA162" s="22"/>
      <c r="BB162" s="22"/>
      <c r="BD162" s="22"/>
      <c r="BE162" s="22"/>
      <c r="BF162" s="22"/>
      <c r="BH162" s="22"/>
      <c r="BI162" s="22"/>
      <c r="BJ162" s="22"/>
      <c r="BL162" s="22"/>
      <c r="BM162" s="22"/>
      <c r="BN162" s="22"/>
      <c r="BP162" s="22"/>
      <c r="BQ162" s="22"/>
      <c r="BR162" s="22"/>
      <c r="BT162" s="22"/>
      <c r="BU162" s="22"/>
      <c r="BV162" s="22"/>
      <c r="BX162" s="22"/>
      <c r="BY162" s="22"/>
      <c r="BZ162" s="22"/>
      <c r="CB162" s="24"/>
      <c r="CC162" s="24"/>
      <c r="CD162" s="24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6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</row>
    <row r="163" spans="1:200" s="23" customFormat="1" ht="14.25" customHeight="1">
      <c r="A163" s="20"/>
      <c r="B163" s="21"/>
      <c r="C163" s="22"/>
      <c r="D163" s="22"/>
      <c r="E163" s="22"/>
      <c r="G163" s="22"/>
      <c r="H163" s="22"/>
      <c r="I163" s="22"/>
      <c r="K163" s="22"/>
      <c r="L163" s="22"/>
      <c r="M163" s="22"/>
      <c r="O163" s="22"/>
      <c r="P163" s="22"/>
      <c r="Q163" s="22"/>
      <c r="S163" s="22"/>
      <c r="T163" s="22"/>
      <c r="U163" s="22"/>
      <c r="W163" s="22"/>
      <c r="X163" s="22"/>
      <c r="Y163" s="22"/>
      <c r="AA163" s="22"/>
      <c r="AB163" s="22"/>
      <c r="AC163" s="22"/>
      <c r="AE163" s="24"/>
      <c r="AF163" s="24"/>
      <c r="AG163" s="24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6"/>
      <c r="AW163" s="24"/>
      <c r="AX163" s="20"/>
      <c r="AY163" s="21"/>
      <c r="AZ163" s="22"/>
      <c r="BA163" s="22"/>
      <c r="BB163" s="22"/>
      <c r="BD163" s="22"/>
      <c r="BE163" s="22"/>
      <c r="BF163" s="22"/>
      <c r="BH163" s="22"/>
      <c r="BI163" s="22"/>
      <c r="BJ163" s="22"/>
      <c r="BL163" s="22"/>
      <c r="BM163" s="22"/>
      <c r="BN163" s="22"/>
      <c r="BP163" s="22"/>
      <c r="BQ163" s="22"/>
      <c r="BR163" s="22"/>
      <c r="BT163" s="22"/>
      <c r="BU163" s="22"/>
      <c r="BV163" s="22"/>
      <c r="BX163" s="22"/>
      <c r="BY163" s="22"/>
      <c r="BZ163" s="22"/>
      <c r="CB163" s="24"/>
      <c r="CC163" s="24"/>
      <c r="CD163" s="24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6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</row>
    <row r="164" spans="1:200" s="23" customFormat="1" ht="14.25" customHeight="1">
      <c r="A164" s="20"/>
      <c r="B164" s="21"/>
      <c r="C164" s="22"/>
      <c r="D164" s="22"/>
      <c r="E164" s="22"/>
      <c r="G164" s="22"/>
      <c r="H164" s="22"/>
      <c r="I164" s="22"/>
      <c r="K164" s="22"/>
      <c r="L164" s="22"/>
      <c r="M164" s="22"/>
      <c r="O164" s="22"/>
      <c r="P164" s="22"/>
      <c r="Q164" s="22"/>
      <c r="S164" s="22"/>
      <c r="T164" s="22"/>
      <c r="U164" s="22"/>
      <c r="W164" s="22"/>
      <c r="X164" s="22"/>
      <c r="Y164" s="22"/>
      <c r="AA164" s="22"/>
      <c r="AB164" s="22"/>
      <c r="AC164" s="22"/>
      <c r="AE164" s="24"/>
      <c r="AF164" s="24"/>
      <c r="AG164" s="24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6"/>
      <c r="AW164" s="24"/>
      <c r="AX164" s="20"/>
      <c r="AY164" s="21"/>
      <c r="AZ164" s="22"/>
      <c r="BA164" s="22"/>
      <c r="BB164" s="22"/>
      <c r="BD164" s="22"/>
      <c r="BE164" s="22"/>
      <c r="BF164" s="22"/>
      <c r="BH164" s="22"/>
      <c r="BI164" s="22"/>
      <c r="BJ164" s="22"/>
      <c r="BL164" s="22"/>
      <c r="BM164" s="22"/>
      <c r="BN164" s="22"/>
      <c r="BP164" s="22"/>
      <c r="BQ164" s="22"/>
      <c r="BR164" s="22"/>
      <c r="BT164" s="22"/>
      <c r="BU164" s="22"/>
      <c r="BV164" s="22"/>
      <c r="BX164" s="22"/>
      <c r="BY164" s="22"/>
      <c r="BZ164" s="22"/>
      <c r="CB164" s="24"/>
      <c r="CC164" s="24"/>
      <c r="CD164" s="24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6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</row>
    <row r="165" spans="1:200" s="23" customFormat="1" ht="14.25" customHeight="1">
      <c r="A165" s="20"/>
      <c r="B165" s="21"/>
      <c r="C165" s="22"/>
      <c r="D165" s="22"/>
      <c r="E165" s="22"/>
      <c r="G165" s="22"/>
      <c r="H165" s="22"/>
      <c r="I165" s="22"/>
      <c r="K165" s="22"/>
      <c r="L165" s="22"/>
      <c r="M165" s="22"/>
      <c r="O165" s="22"/>
      <c r="P165" s="22"/>
      <c r="Q165" s="22"/>
      <c r="S165" s="22"/>
      <c r="T165" s="22"/>
      <c r="U165" s="22"/>
      <c r="W165" s="22"/>
      <c r="X165" s="22"/>
      <c r="Y165" s="22"/>
      <c r="AA165" s="22"/>
      <c r="AB165" s="22"/>
      <c r="AC165" s="22"/>
      <c r="AE165" s="24"/>
      <c r="AF165" s="24"/>
      <c r="AG165" s="24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6"/>
      <c r="AW165" s="24"/>
      <c r="AX165" s="20"/>
      <c r="AY165" s="21"/>
      <c r="AZ165" s="22"/>
      <c r="BA165" s="22"/>
      <c r="BB165" s="22"/>
      <c r="BD165" s="22"/>
      <c r="BE165" s="22"/>
      <c r="BF165" s="22"/>
      <c r="BH165" s="22"/>
      <c r="BI165" s="22"/>
      <c r="BJ165" s="22"/>
      <c r="BL165" s="22"/>
      <c r="BM165" s="22"/>
      <c r="BN165" s="22"/>
      <c r="BP165" s="22"/>
      <c r="BQ165" s="22"/>
      <c r="BR165" s="22"/>
      <c r="BT165" s="22"/>
      <c r="BU165" s="22"/>
      <c r="BV165" s="22"/>
      <c r="BX165" s="22"/>
      <c r="BY165" s="22"/>
      <c r="BZ165" s="22"/>
      <c r="CB165" s="24"/>
      <c r="CC165" s="24"/>
      <c r="CD165" s="24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6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</row>
    <row r="166" spans="1:200" s="23" customFormat="1" ht="14.25" customHeight="1">
      <c r="A166" s="20"/>
      <c r="B166" s="21"/>
      <c r="C166" s="22"/>
      <c r="D166" s="22"/>
      <c r="E166" s="22"/>
      <c r="G166" s="22"/>
      <c r="H166" s="22"/>
      <c r="I166" s="22"/>
      <c r="K166" s="22"/>
      <c r="L166" s="22"/>
      <c r="M166" s="22"/>
      <c r="O166" s="22"/>
      <c r="P166" s="22"/>
      <c r="Q166" s="22"/>
      <c r="S166" s="22"/>
      <c r="T166" s="22"/>
      <c r="U166" s="22"/>
      <c r="W166" s="22"/>
      <c r="X166" s="22"/>
      <c r="Y166" s="22"/>
      <c r="AA166" s="22"/>
      <c r="AB166" s="22"/>
      <c r="AC166" s="22"/>
      <c r="AE166" s="24"/>
      <c r="AF166" s="24"/>
      <c r="AG166" s="24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6"/>
      <c r="AW166" s="24"/>
      <c r="AX166" s="20"/>
      <c r="AY166" s="21"/>
      <c r="AZ166" s="22"/>
      <c r="BA166" s="22"/>
      <c r="BB166" s="22"/>
      <c r="BD166" s="22"/>
      <c r="BE166" s="22"/>
      <c r="BF166" s="22"/>
      <c r="BH166" s="22"/>
      <c r="BI166" s="22"/>
      <c r="BJ166" s="22"/>
      <c r="BL166" s="22"/>
      <c r="BM166" s="22"/>
      <c r="BN166" s="22"/>
      <c r="BP166" s="22"/>
      <c r="BQ166" s="22"/>
      <c r="BR166" s="22"/>
      <c r="BT166" s="22"/>
      <c r="BU166" s="22"/>
      <c r="BV166" s="22"/>
      <c r="BX166" s="22"/>
      <c r="BY166" s="22"/>
      <c r="BZ166" s="22"/>
      <c r="CB166" s="24"/>
      <c r="CC166" s="24"/>
      <c r="CD166" s="24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6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</row>
    <row r="167" spans="1:200" s="23" customFormat="1" ht="14.25" customHeight="1">
      <c r="A167" s="20"/>
      <c r="B167" s="21"/>
      <c r="C167" s="22"/>
      <c r="D167" s="22"/>
      <c r="E167" s="22"/>
      <c r="G167" s="22"/>
      <c r="H167" s="22"/>
      <c r="I167" s="22"/>
      <c r="K167" s="22"/>
      <c r="L167" s="22"/>
      <c r="M167" s="22"/>
      <c r="O167" s="22"/>
      <c r="P167" s="22"/>
      <c r="Q167" s="22"/>
      <c r="S167" s="22"/>
      <c r="T167" s="22"/>
      <c r="U167" s="22"/>
      <c r="W167" s="22"/>
      <c r="X167" s="22"/>
      <c r="Y167" s="22"/>
      <c r="AA167" s="22"/>
      <c r="AB167" s="22"/>
      <c r="AC167" s="22"/>
      <c r="AE167" s="24"/>
      <c r="AF167" s="24"/>
      <c r="AG167" s="24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6"/>
      <c r="AW167" s="24"/>
      <c r="AX167" s="20"/>
      <c r="AY167" s="21"/>
      <c r="AZ167" s="22"/>
      <c r="BA167" s="22"/>
      <c r="BB167" s="22"/>
      <c r="BD167" s="22"/>
      <c r="BE167" s="22"/>
      <c r="BF167" s="22"/>
      <c r="BH167" s="22"/>
      <c r="BI167" s="22"/>
      <c r="BJ167" s="22"/>
      <c r="BL167" s="22"/>
      <c r="BM167" s="22"/>
      <c r="BN167" s="22"/>
      <c r="BP167" s="22"/>
      <c r="BQ167" s="22"/>
      <c r="BR167" s="22"/>
      <c r="BT167" s="22"/>
      <c r="BU167" s="22"/>
      <c r="BV167" s="22"/>
      <c r="BX167" s="22"/>
      <c r="BY167" s="22"/>
      <c r="BZ167" s="22"/>
      <c r="CB167" s="24"/>
      <c r="CC167" s="24"/>
      <c r="CD167" s="24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6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</row>
    <row r="168" spans="1:200" s="23" customFormat="1" ht="14.25" customHeight="1">
      <c r="A168" s="20"/>
      <c r="B168" s="21"/>
      <c r="C168" s="22"/>
      <c r="D168" s="22"/>
      <c r="E168" s="22"/>
      <c r="G168" s="22"/>
      <c r="H168" s="22"/>
      <c r="I168" s="22"/>
      <c r="K168" s="22"/>
      <c r="L168" s="22"/>
      <c r="M168" s="22"/>
      <c r="O168" s="22"/>
      <c r="P168" s="22"/>
      <c r="Q168" s="22"/>
      <c r="S168" s="22"/>
      <c r="T168" s="22"/>
      <c r="U168" s="22"/>
      <c r="W168" s="22"/>
      <c r="X168" s="22"/>
      <c r="Y168" s="22"/>
      <c r="AA168" s="22"/>
      <c r="AB168" s="22"/>
      <c r="AC168" s="22"/>
      <c r="AE168" s="24"/>
      <c r="AF168" s="24"/>
      <c r="AG168" s="24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6"/>
      <c r="AW168" s="24"/>
      <c r="AX168" s="20"/>
      <c r="AY168" s="21"/>
      <c r="AZ168" s="22"/>
      <c r="BA168" s="22"/>
      <c r="BB168" s="22"/>
      <c r="BD168" s="22"/>
      <c r="BE168" s="22"/>
      <c r="BF168" s="22"/>
      <c r="BH168" s="22"/>
      <c r="BI168" s="22"/>
      <c r="BJ168" s="22"/>
      <c r="BL168" s="22"/>
      <c r="BM168" s="22"/>
      <c r="BN168" s="22"/>
      <c r="BP168" s="22"/>
      <c r="BQ168" s="22"/>
      <c r="BR168" s="22"/>
      <c r="BT168" s="22"/>
      <c r="BU168" s="22"/>
      <c r="BV168" s="22"/>
      <c r="BX168" s="22"/>
      <c r="BY168" s="22"/>
      <c r="BZ168" s="22"/>
      <c r="CB168" s="24"/>
      <c r="CC168" s="24"/>
      <c r="CD168" s="24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6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</row>
    <row r="169" spans="1:200" s="23" customFormat="1" ht="14.25" customHeight="1">
      <c r="A169" s="20"/>
      <c r="B169" s="21"/>
      <c r="C169" s="22"/>
      <c r="D169" s="22"/>
      <c r="E169" s="22"/>
      <c r="G169" s="22"/>
      <c r="H169" s="22"/>
      <c r="I169" s="22"/>
      <c r="K169" s="22"/>
      <c r="L169" s="22"/>
      <c r="M169" s="22"/>
      <c r="O169" s="22"/>
      <c r="P169" s="22"/>
      <c r="Q169" s="22"/>
      <c r="S169" s="22"/>
      <c r="T169" s="22"/>
      <c r="U169" s="22"/>
      <c r="W169" s="22"/>
      <c r="X169" s="22"/>
      <c r="Y169" s="22"/>
      <c r="AA169" s="22"/>
      <c r="AB169" s="22"/>
      <c r="AC169" s="22"/>
      <c r="AE169" s="24"/>
      <c r="AF169" s="24"/>
      <c r="AG169" s="24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6"/>
      <c r="AW169" s="24"/>
      <c r="AX169" s="20"/>
      <c r="AY169" s="21"/>
      <c r="AZ169" s="22"/>
      <c r="BA169" s="22"/>
      <c r="BB169" s="22"/>
      <c r="BD169" s="22"/>
      <c r="BE169" s="22"/>
      <c r="BF169" s="22"/>
      <c r="BH169" s="22"/>
      <c r="BI169" s="22"/>
      <c r="BJ169" s="22"/>
      <c r="BL169" s="22"/>
      <c r="BM169" s="22"/>
      <c r="BN169" s="22"/>
      <c r="BP169" s="22"/>
      <c r="BQ169" s="22"/>
      <c r="BR169" s="22"/>
      <c r="BT169" s="22"/>
      <c r="BU169" s="22"/>
      <c r="BV169" s="22"/>
      <c r="BX169" s="22"/>
      <c r="BY169" s="22"/>
      <c r="BZ169" s="22"/>
      <c r="CB169" s="24"/>
      <c r="CC169" s="24"/>
      <c r="CD169" s="24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6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</row>
    <row r="170" spans="1:200" s="23" customFormat="1" ht="14.25" customHeight="1">
      <c r="A170" s="20"/>
      <c r="B170" s="21"/>
      <c r="C170" s="22"/>
      <c r="D170" s="22"/>
      <c r="E170" s="22"/>
      <c r="G170" s="22"/>
      <c r="H170" s="22"/>
      <c r="I170" s="22"/>
      <c r="K170" s="22"/>
      <c r="L170" s="22"/>
      <c r="M170" s="22"/>
      <c r="O170" s="22"/>
      <c r="P170" s="22"/>
      <c r="Q170" s="22"/>
      <c r="S170" s="22"/>
      <c r="T170" s="22"/>
      <c r="U170" s="22"/>
      <c r="W170" s="22"/>
      <c r="X170" s="22"/>
      <c r="Y170" s="22"/>
      <c r="AA170" s="22"/>
      <c r="AB170" s="22"/>
      <c r="AC170" s="22"/>
      <c r="AE170" s="24"/>
      <c r="AF170" s="24"/>
      <c r="AG170" s="24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6"/>
      <c r="AW170" s="24"/>
      <c r="AX170" s="20"/>
      <c r="AY170" s="21"/>
      <c r="AZ170" s="22"/>
      <c r="BA170" s="22"/>
      <c r="BB170" s="22"/>
      <c r="BD170" s="22"/>
      <c r="BE170" s="22"/>
      <c r="BF170" s="22"/>
      <c r="BH170" s="22"/>
      <c r="BI170" s="22"/>
      <c r="BJ170" s="22"/>
      <c r="BL170" s="22"/>
      <c r="BM170" s="22"/>
      <c r="BN170" s="22"/>
      <c r="BP170" s="22"/>
      <c r="BQ170" s="22"/>
      <c r="BR170" s="22"/>
      <c r="BT170" s="22"/>
      <c r="BU170" s="22"/>
      <c r="BV170" s="22"/>
      <c r="BX170" s="22"/>
      <c r="BY170" s="22"/>
      <c r="BZ170" s="22"/>
      <c r="CB170" s="24"/>
      <c r="CC170" s="24"/>
      <c r="CD170" s="24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6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</row>
    <row r="171" spans="1:200" s="23" customFormat="1" ht="14.25" customHeight="1">
      <c r="A171" s="20"/>
      <c r="B171" s="21"/>
      <c r="C171" s="22"/>
      <c r="D171" s="22"/>
      <c r="E171" s="22"/>
      <c r="G171" s="22"/>
      <c r="H171" s="22"/>
      <c r="I171" s="22"/>
      <c r="K171" s="22"/>
      <c r="L171" s="22"/>
      <c r="M171" s="22"/>
      <c r="O171" s="22"/>
      <c r="P171" s="22"/>
      <c r="Q171" s="22"/>
      <c r="S171" s="22"/>
      <c r="T171" s="22"/>
      <c r="U171" s="22"/>
      <c r="W171" s="22"/>
      <c r="X171" s="22"/>
      <c r="Y171" s="22"/>
      <c r="AA171" s="22"/>
      <c r="AB171" s="22"/>
      <c r="AC171" s="22"/>
      <c r="AE171" s="24"/>
      <c r="AF171" s="24"/>
      <c r="AG171" s="24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6"/>
      <c r="AW171" s="24"/>
      <c r="AX171" s="20"/>
      <c r="AY171" s="21"/>
      <c r="AZ171" s="22"/>
      <c r="BA171" s="22"/>
      <c r="BB171" s="22"/>
      <c r="BD171" s="22"/>
      <c r="BE171" s="22"/>
      <c r="BF171" s="22"/>
      <c r="BH171" s="22"/>
      <c r="BI171" s="22"/>
      <c r="BJ171" s="22"/>
      <c r="BL171" s="22"/>
      <c r="BM171" s="22"/>
      <c r="BN171" s="22"/>
      <c r="BP171" s="22"/>
      <c r="BQ171" s="22"/>
      <c r="BR171" s="22"/>
      <c r="BT171" s="22"/>
      <c r="BU171" s="22"/>
      <c r="BV171" s="22"/>
      <c r="BX171" s="22"/>
      <c r="BY171" s="22"/>
      <c r="BZ171" s="22"/>
      <c r="CB171" s="24"/>
      <c r="CC171" s="24"/>
      <c r="CD171" s="24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6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</row>
    <row r="172" spans="1:200" s="23" customFormat="1" ht="14.25" customHeight="1">
      <c r="A172" s="20"/>
      <c r="B172" s="21"/>
      <c r="C172" s="22"/>
      <c r="D172" s="22"/>
      <c r="E172" s="22"/>
      <c r="G172" s="22"/>
      <c r="H172" s="22"/>
      <c r="I172" s="22"/>
      <c r="K172" s="22"/>
      <c r="L172" s="22"/>
      <c r="M172" s="22"/>
      <c r="O172" s="22"/>
      <c r="P172" s="22"/>
      <c r="Q172" s="22"/>
      <c r="S172" s="22"/>
      <c r="T172" s="22"/>
      <c r="U172" s="22"/>
      <c r="W172" s="22"/>
      <c r="X172" s="22"/>
      <c r="Y172" s="22"/>
      <c r="AA172" s="22"/>
      <c r="AB172" s="22"/>
      <c r="AC172" s="22"/>
      <c r="AE172" s="24"/>
      <c r="AF172" s="24"/>
      <c r="AG172" s="24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6"/>
      <c r="AW172" s="24"/>
      <c r="AX172" s="20"/>
      <c r="AY172" s="21"/>
      <c r="AZ172" s="22"/>
      <c r="BA172" s="22"/>
      <c r="BB172" s="22"/>
      <c r="BD172" s="22"/>
      <c r="BE172" s="22"/>
      <c r="BF172" s="22"/>
      <c r="BH172" s="22"/>
      <c r="BI172" s="22"/>
      <c r="BJ172" s="22"/>
      <c r="BL172" s="22"/>
      <c r="BM172" s="22"/>
      <c r="BN172" s="22"/>
      <c r="BP172" s="22"/>
      <c r="BQ172" s="22"/>
      <c r="BR172" s="22"/>
      <c r="BT172" s="22"/>
      <c r="BU172" s="22"/>
      <c r="BV172" s="22"/>
      <c r="BX172" s="22"/>
      <c r="BY172" s="22"/>
      <c r="BZ172" s="22"/>
      <c r="CB172" s="24"/>
      <c r="CC172" s="24"/>
      <c r="CD172" s="24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6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</row>
    <row r="173" spans="1:200" s="23" customFormat="1" ht="14.25" customHeight="1">
      <c r="A173" s="20"/>
      <c r="B173" s="21"/>
      <c r="C173" s="22"/>
      <c r="D173" s="22"/>
      <c r="E173" s="22"/>
      <c r="G173" s="22"/>
      <c r="H173" s="22"/>
      <c r="I173" s="22"/>
      <c r="K173" s="22"/>
      <c r="L173" s="22"/>
      <c r="M173" s="22"/>
      <c r="O173" s="22"/>
      <c r="P173" s="22"/>
      <c r="Q173" s="22"/>
      <c r="S173" s="22"/>
      <c r="T173" s="22"/>
      <c r="U173" s="22"/>
      <c r="W173" s="22"/>
      <c r="X173" s="22"/>
      <c r="Y173" s="22"/>
      <c r="AA173" s="22"/>
      <c r="AB173" s="22"/>
      <c r="AC173" s="22"/>
      <c r="AE173" s="24"/>
      <c r="AF173" s="24"/>
      <c r="AG173" s="24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6"/>
      <c r="AW173" s="24"/>
      <c r="AX173" s="20"/>
      <c r="AY173" s="21"/>
      <c r="AZ173" s="22"/>
      <c r="BA173" s="22"/>
      <c r="BB173" s="22"/>
      <c r="BD173" s="22"/>
      <c r="BE173" s="22"/>
      <c r="BF173" s="22"/>
      <c r="BH173" s="22"/>
      <c r="BI173" s="22"/>
      <c r="BJ173" s="22"/>
      <c r="BL173" s="22"/>
      <c r="BM173" s="22"/>
      <c r="BN173" s="22"/>
      <c r="BP173" s="22"/>
      <c r="BQ173" s="22"/>
      <c r="BR173" s="22"/>
      <c r="BT173" s="22"/>
      <c r="BU173" s="22"/>
      <c r="BV173" s="22"/>
      <c r="BX173" s="22"/>
      <c r="BY173" s="22"/>
      <c r="BZ173" s="22"/>
      <c r="CB173" s="24"/>
      <c r="CC173" s="24"/>
      <c r="CD173" s="24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6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</row>
    <row r="174" spans="1:200" s="23" customFormat="1" ht="14.25" customHeight="1">
      <c r="A174" s="20"/>
      <c r="B174" s="21"/>
      <c r="C174" s="22"/>
      <c r="D174" s="22"/>
      <c r="E174" s="22"/>
      <c r="G174" s="22"/>
      <c r="H174" s="22"/>
      <c r="I174" s="22"/>
      <c r="K174" s="22"/>
      <c r="L174" s="22"/>
      <c r="M174" s="22"/>
      <c r="O174" s="22"/>
      <c r="P174" s="22"/>
      <c r="Q174" s="22"/>
      <c r="S174" s="22"/>
      <c r="T174" s="22"/>
      <c r="U174" s="22"/>
      <c r="W174" s="22"/>
      <c r="X174" s="22"/>
      <c r="Y174" s="22"/>
      <c r="AA174" s="22"/>
      <c r="AB174" s="22"/>
      <c r="AC174" s="22"/>
      <c r="AE174" s="24"/>
      <c r="AF174" s="24"/>
      <c r="AG174" s="24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6"/>
      <c r="AW174" s="24"/>
      <c r="AX174" s="20"/>
      <c r="AY174" s="21"/>
      <c r="AZ174" s="22"/>
      <c r="BA174" s="22"/>
      <c r="BB174" s="22"/>
      <c r="BD174" s="22"/>
      <c r="BE174" s="22"/>
      <c r="BF174" s="22"/>
      <c r="BH174" s="22"/>
      <c r="BI174" s="22"/>
      <c r="BJ174" s="22"/>
      <c r="BL174" s="22"/>
      <c r="BM174" s="22"/>
      <c r="BN174" s="22"/>
      <c r="BP174" s="22"/>
      <c r="BQ174" s="22"/>
      <c r="BR174" s="22"/>
      <c r="BT174" s="22"/>
      <c r="BU174" s="22"/>
      <c r="BV174" s="22"/>
      <c r="BX174" s="22"/>
      <c r="BY174" s="22"/>
      <c r="BZ174" s="22"/>
      <c r="CB174" s="24"/>
      <c r="CC174" s="24"/>
      <c r="CD174" s="24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6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</row>
    <row r="175" spans="1:200" s="23" customFormat="1" ht="14.25" customHeight="1">
      <c r="A175" s="20"/>
      <c r="B175" s="21"/>
      <c r="C175" s="22"/>
      <c r="D175" s="22"/>
      <c r="E175" s="22"/>
      <c r="G175" s="22"/>
      <c r="H175" s="22"/>
      <c r="I175" s="22"/>
      <c r="K175" s="22"/>
      <c r="L175" s="22"/>
      <c r="M175" s="22"/>
      <c r="O175" s="22"/>
      <c r="P175" s="22"/>
      <c r="Q175" s="22"/>
      <c r="S175" s="22"/>
      <c r="T175" s="22"/>
      <c r="U175" s="22"/>
      <c r="W175" s="22"/>
      <c r="X175" s="22"/>
      <c r="Y175" s="22"/>
      <c r="AA175" s="22"/>
      <c r="AB175" s="22"/>
      <c r="AC175" s="22"/>
      <c r="AE175" s="24"/>
      <c r="AF175" s="24"/>
      <c r="AG175" s="24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6"/>
      <c r="AW175" s="24"/>
      <c r="AX175" s="20"/>
      <c r="AY175" s="21"/>
      <c r="AZ175" s="22"/>
      <c r="BA175" s="22"/>
      <c r="BB175" s="22"/>
      <c r="BD175" s="22"/>
      <c r="BE175" s="22"/>
      <c r="BF175" s="22"/>
      <c r="BH175" s="22"/>
      <c r="BI175" s="22"/>
      <c r="BJ175" s="22"/>
      <c r="BL175" s="22"/>
      <c r="BM175" s="22"/>
      <c r="BN175" s="22"/>
      <c r="BP175" s="22"/>
      <c r="BQ175" s="22"/>
      <c r="BR175" s="22"/>
      <c r="BT175" s="22"/>
      <c r="BU175" s="22"/>
      <c r="BV175" s="22"/>
      <c r="BX175" s="22"/>
      <c r="BY175" s="22"/>
      <c r="BZ175" s="22"/>
      <c r="CB175" s="24"/>
      <c r="CC175" s="24"/>
      <c r="CD175" s="24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6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</row>
    <row r="176" spans="1:200" s="23" customFormat="1" ht="14.25" customHeight="1">
      <c r="A176" s="20"/>
      <c r="B176" s="21"/>
      <c r="C176" s="22"/>
      <c r="D176" s="22"/>
      <c r="E176" s="22"/>
      <c r="G176" s="22"/>
      <c r="H176" s="22"/>
      <c r="I176" s="22"/>
      <c r="K176" s="22"/>
      <c r="L176" s="22"/>
      <c r="M176" s="22"/>
      <c r="O176" s="22"/>
      <c r="P176" s="22"/>
      <c r="Q176" s="22"/>
      <c r="S176" s="22"/>
      <c r="T176" s="22"/>
      <c r="U176" s="22"/>
      <c r="W176" s="22"/>
      <c r="X176" s="22"/>
      <c r="Y176" s="22"/>
      <c r="AA176" s="22"/>
      <c r="AB176" s="22"/>
      <c r="AC176" s="22"/>
      <c r="AE176" s="24"/>
      <c r="AF176" s="24"/>
      <c r="AG176" s="24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6"/>
      <c r="AW176" s="24"/>
      <c r="AX176" s="20"/>
      <c r="AY176" s="21"/>
      <c r="AZ176" s="22"/>
      <c r="BA176" s="22"/>
      <c r="BB176" s="22"/>
      <c r="BD176" s="22"/>
      <c r="BE176" s="22"/>
      <c r="BF176" s="22"/>
      <c r="BH176" s="22"/>
      <c r="BI176" s="22"/>
      <c r="BJ176" s="22"/>
      <c r="BL176" s="22"/>
      <c r="BM176" s="22"/>
      <c r="BN176" s="22"/>
      <c r="BP176" s="22"/>
      <c r="BQ176" s="22"/>
      <c r="BR176" s="22"/>
      <c r="BT176" s="22"/>
      <c r="BU176" s="22"/>
      <c r="BV176" s="22"/>
      <c r="BX176" s="22"/>
      <c r="BY176" s="22"/>
      <c r="BZ176" s="22"/>
      <c r="CB176" s="24"/>
      <c r="CC176" s="24"/>
      <c r="CD176" s="24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6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</row>
    <row r="177" spans="1:200" s="23" customFormat="1" ht="14.25" customHeight="1">
      <c r="A177" s="20"/>
      <c r="B177" s="21"/>
      <c r="C177" s="22"/>
      <c r="D177" s="22"/>
      <c r="E177" s="22"/>
      <c r="G177" s="22"/>
      <c r="H177" s="22"/>
      <c r="I177" s="22"/>
      <c r="K177" s="22"/>
      <c r="L177" s="22"/>
      <c r="M177" s="22"/>
      <c r="O177" s="22"/>
      <c r="P177" s="22"/>
      <c r="Q177" s="22"/>
      <c r="S177" s="22"/>
      <c r="T177" s="22"/>
      <c r="U177" s="22"/>
      <c r="W177" s="22"/>
      <c r="X177" s="22"/>
      <c r="Y177" s="22"/>
      <c r="AA177" s="22"/>
      <c r="AB177" s="22"/>
      <c r="AC177" s="22"/>
      <c r="AE177" s="24"/>
      <c r="AF177" s="24"/>
      <c r="AG177" s="24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6"/>
      <c r="AW177" s="24"/>
      <c r="AX177" s="20"/>
      <c r="AY177" s="21"/>
      <c r="AZ177" s="22"/>
      <c r="BA177" s="22"/>
      <c r="BB177" s="22"/>
      <c r="BD177" s="22"/>
      <c r="BE177" s="22"/>
      <c r="BF177" s="22"/>
      <c r="BH177" s="22"/>
      <c r="BI177" s="22"/>
      <c r="BJ177" s="22"/>
      <c r="BL177" s="22"/>
      <c r="BM177" s="22"/>
      <c r="BN177" s="22"/>
      <c r="BP177" s="22"/>
      <c r="BQ177" s="22"/>
      <c r="BR177" s="22"/>
      <c r="BT177" s="22"/>
      <c r="BU177" s="22"/>
      <c r="BV177" s="22"/>
      <c r="BX177" s="22"/>
      <c r="BY177" s="22"/>
      <c r="BZ177" s="22"/>
      <c r="CB177" s="24"/>
      <c r="CC177" s="24"/>
      <c r="CD177" s="24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6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</row>
    <row r="178" spans="1:200" s="23" customFormat="1" ht="14.25" customHeight="1">
      <c r="A178" s="20"/>
      <c r="B178" s="21"/>
      <c r="C178" s="22"/>
      <c r="D178" s="22"/>
      <c r="E178" s="22"/>
      <c r="G178" s="22"/>
      <c r="H178" s="22"/>
      <c r="I178" s="22"/>
      <c r="K178" s="22"/>
      <c r="L178" s="22"/>
      <c r="M178" s="22"/>
      <c r="O178" s="22"/>
      <c r="P178" s="22"/>
      <c r="Q178" s="22"/>
      <c r="S178" s="22"/>
      <c r="T178" s="22"/>
      <c r="U178" s="22"/>
      <c r="W178" s="22"/>
      <c r="X178" s="22"/>
      <c r="Y178" s="22"/>
      <c r="AA178" s="22"/>
      <c r="AB178" s="22"/>
      <c r="AC178" s="22"/>
      <c r="AE178" s="24"/>
      <c r="AF178" s="24"/>
      <c r="AG178" s="24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6"/>
      <c r="AW178" s="24"/>
      <c r="AX178" s="20"/>
      <c r="AY178" s="21"/>
      <c r="AZ178" s="22"/>
      <c r="BA178" s="22"/>
      <c r="BB178" s="22"/>
      <c r="BD178" s="22"/>
      <c r="BE178" s="22"/>
      <c r="BF178" s="22"/>
      <c r="BH178" s="22"/>
      <c r="BI178" s="22"/>
      <c r="BJ178" s="22"/>
      <c r="BL178" s="22"/>
      <c r="BM178" s="22"/>
      <c r="BN178" s="22"/>
      <c r="BP178" s="22"/>
      <c r="BQ178" s="22"/>
      <c r="BR178" s="22"/>
      <c r="BT178" s="22"/>
      <c r="BU178" s="22"/>
      <c r="BV178" s="22"/>
      <c r="BX178" s="22"/>
      <c r="BY178" s="22"/>
      <c r="BZ178" s="22"/>
      <c r="CB178" s="24"/>
      <c r="CC178" s="24"/>
      <c r="CD178" s="24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6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</row>
    <row r="179" spans="1:200" s="23" customFormat="1" ht="14.25" customHeight="1">
      <c r="A179" s="20"/>
      <c r="B179" s="21"/>
      <c r="C179" s="22"/>
      <c r="D179" s="22"/>
      <c r="E179" s="22"/>
      <c r="G179" s="22"/>
      <c r="H179" s="22"/>
      <c r="I179" s="22"/>
      <c r="K179" s="22"/>
      <c r="L179" s="22"/>
      <c r="M179" s="22"/>
      <c r="O179" s="22"/>
      <c r="P179" s="22"/>
      <c r="Q179" s="22"/>
      <c r="S179" s="22"/>
      <c r="T179" s="22"/>
      <c r="U179" s="22"/>
      <c r="W179" s="22"/>
      <c r="X179" s="22"/>
      <c r="Y179" s="22"/>
      <c r="AA179" s="22"/>
      <c r="AB179" s="22"/>
      <c r="AC179" s="22"/>
      <c r="AE179" s="24"/>
      <c r="AF179" s="24"/>
      <c r="AG179" s="24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6"/>
      <c r="AW179" s="24"/>
      <c r="AX179" s="20"/>
      <c r="AY179" s="21"/>
      <c r="AZ179" s="22"/>
      <c r="BA179" s="22"/>
      <c r="BB179" s="22"/>
      <c r="BD179" s="22"/>
      <c r="BE179" s="22"/>
      <c r="BF179" s="22"/>
      <c r="BH179" s="22"/>
      <c r="BI179" s="22"/>
      <c r="BJ179" s="22"/>
      <c r="BL179" s="22"/>
      <c r="BM179" s="22"/>
      <c r="BN179" s="22"/>
      <c r="BP179" s="22"/>
      <c r="BQ179" s="22"/>
      <c r="BR179" s="22"/>
      <c r="BT179" s="22"/>
      <c r="BU179" s="22"/>
      <c r="BV179" s="22"/>
      <c r="BX179" s="22"/>
      <c r="BY179" s="22"/>
      <c r="BZ179" s="22"/>
      <c r="CB179" s="24"/>
      <c r="CC179" s="24"/>
      <c r="CD179" s="24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6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</row>
    <row r="180" spans="1:200" s="23" customFormat="1" ht="14.25" customHeight="1">
      <c r="A180" s="20"/>
      <c r="B180" s="21"/>
      <c r="C180" s="22"/>
      <c r="D180" s="22"/>
      <c r="E180" s="22"/>
      <c r="G180" s="22"/>
      <c r="H180" s="22"/>
      <c r="I180" s="22"/>
      <c r="K180" s="22"/>
      <c r="L180" s="22"/>
      <c r="M180" s="22"/>
      <c r="O180" s="22"/>
      <c r="P180" s="22"/>
      <c r="Q180" s="22"/>
      <c r="S180" s="22"/>
      <c r="T180" s="22"/>
      <c r="U180" s="22"/>
      <c r="W180" s="22"/>
      <c r="X180" s="22"/>
      <c r="Y180" s="22"/>
      <c r="AA180" s="22"/>
      <c r="AB180" s="22"/>
      <c r="AC180" s="22"/>
      <c r="AE180" s="24"/>
      <c r="AF180" s="24"/>
      <c r="AG180" s="24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6"/>
      <c r="AW180" s="24"/>
      <c r="AX180" s="20"/>
      <c r="AY180" s="21"/>
      <c r="AZ180" s="22"/>
      <c r="BA180" s="22"/>
      <c r="BB180" s="22"/>
      <c r="BD180" s="22"/>
      <c r="BE180" s="22"/>
      <c r="BF180" s="22"/>
      <c r="BH180" s="22"/>
      <c r="BI180" s="22"/>
      <c r="BJ180" s="22"/>
      <c r="BL180" s="22"/>
      <c r="BM180" s="22"/>
      <c r="BN180" s="22"/>
      <c r="BP180" s="22"/>
      <c r="BQ180" s="22"/>
      <c r="BR180" s="22"/>
      <c r="BT180" s="22"/>
      <c r="BU180" s="22"/>
      <c r="BV180" s="22"/>
      <c r="BX180" s="22"/>
      <c r="BY180" s="22"/>
      <c r="BZ180" s="22"/>
      <c r="CB180" s="24"/>
      <c r="CC180" s="24"/>
      <c r="CD180" s="24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6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</row>
    <row r="181" spans="1:200" s="23" customFormat="1" ht="14.25" customHeight="1">
      <c r="A181" s="20"/>
      <c r="B181" s="21"/>
      <c r="C181" s="22"/>
      <c r="D181" s="22"/>
      <c r="E181" s="22"/>
      <c r="G181" s="22"/>
      <c r="H181" s="22"/>
      <c r="I181" s="22"/>
      <c r="K181" s="22"/>
      <c r="L181" s="22"/>
      <c r="M181" s="22"/>
      <c r="O181" s="22"/>
      <c r="P181" s="22"/>
      <c r="Q181" s="22"/>
      <c r="S181" s="22"/>
      <c r="T181" s="22"/>
      <c r="U181" s="22"/>
      <c r="W181" s="22"/>
      <c r="X181" s="22"/>
      <c r="Y181" s="22"/>
      <c r="AA181" s="22"/>
      <c r="AB181" s="22"/>
      <c r="AC181" s="22"/>
      <c r="AE181" s="24"/>
      <c r="AF181" s="24"/>
      <c r="AG181" s="24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6"/>
      <c r="AW181" s="24"/>
      <c r="AX181" s="20"/>
      <c r="AY181" s="21"/>
      <c r="AZ181" s="22"/>
      <c r="BA181" s="22"/>
      <c r="BB181" s="22"/>
      <c r="BD181" s="22"/>
      <c r="BE181" s="22"/>
      <c r="BF181" s="22"/>
      <c r="BH181" s="22"/>
      <c r="BI181" s="22"/>
      <c r="BJ181" s="22"/>
      <c r="BL181" s="22"/>
      <c r="BM181" s="22"/>
      <c r="BN181" s="22"/>
      <c r="BP181" s="22"/>
      <c r="BQ181" s="22"/>
      <c r="BR181" s="22"/>
      <c r="BT181" s="22"/>
      <c r="BU181" s="22"/>
      <c r="BV181" s="22"/>
      <c r="BX181" s="22"/>
      <c r="BY181" s="22"/>
      <c r="BZ181" s="22"/>
      <c r="CB181" s="24"/>
      <c r="CC181" s="24"/>
      <c r="CD181" s="24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6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</row>
    <row r="182" spans="1:200" s="23" customFormat="1" ht="14.25" customHeight="1">
      <c r="A182" s="20"/>
      <c r="B182" s="21"/>
      <c r="C182" s="22"/>
      <c r="D182" s="22"/>
      <c r="E182" s="22"/>
      <c r="G182" s="22"/>
      <c r="H182" s="22"/>
      <c r="I182" s="22"/>
      <c r="K182" s="22"/>
      <c r="L182" s="22"/>
      <c r="M182" s="22"/>
      <c r="O182" s="22"/>
      <c r="P182" s="22"/>
      <c r="Q182" s="22"/>
      <c r="S182" s="22"/>
      <c r="T182" s="22"/>
      <c r="U182" s="22"/>
      <c r="W182" s="22"/>
      <c r="X182" s="22"/>
      <c r="Y182" s="22"/>
      <c r="AA182" s="22"/>
      <c r="AB182" s="22"/>
      <c r="AC182" s="22"/>
      <c r="AE182" s="24"/>
      <c r="AF182" s="24"/>
      <c r="AG182" s="24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6"/>
      <c r="AW182" s="24"/>
      <c r="AX182" s="20"/>
      <c r="AY182" s="21"/>
      <c r="AZ182" s="22"/>
      <c r="BA182" s="22"/>
      <c r="BB182" s="22"/>
      <c r="BD182" s="22"/>
      <c r="BE182" s="22"/>
      <c r="BF182" s="22"/>
      <c r="BH182" s="22"/>
      <c r="BI182" s="22"/>
      <c r="BJ182" s="22"/>
      <c r="BL182" s="22"/>
      <c r="BM182" s="22"/>
      <c r="BN182" s="22"/>
      <c r="BP182" s="22"/>
      <c r="BQ182" s="22"/>
      <c r="BR182" s="22"/>
      <c r="BT182" s="22"/>
      <c r="BU182" s="22"/>
      <c r="BV182" s="22"/>
      <c r="BX182" s="22"/>
      <c r="BY182" s="22"/>
      <c r="BZ182" s="22"/>
      <c r="CB182" s="24"/>
      <c r="CC182" s="24"/>
      <c r="CD182" s="24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6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</row>
    <row r="183" spans="1:200" s="23" customFormat="1" ht="14.25" customHeight="1">
      <c r="A183" s="20"/>
      <c r="B183" s="21"/>
      <c r="C183" s="22"/>
      <c r="D183" s="22"/>
      <c r="E183" s="22"/>
      <c r="G183" s="22"/>
      <c r="H183" s="22"/>
      <c r="I183" s="22"/>
      <c r="K183" s="22"/>
      <c r="L183" s="22"/>
      <c r="M183" s="22"/>
      <c r="O183" s="22"/>
      <c r="P183" s="22"/>
      <c r="Q183" s="22"/>
      <c r="S183" s="22"/>
      <c r="T183" s="22"/>
      <c r="U183" s="22"/>
      <c r="W183" s="22"/>
      <c r="X183" s="22"/>
      <c r="Y183" s="22"/>
      <c r="AA183" s="22"/>
      <c r="AB183" s="22"/>
      <c r="AC183" s="22"/>
      <c r="AE183" s="24"/>
      <c r="AF183" s="24"/>
      <c r="AG183" s="24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6"/>
      <c r="AW183" s="24"/>
      <c r="AX183" s="20"/>
      <c r="AY183" s="21"/>
      <c r="AZ183" s="22"/>
      <c r="BA183" s="22"/>
      <c r="BB183" s="22"/>
      <c r="BD183" s="22"/>
      <c r="BE183" s="22"/>
      <c r="BF183" s="22"/>
      <c r="BH183" s="22"/>
      <c r="BI183" s="22"/>
      <c r="BJ183" s="22"/>
      <c r="BL183" s="22"/>
      <c r="BM183" s="22"/>
      <c r="BN183" s="22"/>
      <c r="BP183" s="22"/>
      <c r="BQ183" s="22"/>
      <c r="BR183" s="22"/>
      <c r="BT183" s="22"/>
      <c r="BU183" s="22"/>
      <c r="BV183" s="22"/>
      <c r="BX183" s="22"/>
      <c r="BY183" s="22"/>
      <c r="BZ183" s="22"/>
      <c r="CB183" s="24"/>
      <c r="CC183" s="24"/>
      <c r="CD183" s="24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6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</row>
    <row r="184" spans="1:200" s="23" customFormat="1" ht="14.25" customHeight="1">
      <c r="A184" s="20"/>
      <c r="B184" s="21"/>
      <c r="C184" s="22"/>
      <c r="D184" s="22"/>
      <c r="E184" s="22"/>
      <c r="G184" s="22"/>
      <c r="H184" s="22"/>
      <c r="I184" s="22"/>
      <c r="K184" s="22"/>
      <c r="L184" s="22"/>
      <c r="M184" s="22"/>
      <c r="O184" s="22"/>
      <c r="P184" s="22"/>
      <c r="Q184" s="22"/>
      <c r="S184" s="22"/>
      <c r="T184" s="22"/>
      <c r="U184" s="22"/>
      <c r="W184" s="22"/>
      <c r="X184" s="22"/>
      <c r="Y184" s="22"/>
      <c r="AA184" s="22"/>
      <c r="AB184" s="22"/>
      <c r="AC184" s="22"/>
      <c r="AE184" s="24"/>
      <c r="AF184" s="24"/>
      <c r="AG184" s="24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6"/>
      <c r="AW184" s="24"/>
      <c r="AX184" s="20"/>
      <c r="AY184" s="21"/>
      <c r="AZ184" s="22"/>
      <c r="BA184" s="22"/>
      <c r="BB184" s="22"/>
      <c r="BD184" s="22"/>
      <c r="BE184" s="22"/>
      <c r="BF184" s="22"/>
      <c r="BH184" s="22"/>
      <c r="BI184" s="22"/>
      <c r="BJ184" s="22"/>
      <c r="BL184" s="22"/>
      <c r="BM184" s="22"/>
      <c r="BN184" s="22"/>
      <c r="BP184" s="22"/>
      <c r="BQ184" s="22"/>
      <c r="BR184" s="22"/>
      <c r="BT184" s="22"/>
      <c r="BU184" s="22"/>
      <c r="BV184" s="22"/>
      <c r="BX184" s="22"/>
      <c r="BY184" s="22"/>
      <c r="BZ184" s="22"/>
      <c r="CB184" s="24"/>
      <c r="CC184" s="24"/>
      <c r="CD184" s="24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6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</row>
    <row r="185" spans="1:200" s="23" customFormat="1" ht="14.25" customHeight="1">
      <c r="A185" s="20"/>
      <c r="B185" s="21"/>
      <c r="C185" s="22"/>
      <c r="D185" s="22"/>
      <c r="E185" s="22"/>
      <c r="G185" s="22"/>
      <c r="H185" s="22"/>
      <c r="I185" s="22"/>
      <c r="K185" s="22"/>
      <c r="L185" s="22"/>
      <c r="M185" s="22"/>
      <c r="O185" s="22"/>
      <c r="P185" s="22"/>
      <c r="Q185" s="22"/>
      <c r="S185" s="22"/>
      <c r="T185" s="22"/>
      <c r="U185" s="22"/>
      <c r="W185" s="22"/>
      <c r="X185" s="22"/>
      <c r="Y185" s="22"/>
      <c r="AA185" s="22"/>
      <c r="AB185" s="22"/>
      <c r="AC185" s="22"/>
      <c r="AE185" s="24"/>
      <c r="AF185" s="24"/>
      <c r="AG185" s="24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6"/>
      <c r="AW185" s="24"/>
      <c r="AX185" s="20"/>
      <c r="AY185" s="21"/>
      <c r="AZ185" s="22"/>
      <c r="BA185" s="22"/>
      <c r="BB185" s="22"/>
      <c r="BD185" s="22"/>
      <c r="BE185" s="22"/>
      <c r="BF185" s="22"/>
      <c r="BH185" s="22"/>
      <c r="BI185" s="22"/>
      <c r="BJ185" s="22"/>
      <c r="BL185" s="22"/>
      <c r="BM185" s="22"/>
      <c r="BN185" s="22"/>
      <c r="BP185" s="22"/>
      <c r="BQ185" s="22"/>
      <c r="BR185" s="22"/>
      <c r="BT185" s="22"/>
      <c r="BU185" s="22"/>
      <c r="BV185" s="22"/>
      <c r="BX185" s="22"/>
      <c r="BY185" s="22"/>
      <c r="BZ185" s="22"/>
      <c r="CB185" s="24"/>
      <c r="CC185" s="24"/>
      <c r="CD185" s="24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6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</row>
    <row r="186" spans="1:200" s="23" customFormat="1" ht="14.25" customHeight="1">
      <c r="A186" s="20"/>
      <c r="B186" s="21"/>
      <c r="C186" s="22"/>
      <c r="D186" s="22"/>
      <c r="E186" s="22"/>
      <c r="G186" s="22"/>
      <c r="H186" s="22"/>
      <c r="I186" s="22"/>
      <c r="K186" s="22"/>
      <c r="L186" s="22"/>
      <c r="M186" s="22"/>
      <c r="O186" s="22"/>
      <c r="P186" s="22"/>
      <c r="Q186" s="22"/>
      <c r="S186" s="22"/>
      <c r="T186" s="22"/>
      <c r="U186" s="22"/>
      <c r="W186" s="22"/>
      <c r="X186" s="22"/>
      <c r="Y186" s="22"/>
      <c r="AA186" s="22"/>
      <c r="AB186" s="22"/>
      <c r="AC186" s="22"/>
      <c r="AE186" s="24"/>
      <c r="AF186" s="24"/>
      <c r="AG186" s="24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6"/>
      <c r="AW186" s="24"/>
      <c r="AX186" s="20"/>
      <c r="AY186" s="21"/>
      <c r="AZ186" s="22"/>
      <c r="BA186" s="22"/>
      <c r="BB186" s="22"/>
      <c r="BD186" s="22"/>
      <c r="BE186" s="22"/>
      <c r="BF186" s="22"/>
      <c r="BH186" s="22"/>
      <c r="BI186" s="22"/>
      <c r="BJ186" s="22"/>
      <c r="BL186" s="22"/>
      <c r="BM186" s="22"/>
      <c r="BN186" s="22"/>
      <c r="BP186" s="22"/>
      <c r="BQ186" s="22"/>
      <c r="BR186" s="22"/>
      <c r="BT186" s="22"/>
      <c r="BU186" s="22"/>
      <c r="BV186" s="22"/>
      <c r="BX186" s="22"/>
      <c r="BY186" s="22"/>
      <c r="BZ186" s="22"/>
      <c r="CB186" s="24"/>
      <c r="CC186" s="24"/>
      <c r="CD186" s="24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6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</row>
    <row r="187" spans="1:200" s="23" customFormat="1" ht="14.25" customHeight="1">
      <c r="A187" s="20"/>
      <c r="B187" s="21"/>
      <c r="C187" s="22"/>
      <c r="D187" s="22"/>
      <c r="E187" s="22"/>
      <c r="G187" s="22"/>
      <c r="H187" s="22"/>
      <c r="I187" s="22"/>
      <c r="K187" s="22"/>
      <c r="L187" s="22"/>
      <c r="M187" s="22"/>
      <c r="O187" s="22"/>
      <c r="P187" s="22"/>
      <c r="Q187" s="22"/>
      <c r="S187" s="22"/>
      <c r="T187" s="22"/>
      <c r="U187" s="22"/>
      <c r="W187" s="22"/>
      <c r="X187" s="22"/>
      <c r="Y187" s="22"/>
      <c r="AA187" s="22"/>
      <c r="AB187" s="22"/>
      <c r="AC187" s="22"/>
      <c r="AE187" s="24"/>
      <c r="AF187" s="24"/>
      <c r="AG187" s="24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6"/>
      <c r="AW187" s="24"/>
      <c r="AX187" s="20"/>
      <c r="AY187" s="21"/>
      <c r="AZ187" s="22"/>
      <c r="BA187" s="22"/>
      <c r="BB187" s="22"/>
      <c r="BD187" s="22"/>
      <c r="BE187" s="22"/>
      <c r="BF187" s="22"/>
      <c r="BH187" s="22"/>
      <c r="BI187" s="22"/>
      <c r="BJ187" s="22"/>
      <c r="BL187" s="22"/>
      <c r="BM187" s="22"/>
      <c r="BN187" s="22"/>
      <c r="BP187" s="22"/>
      <c r="BQ187" s="22"/>
      <c r="BR187" s="22"/>
      <c r="BT187" s="22"/>
      <c r="BU187" s="22"/>
      <c r="BV187" s="22"/>
      <c r="BX187" s="22"/>
      <c r="BY187" s="22"/>
      <c r="BZ187" s="22"/>
      <c r="CB187" s="24"/>
      <c r="CC187" s="24"/>
      <c r="CD187" s="24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6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</row>
    <row r="188" spans="1:200" s="23" customFormat="1" ht="14.25" customHeight="1">
      <c r="A188" s="20"/>
      <c r="B188" s="21"/>
      <c r="C188" s="22"/>
      <c r="D188" s="22"/>
      <c r="E188" s="22"/>
      <c r="G188" s="22"/>
      <c r="H188" s="22"/>
      <c r="I188" s="22"/>
      <c r="K188" s="22"/>
      <c r="L188" s="22"/>
      <c r="M188" s="22"/>
      <c r="O188" s="22"/>
      <c r="P188" s="22"/>
      <c r="Q188" s="22"/>
      <c r="S188" s="22"/>
      <c r="T188" s="22"/>
      <c r="U188" s="22"/>
      <c r="W188" s="22"/>
      <c r="X188" s="22"/>
      <c r="Y188" s="22"/>
      <c r="AA188" s="22"/>
      <c r="AB188" s="22"/>
      <c r="AC188" s="22"/>
      <c r="AE188" s="24"/>
      <c r="AF188" s="24"/>
      <c r="AG188" s="24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6"/>
      <c r="AW188" s="24"/>
      <c r="AX188" s="20"/>
      <c r="AY188" s="21"/>
      <c r="AZ188" s="22"/>
      <c r="BA188" s="22"/>
      <c r="BB188" s="22"/>
      <c r="BD188" s="22"/>
      <c r="BE188" s="22"/>
      <c r="BF188" s="22"/>
      <c r="BH188" s="22"/>
      <c r="BI188" s="22"/>
      <c r="BJ188" s="22"/>
      <c r="BL188" s="22"/>
      <c r="BM188" s="22"/>
      <c r="BN188" s="22"/>
      <c r="BP188" s="22"/>
      <c r="BQ188" s="22"/>
      <c r="BR188" s="22"/>
      <c r="BT188" s="22"/>
      <c r="BU188" s="22"/>
      <c r="BV188" s="22"/>
      <c r="BX188" s="22"/>
      <c r="BY188" s="22"/>
      <c r="BZ188" s="22"/>
      <c r="CB188" s="24"/>
      <c r="CC188" s="24"/>
      <c r="CD188" s="24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6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</row>
    <row r="189" spans="1:200" s="23" customFormat="1" ht="14.25" customHeight="1">
      <c r="A189" s="20"/>
      <c r="B189" s="21"/>
      <c r="C189" s="22"/>
      <c r="D189" s="22"/>
      <c r="E189" s="22"/>
      <c r="G189" s="22"/>
      <c r="H189" s="22"/>
      <c r="I189" s="22"/>
      <c r="K189" s="22"/>
      <c r="L189" s="22"/>
      <c r="M189" s="22"/>
      <c r="O189" s="22"/>
      <c r="P189" s="22"/>
      <c r="Q189" s="22"/>
      <c r="S189" s="22"/>
      <c r="T189" s="22"/>
      <c r="U189" s="22"/>
      <c r="W189" s="22"/>
      <c r="X189" s="22"/>
      <c r="Y189" s="22"/>
      <c r="AA189" s="22"/>
      <c r="AB189" s="22"/>
      <c r="AC189" s="22"/>
      <c r="AE189" s="24"/>
      <c r="AF189" s="24"/>
      <c r="AG189" s="24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6"/>
      <c r="AW189" s="24"/>
      <c r="AX189" s="20"/>
      <c r="AY189" s="21"/>
      <c r="AZ189" s="22"/>
      <c r="BA189" s="22"/>
      <c r="BB189" s="22"/>
      <c r="BD189" s="22"/>
      <c r="BE189" s="22"/>
      <c r="BF189" s="22"/>
      <c r="BH189" s="22"/>
      <c r="BI189" s="22"/>
      <c r="BJ189" s="22"/>
      <c r="BL189" s="22"/>
      <c r="BM189" s="22"/>
      <c r="BN189" s="22"/>
      <c r="BP189" s="22"/>
      <c r="BQ189" s="22"/>
      <c r="BR189" s="22"/>
      <c r="BT189" s="22"/>
      <c r="BU189" s="22"/>
      <c r="BV189" s="22"/>
      <c r="BX189" s="22"/>
      <c r="BY189" s="22"/>
      <c r="BZ189" s="22"/>
      <c r="CB189" s="24"/>
      <c r="CC189" s="24"/>
      <c r="CD189" s="24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6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</row>
    <row r="190" spans="1:200" s="23" customFormat="1" ht="14.25" customHeight="1">
      <c r="A190" s="20"/>
      <c r="B190" s="21"/>
      <c r="C190" s="22"/>
      <c r="D190" s="22"/>
      <c r="E190" s="22"/>
      <c r="G190" s="22"/>
      <c r="H190" s="22"/>
      <c r="I190" s="22"/>
      <c r="K190" s="22"/>
      <c r="L190" s="22"/>
      <c r="M190" s="22"/>
      <c r="O190" s="22"/>
      <c r="P190" s="22"/>
      <c r="Q190" s="22"/>
      <c r="S190" s="22"/>
      <c r="T190" s="22"/>
      <c r="U190" s="22"/>
      <c r="W190" s="22"/>
      <c r="X190" s="22"/>
      <c r="Y190" s="22"/>
      <c r="AA190" s="22"/>
      <c r="AB190" s="22"/>
      <c r="AC190" s="22"/>
      <c r="AE190" s="24"/>
      <c r="AF190" s="24"/>
      <c r="AG190" s="24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6"/>
      <c r="AW190" s="24"/>
      <c r="AX190" s="20"/>
      <c r="AY190" s="21"/>
      <c r="AZ190" s="22"/>
      <c r="BA190" s="22"/>
      <c r="BB190" s="22"/>
      <c r="BD190" s="22"/>
      <c r="BE190" s="22"/>
      <c r="BF190" s="22"/>
      <c r="BH190" s="22"/>
      <c r="BI190" s="22"/>
      <c r="BJ190" s="22"/>
      <c r="BL190" s="22"/>
      <c r="BM190" s="22"/>
      <c r="BN190" s="22"/>
      <c r="BP190" s="22"/>
      <c r="BQ190" s="22"/>
      <c r="BR190" s="22"/>
      <c r="BT190" s="22"/>
      <c r="BU190" s="22"/>
      <c r="BV190" s="22"/>
      <c r="BX190" s="22"/>
      <c r="BY190" s="22"/>
      <c r="BZ190" s="22"/>
      <c r="CB190" s="24"/>
      <c r="CC190" s="24"/>
      <c r="CD190" s="24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6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</row>
    <row r="191" spans="1:200" s="23" customFormat="1" ht="14.25" customHeight="1">
      <c r="A191" s="20"/>
      <c r="B191" s="21"/>
      <c r="C191" s="22"/>
      <c r="D191" s="22"/>
      <c r="E191" s="22"/>
      <c r="G191" s="22"/>
      <c r="H191" s="22"/>
      <c r="I191" s="22"/>
      <c r="K191" s="22"/>
      <c r="L191" s="22"/>
      <c r="M191" s="22"/>
      <c r="O191" s="22"/>
      <c r="P191" s="22"/>
      <c r="Q191" s="22"/>
      <c r="S191" s="22"/>
      <c r="T191" s="22"/>
      <c r="U191" s="22"/>
      <c r="W191" s="22"/>
      <c r="X191" s="22"/>
      <c r="Y191" s="22"/>
      <c r="AA191" s="22"/>
      <c r="AB191" s="22"/>
      <c r="AC191" s="22"/>
      <c r="AE191" s="24"/>
      <c r="AF191" s="24"/>
      <c r="AG191" s="24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6"/>
      <c r="AW191" s="24"/>
      <c r="AX191" s="20"/>
      <c r="AY191" s="21"/>
      <c r="AZ191" s="22"/>
      <c r="BA191" s="22"/>
      <c r="BB191" s="22"/>
      <c r="BD191" s="22"/>
      <c r="BE191" s="22"/>
      <c r="BF191" s="22"/>
      <c r="BH191" s="22"/>
      <c r="BI191" s="22"/>
      <c r="BJ191" s="22"/>
      <c r="BL191" s="22"/>
      <c r="BM191" s="22"/>
      <c r="BN191" s="22"/>
      <c r="BP191" s="22"/>
      <c r="BQ191" s="22"/>
      <c r="BR191" s="22"/>
      <c r="BT191" s="22"/>
      <c r="BU191" s="22"/>
      <c r="BV191" s="22"/>
      <c r="BX191" s="22"/>
      <c r="BY191" s="22"/>
      <c r="BZ191" s="22"/>
      <c r="CB191" s="24"/>
      <c r="CC191" s="24"/>
      <c r="CD191" s="24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6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</row>
    <row r="192" spans="1:200" s="23" customFormat="1" ht="14.25" customHeight="1">
      <c r="A192" s="20"/>
      <c r="B192" s="21"/>
      <c r="C192" s="22"/>
      <c r="D192" s="22"/>
      <c r="E192" s="22"/>
      <c r="G192" s="22"/>
      <c r="H192" s="22"/>
      <c r="I192" s="22"/>
      <c r="K192" s="22"/>
      <c r="L192" s="22"/>
      <c r="M192" s="22"/>
      <c r="O192" s="22"/>
      <c r="P192" s="22"/>
      <c r="Q192" s="22"/>
      <c r="S192" s="22"/>
      <c r="T192" s="22"/>
      <c r="U192" s="22"/>
      <c r="W192" s="22"/>
      <c r="X192" s="22"/>
      <c r="Y192" s="22"/>
      <c r="AA192" s="22"/>
      <c r="AB192" s="22"/>
      <c r="AC192" s="22"/>
      <c r="AE192" s="24"/>
      <c r="AF192" s="24"/>
      <c r="AG192" s="24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6"/>
      <c r="AW192" s="24"/>
      <c r="AX192" s="20"/>
      <c r="AY192" s="21"/>
      <c r="AZ192" s="22"/>
      <c r="BA192" s="22"/>
      <c r="BB192" s="22"/>
      <c r="BD192" s="22"/>
      <c r="BE192" s="22"/>
      <c r="BF192" s="22"/>
      <c r="BH192" s="22"/>
      <c r="BI192" s="22"/>
      <c r="BJ192" s="22"/>
      <c r="BL192" s="22"/>
      <c r="BM192" s="22"/>
      <c r="BN192" s="22"/>
      <c r="BP192" s="22"/>
      <c r="BQ192" s="22"/>
      <c r="BR192" s="22"/>
      <c r="BT192" s="22"/>
      <c r="BU192" s="22"/>
      <c r="BV192" s="22"/>
      <c r="BX192" s="22"/>
      <c r="BY192" s="22"/>
      <c r="BZ192" s="22"/>
      <c r="CB192" s="24"/>
      <c r="CC192" s="24"/>
      <c r="CD192" s="24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6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</row>
    <row r="193" spans="1:200" s="23" customFormat="1" ht="14.25" customHeight="1">
      <c r="A193" s="20"/>
      <c r="B193" s="21"/>
      <c r="C193" s="22"/>
      <c r="D193" s="22"/>
      <c r="E193" s="22"/>
      <c r="G193" s="22"/>
      <c r="H193" s="22"/>
      <c r="I193" s="22"/>
      <c r="K193" s="22"/>
      <c r="L193" s="22"/>
      <c r="M193" s="22"/>
      <c r="O193" s="22"/>
      <c r="P193" s="22"/>
      <c r="Q193" s="22"/>
      <c r="S193" s="22"/>
      <c r="T193" s="22"/>
      <c r="U193" s="22"/>
      <c r="W193" s="22"/>
      <c r="X193" s="22"/>
      <c r="Y193" s="22"/>
      <c r="AA193" s="22"/>
      <c r="AB193" s="22"/>
      <c r="AC193" s="22"/>
      <c r="AE193" s="24"/>
      <c r="AF193" s="24"/>
      <c r="AG193" s="24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6"/>
      <c r="AW193" s="24"/>
      <c r="AX193" s="20"/>
      <c r="AY193" s="21"/>
      <c r="AZ193" s="22"/>
      <c r="BA193" s="22"/>
      <c r="BB193" s="22"/>
      <c r="BD193" s="22"/>
      <c r="BE193" s="22"/>
      <c r="BF193" s="22"/>
      <c r="BH193" s="22"/>
      <c r="BI193" s="22"/>
      <c r="BJ193" s="22"/>
      <c r="BL193" s="22"/>
      <c r="BM193" s="22"/>
      <c r="BN193" s="22"/>
      <c r="BP193" s="22"/>
      <c r="BQ193" s="22"/>
      <c r="BR193" s="22"/>
      <c r="BT193" s="22"/>
      <c r="BU193" s="22"/>
      <c r="BV193" s="22"/>
      <c r="BX193" s="22"/>
      <c r="BY193" s="22"/>
      <c r="BZ193" s="22"/>
      <c r="CB193" s="24"/>
      <c r="CC193" s="24"/>
      <c r="CD193" s="24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6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</row>
    <row r="194" spans="1:200" s="23" customFormat="1" ht="14.25" customHeight="1">
      <c r="A194" s="20"/>
      <c r="B194" s="21"/>
      <c r="C194" s="22"/>
      <c r="D194" s="22"/>
      <c r="E194" s="22"/>
      <c r="G194" s="22"/>
      <c r="H194" s="22"/>
      <c r="I194" s="22"/>
      <c r="K194" s="22"/>
      <c r="L194" s="22"/>
      <c r="M194" s="22"/>
      <c r="O194" s="22"/>
      <c r="P194" s="22"/>
      <c r="Q194" s="22"/>
      <c r="S194" s="22"/>
      <c r="T194" s="22"/>
      <c r="U194" s="22"/>
      <c r="W194" s="22"/>
      <c r="X194" s="22"/>
      <c r="Y194" s="22"/>
      <c r="AA194" s="22"/>
      <c r="AB194" s="22"/>
      <c r="AC194" s="22"/>
      <c r="AE194" s="24"/>
      <c r="AF194" s="24"/>
      <c r="AG194" s="24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6"/>
      <c r="AW194" s="24"/>
      <c r="AX194" s="20"/>
      <c r="AY194" s="21"/>
      <c r="AZ194" s="22"/>
      <c r="BA194" s="22"/>
      <c r="BB194" s="22"/>
      <c r="BD194" s="22"/>
      <c r="BE194" s="22"/>
      <c r="BF194" s="22"/>
      <c r="BH194" s="22"/>
      <c r="BI194" s="22"/>
      <c r="BJ194" s="22"/>
      <c r="BL194" s="22"/>
      <c r="BM194" s="22"/>
      <c r="BN194" s="22"/>
      <c r="BP194" s="22"/>
      <c r="BQ194" s="22"/>
      <c r="BR194" s="22"/>
      <c r="BT194" s="22"/>
      <c r="BU194" s="22"/>
      <c r="BV194" s="22"/>
      <c r="BX194" s="22"/>
      <c r="BY194" s="22"/>
      <c r="BZ194" s="22"/>
      <c r="CB194" s="24"/>
      <c r="CC194" s="24"/>
      <c r="CD194" s="24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6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</row>
    <row r="195" spans="1:200" s="23" customFormat="1" ht="14.25" customHeight="1">
      <c r="A195" s="20"/>
      <c r="B195" s="21"/>
      <c r="C195" s="22"/>
      <c r="D195" s="22"/>
      <c r="E195" s="22"/>
      <c r="G195" s="22"/>
      <c r="H195" s="22"/>
      <c r="I195" s="22"/>
      <c r="K195" s="22"/>
      <c r="L195" s="22"/>
      <c r="M195" s="22"/>
      <c r="O195" s="22"/>
      <c r="P195" s="22"/>
      <c r="Q195" s="22"/>
      <c r="S195" s="22"/>
      <c r="T195" s="22"/>
      <c r="U195" s="22"/>
      <c r="W195" s="22"/>
      <c r="X195" s="22"/>
      <c r="Y195" s="22"/>
      <c r="AA195" s="22"/>
      <c r="AB195" s="22"/>
      <c r="AC195" s="22"/>
      <c r="AE195" s="24"/>
      <c r="AF195" s="24"/>
      <c r="AG195" s="24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6"/>
      <c r="AW195" s="24"/>
      <c r="AX195" s="20"/>
      <c r="AY195" s="21"/>
      <c r="AZ195" s="22"/>
      <c r="BA195" s="22"/>
      <c r="BB195" s="22"/>
      <c r="BD195" s="22"/>
      <c r="BE195" s="22"/>
      <c r="BF195" s="22"/>
      <c r="BH195" s="22"/>
      <c r="BI195" s="22"/>
      <c r="BJ195" s="22"/>
      <c r="BL195" s="22"/>
      <c r="BM195" s="22"/>
      <c r="BN195" s="22"/>
      <c r="BP195" s="22"/>
      <c r="BQ195" s="22"/>
      <c r="BR195" s="22"/>
      <c r="BT195" s="22"/>
      <c r="BU195" s="22"/>
      <c r="BV195" s="22"/>
      <c r="BX195" s="22"/>
      <c r="BY195" s="22"/>
      <c r="BZ195" s="22"/>
      <c r="CB195" s="24"/>
      <c r="CC195" s="24"/>
      <c r="CD195" s="24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6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</row>
    <row r="196" spans="1:200" s="23" customFormat="1" ht="14.25" customHeight="1">
      <c r="A196" s="20"/>
      <c r="B196" s="21"/>
      <c r="C196" s="22"/>
      <c r="D196" s="22"/>
      <c r="E196" s="22"/>
      <c r="G196" s="22"/>
      <c r="H196" s="22"/>
      <c r="I196" s="22"/>
      <c r="K196" s="22"/>
      <c r="L196" s="22"/>
      <c r="M196" s="22"/>
      <c r="O196" s="22"/>
      <c r="P196" s="22"/>
      <c r="Q196" s="22"/>
      <c r="S196" s="22"/>
      <c r="T196" s="22"/>
      <c r="U196" s="22"/>
      <c r="W196" s="22"/>
      <c r="X196" s="22"/>
      <c r="Y196" s="22"/>
      <c r="AA196" s="22"/>
      <c r="AB196" s="22"/>
      <c r="AC196" s="22"/>
      <c r="AE196" s="24"/>
      <c r="AF196" s="24"/>
      <c r="AG196" s="24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6"/>
      <c r="AW196" s="24"/>
      <c r="AX196" s="20"/>
      <c r="AY196" s="21"/>
      <c r="AZ196" s="22"/>
      <c r="BA196" s="22"/>
      <c r="BB196" s="22"/>
      <c r="BD196" s="22"/>
      <c r="BE196" s="22"/>
      <c r="BF196" s="22"/>
      <c r="BH196" s="22"/>
      <c r="BI196" s="22"/>
      <c r="BJ196" s="22"/>
      <c r="BL196" s="22"/>
      <c r="BM196" s="22"/>
      <c r="BN196" s="22"/>
      <c r="BP196" s="22"/>
      <c r="BQ196" s="22"/>
      <c r="BR196" s="22"/>
      <c r="BT196" s="22"/>
      <c r="BU196" s="22"/>
      <c r="BV196" s="22"/>
      <c r="BX196" s="22"/>
      <c r="BY196" s="22"/>
      <c r="BZ196" s="22"/>
      <c r="CB196" s="24"/>
      <c r="CC196" s="24"/>
      <c r="CD196" s="24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6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</row>
    <row r="197" spans="1:200" s="23" customFormat="1" ht="14.25" customHeight="1">
      <c r="A197" s="20"/>
      <c r="B197" s="21"/>
      <c r="C197" s="22"/>
      <c r="D197" s="22"/>
      <c r="E197" s="22"/>
      <c r="G197" s="22"/>
      <c r="H197" s="22"/>
      <c r="I197" s="22"/>
      <c r="K197" s="22"/>
      <c r="L197" s="22"/>
      <c r="M197" s="22"/>
      <c r="O197" s="22"/>
      <c r="P197" s="22"/>
      <c r="Q197" s="22"/>
      <c r="S197" s="22"/>
      <c r="T197" s="22"/>
      <c r="U197" s="22"/>
      <c r="W197" s="22"/>
      <c r="X197" s="22"/>
      <c r="Y197" s="22"/>
      <c r="AA197" s="22"/>
      <c r="AB197" s="22"/>
      <c r="AC197" s="22"/>
      <c r="AE197" s="24"/>
      <c r="AF197" s="24"/>
      <c r="AG197" s="24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6"/>
      <c r="AW197" s="24"/>
      <c r="AX197" s="20"/>
      <c r="AY197" s="21"/>
      <c r="AZ197" s="22"/>
      <c r="BA197" s="22"/>
      <c r="BB197" s="22"/>
      <c r="BD197" s="22"/>
      <c r="BE197" s="22"/>
      <c r="BF197" s="22"/>
      <c r="BH197" s="22"/>
      <c r="BI197" s="22"/>
      <c r="BJ197" s="22"/>
      <c r="BL197" s="22"/>
      <c r="BM197" s="22"/>
      <c r="BN197" s="22"/>
      <c r="BP197" s="22"/>
      <c r="BQ197" s="22"/>
      <c r="BR197" s="22"/>
      <c r="BT197" s="22"/>
      <c r="BU197" s="22"/>
      <c r="BV197" s="22"/>
      <c r="BX197" s="22"/>
      <c r="BY197" s="22"/>
      <c r="BZ197" s="22"/>
      <c r="CB197" s="24"/>
      <c r="CC197" s="24"/>
      <c r="CD197" s="24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6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</row>
    <row r="198" spans="1:200" s="23" customFormat="1" ht="14.25" customHeight="1">
      <c r="A198" s="20"/>
      <c r="B198" s="21"/>
      <c r="C198" s="22"/>
      <c r="D198" s="22"/>
      <c r="E198" s="22"/>
      <c r="G198" s="22"/>
      <c r="H198" s="22"/>
      <c r="I198" s="22"/>
      <c r="K198" s="22"/>
      <c r="L198" s="22"/>
      <c r="M198" s="22"/>
      <c r="O198" s="22"/>
      <c r="P198" s="22"/>
      <c r="Q198" s="22"/>
      <c r="S198" s="22"/>
      <c r="T198" s="22"/>
      <c r="U198" s="22"/>
      <c r="W198" s="22"/>
      <c r="X198" s="22"/>
      <c r="Y198" s="22"/>
      <c r="AA198" s="22"/>
      <c r="AB198" s="22"/>
      <c r="AC198" s="22"/>
      <c r="AE198" s="24"/>
      <c r="AF198" s="24"/>
      <c r="AG198" s="24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6"/>
      <c r="AW198" s="24"/>
      <c r="AX198" s="20"/>
      <c r="AY198" s="21"/>
      <c r="AZ198" s="22"/>
      <c r="BA198" s="22"/>
      <c r="BB198" s="22"/>
      <c r="BD198" s="22"/>
      <c r="BE198" s="22"/>
      <c r="BF198" s="22"/>
      <c r="BH198" s="22"/>
      <c r="BI198" s="22"/>
      <c r="BJ198" s="22"/>
      <c r="BL198" s="22"/>
      <c r="BM198" s="22"/>
      <c r="BN198" s="22"/>
      <c r="BP198" s="22"/>
      <c r="BQ198" s="22"/>
      <c r="BR198" s="22"/>
      <c r="BT198" s="22"/>
      <c r="BU198" s="22"/>
      <c r="BV198" s="22"/>
      <c r="BX198" s="22"/>
      <c r="BY198" s="22"/>
      <c r="BZ198" s="22"/>
      <c r="CB198" s="24"/>
      <c r="CC198" s="24"/>
      <c r="CD198" s="24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6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</row>
    <row r="199" spans="1:200" s="23" customFormat="1" ht="14.25" customHeight="1">
      <c r="A199" s="20"/>
      <c r="B199" s="21"/>
      <c r="C199" s="22"/>
      <c r="D199" s="22"/>
      <c r="E199" s="22"/>
      <c r="G199" s="22"/>
      <c r="H199" s="22"/>
      <c r="I199" s="22"/>
      <c r="K199" s="22"/>
      <c r="L199" s="22"/>
      <c r="M199" s="22"/>
      <c r="O199" s="22"/>
      <c r="P199" s="22"/>
      <c r="Q199" s="22"/>
      <c r="S199" s="22"/>
      <c r="T199" s="22"/>
      <c r="U199" s="22"/>
      <c r="W199" s="22"/>
      <c r="X199" s="22"/>
      <c r="Y199" s="22"/>
      <c r="AA199" s="22"/>
      <c r="AB199" s="22"/>
      <c r="AC199" s="22"/>
      <c r="AE199" s="24"/>
      <c r="AF199" s="24"/>
      <c r="AG199" s="24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6"/>
      <c r="AW199" s="24"/>
      <c r="AX199" s="20"/>
      <c r="AY199" s="21"/>
      <c r="AZ199" s="22"/>
      <c r="BA199" s="22"/>
      <c r="BB199" s="22"/>
      <c r="BD199" s="22"/>
      <c r="BE199" s="22"/>
      <c r="BF199" s="22"/>
      <c r="BH199" s="22"/>
      <c r="BI199" s="22"/>
      <c r="BJ199" s="22"/>
      <c r="BL199" s="22"/>
      <c r="BM199" s="22"/>
      <c r="BN199" s="22"/>
      <c r="BP199" s="22"/>
      <c r="BQ199" s="22"/>
      <c r="BR199" s="22"/>
      <c r="BT199" s="22"/>
      <c r="BU199" s="22"/>
      <c r="BV199" s="22"/>
      <c r="BX199" s="22"/>
      <c r="BY199" s="22"/>
      <c r="BZ199" s="22"/>
      <c r="CB199" s="24"/>
      <c r="CC199" s="24"/>
      <c r="CD199" s="24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6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</row>
    <row r="200" spans="1:200" s="23" customFormat="1" ht="14.25" customHeight="1">
      <c r="A200" s="20"/>
      <c r="B200" s="21"/>
      <c r="C200" s="22"/>
      <c r="D200" s="22"/>
      <c r="E200" s="22"/>
      <c r="G200" s="22"/>
      <c r="H200" s="22"/>
      <c r="I200" s="22"/>
      <c r="K200" s="22"/>
      <c r="L200" s="22"/>
      <c r="M200" s="22"/>
      <c r="O200" s="22"/>
      <c r="P200" s="22"/>
      <c r="Q200" s="22"/>
      <c r="S200" s="22"/>
      <c r="T200" s="22"/>
      <c r="U200" s="22"/>
      <c r="W200" s="22"/>
      <c r="X200" s="22"/>
      <c r="Y200" s="22"/>
      <c r="AA200" s="22"/>
      <c r="AB200" s="22"/>
      <c r="AC200" s="22"/>
      <c r="AE200" s="24"/>
      <c r="AF200" s="24"/>
      <c r="AG200" s="24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6"/>
      <c r="AW200" s="24"/>
      <c r="AX200" s="20"/>
      <c r="AY200" s="21"/>
      <c r="AZ200" s="22"/>
      <c r="BA200" s="22"/>
      <c r="BB200" s="22"/>
      <c r="BD200" s="22"/>
      <c r="BE200" s="22"/>
      <c r="BF200" s="22"/>
      <c r="BH200" s="22"/>
      <c r="BI200" s="22"/>
      <c r="BJ200" s="22"/>
      <c r="BL200" s="22"/>
      <c r="BM200" s="22"/>
      <c r="BN200" s="22"/>
      <c r="BP200" s="22"/>
      <c r="BQ200" s="22"/>
      <c r="BR200" s="22"/>
      <c r="BT200" s="22"/>
      <c r="BU200" s="22"/>
      <c r="BV200" s="22"/>
      <c r="BX200" s="22"/>
      <c r="BY200" s="22"/>
      <c r="BZ200" s="22"/>
      <c r="CB200" s="24"/>
      <c r="CC200" s="24"/>
      <c r="CD200" s="24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6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</row>
    <row r="201" spans="1:200" s="23" customFormat="1" ht="14.25" customHeight="1">
      <c r="A201" s="20"/>
      <c r="B201" s="21"/>
      <c r="C201" s="22"/>
      <c r="D201" s="22"/>
      <c r="E201" s="22"/>
      <c r="G201" s="22"/>
      <c r="H201" s="22"/>
      <c r="I201" s="22"/>
      <c r="K201" s="22"/>
      <c r="L201" s="22"/>
      <c r="M201" s="22"/>
      <c r="O201" s="22"/>
      <c r="P201" s="22"/>
      <c r="Q201" s="22"/>
      <c r="S201" s="22"/>
      <c r="T201" s="22"/>
      <c r="U201" s="22"/>
      <c r="W201" s="22"/>
      <c r="X201" s="22"/>
      <c r="Y201" s="22"/>
      <c r="AA201" s="22"/>
      <c r="AB201" s="22"/>
      <c r="AC201" s="22"/>
      <c r="AE201" s="24"/>
      <c r="AF201" s="24"/>
      <c r="AG201" s="24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6"/>
      <c r="AW201" s="24"/>
      <c r="AX201" s="20"/>
      <c r="AY201" s="21"/>
      <c r="AZ201" s="22"/>
      <c r="BA201" s="22"/>
      <c r="BB201" s="22"/>
      <c r="BD201" s="22"/>
      <c r="BE201" s="22"/>
      <c r="BF201" s="22"/>
      <c r="BH201" s="22"/>
      <c r="BI201" s="22"/>
      <c r="BJ201" s="22"/>
      <c r="BL201" s="22"/>
      <c r="BM201" s="22"/>
      <c r="BN201" s="22"/>
      <c r="BP201" s="22"/>
      <c r="BQ201" s="22"/>
      <c r="BR201" s="22"/>
      <c r="BT201" s="22"/>
      <c r="BU201" s="22"/>
      <c r="BV201" s="22"/>
      <c r="BX201" s="22"/>
      <c r="BY201" s="22"/>
      <c r="BZ201" s="22"/>
      <c r="CB201" s="24"/>
      <c r="CC201" s="24"/>
      <c r="CD201" s="24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6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</row>
    <row r="202" spans="1:200" s="23" customFormat="1" ht="14.25" customHeight="1">
      <c r="A202" s="20"/>
      <c r="B202" s="21"/>
      <c r="C202" s="22"/>
      <c r="D202" s="22"/>
      <c r="E202" s="22"/>
      <c r="G202" s="22"/>
      <c r="H202" s="22"/>
      <c r="I202" s="22"/>
      <c r="K202" s="22"/>
      <c r="L202" s="22"/>
      <c r="M202" s="22"/>
      <c r="O202" s="22"/>
      <c r="P202" s="22"/>
      <c r="Q202" s="22"/>
      <c r="S202" s="22"/>
      <c r="T202" s="22"/>
      <c r="U202" s="22"/>
      <c r="W202" s="22"/>
      <c r="X202" s="22"/>
      <c r="Y202" s="22"/>
      <c r="AA202" s="22"/>
      <c r="AB202" s="22"/>
      <c r="AC202" s="22"/>
      <c r="AE202" s="24"/>
      <c r="AF202" s="24"/>
      <c r="AG202" s="24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6"/>
      <c r="AW202" s="24"/>
      <c r="AX202" s="20"/>
      <c r="AY202" s="21"/>
      <c r="AZ202" s="22"/>
      <c r="BA202" s="22"/>
      <c r="BB202" s="22"/>
      <c r="BD202" s="22"/>
      <c r="BE202" s="22"/>
      <c r="BF202" s="22"/>
      <c r="BH202" s="22"/>
      <c r="BI202" s="22"/>
      <c r="BJ202" s="22"/>
      <c r="BL202" s="22"/>
      <c r="BM202" s="22"/>
      <c r="BN202" s="22"/>
      <c r="BP202" s="22"/>
      <c r="BQ202" s="22"/>
      <c r="BR202" s="22"/>
      <c r="BT202" s="22"/>
      <c r="BU202" s="22"/>
      <c r="BV202" s="22"/>
      <c r="BX202" s="22"/>
      <c r="BY202" s="22"/>
      <c r="BZ202" s="22"/>
      <c r="CB202" s="24"/>
      <c r="CC202" s="24"/>
      <c r="CD202" s="24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6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</row>
    <row r="203" spans="1:200" s="23" customFormat="1" ht="14.25" customHeight="1">
      <c r="A203" s="20"/>
      <c r="B203" s="21"/>
      <c r="C203" s="22"/>
      <c r="D203" s="22"/>
      <c r="E203" s="22"/>
      <c r="G203" s="22"/>
      <c r="H203" s="22"/>
      <c r="I203" s="22"/>
      <c r="K203" s="22"/>
      <c r="L203" s="22"/>
      <c r="M203" s="22"/>
      <c r="O203" s="22"/>
      <c r="P203" s="22"/>
      <c r="Q203" s="22"/>
      <c r="S203" s="22"/>
      <c r="T203" s="22"/>
      <c r="U203" s="22"/>
      <c r="W203" s="22"/>
      <c r="X203" s="22"/>
      <c r="Y203" s="22"/>
      <c r="AA203" s="22"/>
      <c r="AB203" s="22"/>
      <c r="AC203" s="22"/>
      <c r="AE203" s="24"/>
      <c r="AF203" s="24"/>
      <c r="AG203" s="24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6"/>
      <c r="AW203" s="24"/>
      <c r="AX203" s="20"/>
      <c r="AY203" s="21"/>
      <c r="AZ203" s="22"/>
      <c r="BA203" s="22"/>
      <c r="BB203" s="22"/>
      <c r="BD203" s="22"/>
      <c r="BE203" s="22"/>
      <c r="BF203" s="22"/>
      <c r="BH203" s="22"/>
      <c r="BI203" s="22"/>
      <c r="BJ203" s="22"/>
      <c r="BL203" s="22"/>
      <c r="BM203" s="22"/>
      <c r="BN203" s="22"/>
      <c r="BP203" s="22"/>
      <c r="BQ203" s="22"/>
      <c r="BR203" s="22"/>
      <c r="BT203" s="22"/>
      <c r="BU203" s="22"/>
      <c r="BV203" s="22"/>
      <c r="BX203" s="22"/>
      <c r="BY203" s="22"/>
      <c r="BZ203" s="22"/>
      <c r="CB203" s="24"/>
      <c r="CC203" s="24"/>
      <c r="CD203" s="24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6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4"/>
      <c r="GQ203" s="24"/>
      <c r="GR203" s="24"/>
    </row>
    <row r="204" spans="1:200" s="23" customFormat="1" ht="14.25" customHeight="1">
      <c r="A204" s="20"/>
      <c r="B204" s="21"/>
      <c r="C204" s="22"/>
      <c r="D204" s="22"/>
      <c r="E204" s="22"/>
      <c r="G204" s="22"/>
      <c r="H204" s="22"/>
      <c r="I204" s="22"/>
      <c r="K204" s="22"/>
      <c r="L204" s="22"/>
      <c r="M204" s="22"/>
      <c r="O204" s="22"/>
      <c r="P204" s="22"/>
      <c r="Q204" s="22"/>
      <c r="S204" s="22"/>
      <c r="T204" s="22"/>
      <c r="U204" s="22"/>
      <c r="W204" s="22"/>
      <c r="X204" s="22"/>
      <c r="Y204" s="22"/>
      <c r="AA204" s="22"/>
      <c r="AB204" s="22"/>
      <c r="AC204" s="22"/>
      <c r="AE204" s="24"/>
      <c r="AF204" s="24"/>
      <c r="AG204" s="24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6"/>
      <c r="AW204" s="24"/>
      <c r="AX204" s="20"/>
      <c r="AY204" s="21"/>
      <c r="AZ204" s="22"/>
      <c r="BA204" s="22"/>
      <c r="BB204" s="22"/>
      <c r="BD204" s="22"/>
      <c r="BE204" s="22"/>
      <c r="BF204" s="22"/>
      <c r="BH204" s="22"/>
      <c r="BI204" s="22"/>
      <c r="BJ204" s="22"/>
      <c r="BL204" s="22"/>
      <c r="BM204" s="22"/>
      <c r="BN204" s="22"/>
      <c r="BP204" s="22"/>
      <c r="BQ204" s="22"/>
      <c r="BR204" s="22"/>
      <c r="BT204" s="22"/>
      <c r="BU204" s="22"/>
      <c r="BV204" s="22"/>
      <c r="BX204" s="22"/>
      <c r="BY204" s="22"/>
      <c r="BZ204" s="22"/>
      <c r="CB204" s="24"/>
      <c r="CC204" s="24"/>
      <c r="CD204" s="24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6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24"/>
      <c r="GQ204" s="24"/>
      <c r="GR204" s="24"/>
    </row>
    <row r="205" spans="1:200" s="23" customFormat="1" ht="14.25" customHeight="1">
      <c r="A205" s="20"/>
      <c r="B205" s="21"/>
      <c r="C205" s="22"/>
      <c r="D205" s="22"/>
      <c r="E205" s="22"/>
      <c r="G205" s="22"/>
      <c r="H205" s="22"/>
      <c r="I205" s="22"/>
      <c r="K205" s="22"/>
      <c r="L205" s="22"/>
      <c r="M205" s="22"/>
      <c r="O205" s="22"/>
      <c r="P205" s="22"/>
      <c r="Q205" s="22"/>
      <c r="S205" s="22"/>
      <c r="T205" s="22"/>
      <c r="U205" s="22"/>
      <c r="W205" s="22"/>
      <c r="X205" s="22"/>
      <c r="Y205" s="22"/>
      <c r="AA205" s="22"/>
      <c r="AB205" s="22"/>
      <c r="AC205" s="22"/>
      <c r="AE205" s="24"/>
      <c r="AF205" s="24"/>
      <c r="AG205" s="24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6"/>
      <c r="AW205" s="24"/>
      <c r="AX205" s="20"/>
      <c r="AY205" s="21"/>
      <c r="AZ205" s="22"/>
      <c r="BA205" s="22"/>
      <c r="BB205" s="22"/>
      <c r="BD205" s="22"/>
      <c r="BE205" s="22"/>
      <c r="BF205" s="22"/>
      <c r="BH205" s="22"/>
      <c r="BI205" s="22"/>
      <c r="BJ205" s="22"/>
      <c r="BL205" s="22"/>
      <c r="BM205" s="22"/>
      <c r="BN205" s="22"/>
      <c r="BP205" s="22"/>
      <c r="BQ205" s="22"/>
      <c r="BR205" s="22"/>
      <c r="BT205" s="22"/>
      <c r="BU205" s="22"/>
      <c r="BV205" s="22"/>
      <c r="BX205" s="22"/>
      <c r="BY205" s="22"/>
      <c r="BZ205" s="22"/>
      <c r="CB205" s="24"/>
      <c r="CC205" s="24"/>
      <c r="CD205" s="24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6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</row>
    <row r="206" spans="1:200" s="23" customFormat="1" ht="14.25" customHeight="1">
      <c r="A206" s="20"/>
      <c r="B206" s="21"/>
      <c r="C206" s="22"/>
      <c r="D206" s="22"/>
      <c r="E206" s="22"/>
      <c r="G206" s="22"/>
      <c r="H206" s="22"/>
      <c r="I206" s="22"/>
      <c r="K206" s="22"/>
      <c r="L206" s="22"/>
      <c r="M206" s="22"/>
      <c r="O206" s="22"/>
      <c r="P206" s="22"/>
      <c r="Q206" s="22"/>
      <c r="S206" s="22"/>
      <c r="T206" s="22"/>
      <c r="U206" s="22"/>
      <c r="W206" s="22"/>
      <c r="X206" s="22"/>
      <c r="Y206" s="22"/>
      <c r="AA206" s="22"/>
      <c r="AB206" s="22"/>
      <c r="AC206" s="22"/>
      <c r="AE206" s="24"/>
      <c r="AF206" s="24"/>
      <c r="AG206" s="24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6"/>
      <c r="AW206" s="24"/>
      <c r="AX206" s="20"/>
      <c r="AY206" s="21"/>
      <c r="AZ206" s="22"/>
      <c r="BA206" s="22"/>
      <c r="BB206" s="22"/>
      <c r="BD206" s="22"/>
      <c r="BE206" s="22"/>
      <c r="BF206" s="22"/>
      <c r="BH206" s="22"/>
      <c r="BI206" s="22"/>
      <c r="BJ206" s="22"/>
      <c r="BL206" s="22"/>
      <c r="BM206" s="22"/>
      <c r="BN206" s="22"/>
      <c r="BP206" s="22"/>
      <c r="BQ206" s="22"/>
      <c r="BR206" s="22"/>
      <c r="BT206" s="22"/>
      <c r="BU206" s="22"/>
      <c r="BV206" s="22"/>
      <c r="BX206" s="22"/>
      <c r="BY206" s="22"/>
      <c r="BZ206" s="22"/>
      <c r="CB206" s="24"/>
      <c r="CC206" s="24"/>
      <c r="CD206" s="24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6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</row>
    <row r="207" spans="1:200" s="23" customFormat="1" ht="14.25" customHeight="1">
      <c r="A207" s="20"/>
      <c r="B207" s="21"/>
      <c r="C207" s="22"/>
      <c r="D207" s="22"/>
      <c r="E207" s="22"/>
      <c r="G207" s="22"/>
      <c r="H207" s="22"/>
      <c r="I207" s="22"/>
      <c r="K207" s="22"/>
      <c r="L207" s="22"/>
      <c r="M207" s="22"/>
      <c r="O207" s="22"/>
      <c r="P207" s="22"/>
      <c r="Q207" s="22"/>
      <c r="S207" s="22"/>
      <c r="T207" s="22"/>
      <c r="U207" s="22"/>
      <c r="W207" s="22"/>
      <c r="X207" s="22"/>
      <c r="Y207" s="22"/>
      <c r="AA207" s="22"/>
      <c r="AB207" s="22"/>
      <c r="AC207" s="22"/>
      <c r="AE207" s="24"/>
      <c r="AF207" s="24"/>
      <c r="AG207" s="24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6"/>
      <c r="AW207" s="24"/>
      <c r="AX207" s="20"/>
      <c r="AY207" s="21"/>
      <c r="AZ207" s="22"/>
      <c r="BA207" s="22"/>
      <c r="BB207" s="22"/>
      <c r="BD207" s="22"/>
      <c r="BE207" s="22"/>
      <c r="BF207" s="22"/>
      <c r="BH207" s="22"/>
      <c r="BI207" s="22"/>
      <c r="BJ207" s="22"/>
      <c r="BL207" s="22"/>
      <c r="BM207" s="22"/>
      <c r="BN207" s="22"/>
      <c r="BP207" s="22"/>
      <c r="BQ207" s="22"/>
      <c r="BR207" s="22"/>
      <c r="BT207" s="22"/>
      <c r="BU207" s="22"/>
      <c r="BV207" s="22"/>
      <c r="BX207" s="22"/>
      <c r="BY207" s="22"/>
      <c r="BZ207" s="22"/>
      <c r="CB207" s="24"/>
      <c r="CC207" s="24"/>
      <c r="CD207" s="24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6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24"/>
      <c r="GQ207" s="24"/>
      <c r="GR207" s="24"/>
    </row>
    <row r="208" spans="1:200" s="23" customFormat="1" ht="14.25" customHeight="1">
      <c r="A208" s="20"/>
      <c r="B208" s="21"/>
      <c r="C208" s="22"/>
      <c r="D208" s="22"/>
      <c r="E208" s="22"/>
      <c r="G208" s="22"/>
      <c r="H208" s="22"/>
      <c r="I208" s="22"/>
      <c r="K208" s="22"/>
      <c r="L208" s="22"/>
      <c r="M208" s="22"/>
      <c r="O208" s="22"/>
      <c r="P208" s="22"/>
      <c r="Q208" s="22"/>
      <c r="S208" s="22"/>
      <c r="T208" s="22"/>
      <c r="U208" s="22"/>
      <c r="W208" s="22"/>
      <c r="X208" s="22"/>
      <c r="Y208" s="22"/>
      <c r="AA208" s="22"/>
      <c r="AB208" s="22"/>
      <c r="AC208" s="22"/>
      <c r="AE208" s="24"/>
      <c r="AF208" s="24"/>
      <c r="AG208" s="24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6"/>
      <c r="AW208" s="24"/>
      <c r="AX208" s="20"/>
      <c r="AY208" s="21"/>
      <c r="AZ208" s="22"/>
      <c r="BA208" s="22"/>
      <c r="BB208" s="22"/>
      <c r="BD208" s="22"/>
      <c r="BE208" s="22"/>
      <c r="BF208" s="22"/>
      <c r="BH208" s="22"/>
      <c r="BI208" s="22"/>
      <c r="BJ208" s="22"/>
      <c r="BL208" s="22"/>
      <c r="BM208" s="22"/>
      <c r="BN208" s="22"/>
      <c r="BP208" s="22"/>
      <c r="BQ208" s="22"/>
      <c r="BR208" s="22"/>
      <c r="BT208" s="22"/>
      <c r="BU208" s="22"/>
      <c r="BV208" s="22"/>
      <c r="BX208" s="22"/>
      <c r="BY208" s="22"/>
      <c r="BZ208" s="22"/>
      <c r="CB208" s="24"/>
      <c r="CC208" s="24"/>
      <c r="CD208" s="24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6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4"/>
      <c r="GQ208" s="24"/>
      <c r="GR208" s="24"/>
    </row>
    <row r="209" spans="1:200" s="23" customFormat="1" ht="14.25" customHeight="1">
      <c r="A209" s="20"/>
      <c r="B209" s="21"/>
      <c r="C209" s="22"/>
      <c r="D209" s="22"/>
      <c r="E209" s="22"/>
      <c r="G209" s="22"/>
      <c r="H209" s="22"/>
      <c r="I209" s="22"/>
      <c r="K209" s="22"/>
      <c r="L209" s="22"/>
      <c r="M209" s="22"/>
      <c r="O209" s="22"/>
      <c r="P209" s="22"/>
      <c r="Q209" s="22"/>
      <c r="S209" s="22"/>
      <c r="T209" s="22"/>
      <c r="U209" s="22"/>
      <c r="W209" s="22"/>
      <c r="X209" s="22"/>
      <c r="Y209" s="22"/>
      <c r="AA209" s="22"/>
      <c r="AB209" s="22"/>
      <c r="AC209" s="22"/>
      <c r="AE209" s="24"/>
      <c r="AF209" s="24"/>
      <c r="AG209" s="24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6"/>
      <c r="AW209" s="24"/>
      <c r="AX209" s="20"/>
      <c r="AY209" s="21"/>
      <c r="AZ209" s="22"/>
      <c r="BA209" s="22"/>
      <c r="BB209" s="22"/>
      <c r="BD209" s="22"/>
      <c r="BE209" s="22"/>
      <c r="BF209" s="22"/>
      <c r="BH209" s="22"/>
      <c r="BI209" s="22"/>
      <c r="BJ209" s="22"/>
      <c r="BL209" s="22"/>
      <c r="BM209" s="22"/>
      <c r="BN209" s="22"/>
      <c r="BP209" s="22"/>
      <c r="BQ209" s="22"/>
      <c r="BR209" s="22"/>
      <c r="BT209" s="22"/>
      <c r="BU209" s="22"/>
      <c r="BV209" s="22"/>
      <c r="BX209" s="22"/>
      <c r="BY209" s="22"/>
      <c r="BZ209" s="22"/>
      <c r="CB209" s="24"/>
      <c r="CC209" s="24"/>
      <c r="CD209" s="24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6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</row>
    <row r="210" spans="1:200" s="23" customFormat="1" ht="14.25" customHeight="1">
      <c r="A210" s="20"/>
      <c r="B210" s="21"/>
      <c r="C210" s="22"/>
      <c r="D210" s="22"/>
      <c r="E210" s="22"/>
      <c r="G210" s="22"/>
      <c r="H210" s="22"/>
      <c r="I210" s="22"/>
      <c r="K210" s="22"/>
      <c r="L210" s="22"/>
      <c r="M210" s="22"/>
      <c r="O210" s="22"/>
      <c r="P210" s="22"/>
      <c r="Q210" s="22"/>
      <c r="S210" s="22"/>
      <c r="T210" s="22"/>
      <c r="U210" s="22"/>
      <c r="W210" s="22"/>
      <c r="X210" s="22"/>
      <c r="Y210" s="22"/>
      <c r="AA210" s="22"/>
      <c r="AB210" s="22"/>
      <c r="AC210" s="22"/>
      <c r="AE210" s="24"/>
      <c r="AF210" s="24"/>
      <c r="AG210" s="24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6"/>
      <c r="AW210" s="24"/>
      <c r="AX210" s="20"/>
      <c r="AY210" s="21"/>
      <c r="AZ210" s="22"/>
      <c r="BA210" s="22"/>
      <c r="BB210" s="22"/>
      <c r="BD210" s="22"/>
      <c r="BE210" s="22"/>
      <c r="BF210" s="22"/>
      <c r="BH210" s="22"/>
      <c r="BI210" s="22"/>
      <c r="BJ210" s="22"/>
      <c r="BL210" s="22"/>
      <c r="BM210" s="22"/>
      <c r="BN210" s="22"/>
      <c r="BP210" s="22"/>
      <c r="BQ210" s="22"/>
      <c r="BR210" s="22"/>
      <c r="BT210" s="22"/>
      <c r="BU210" s="22"/>
      <c r="BV210" s="22"/>
      <c r="BX210" s="22"/>
      <c r="BY210" s="22"/>
      <c r="BZ210" s="22"/>
      <c r="CB210" s="24"/>
      <c r="CC210" s="24"/>
      <c r="CD210" s="24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6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</row>
    <row r="211" spans="1:200" s="23" customFormat="1" ht="14.25" customHeight="1">
      <c r="A211" s="20"/>
      <c r="B211" s="21"/>
      <c r="C211" s="22"/>
      <c r="D211" s="22"/>
      <c r="E211" s="22"/>
      <c r="G211" s="22"/>
      <c r="H211" s="22"/>
      <c r="I211" s="22"/>
      <c r="K211" s="22"/>
      <c r="L211" s="22"/>
      <c r="M211" s="22"/>
      <c r="O211" s="22"/>
      <c r="P211" s="22"/>
      <c r="Q211" s="22"/>
      <c r="S211" s="22"/>
      <c r="T211" s="22"/>
      <c r="U211" s="22"/>
      <c r="W211" s="22"/>
      <c r="X211" s="22"/>
      <c r="Y211" s="22"/>
      <c r="AA211" s="22"/>
      <c r="AB211" s="22"/>
      <c r="AC211" s="22"/>
      <c r="AE211" s="24"/>
      <c r="AF211" s="24"/>
      <c r="AG211" s="24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6"/>
      <c r="AW211" s="24"/>
      <c r="AX211" s="20"/>
      <c r="AY211" s="21"/>
      <c r="AZ211" s="22"/>
      <c r="BA211" s="22"/>
      <c r="BB211" s="22"/>
      <c r="BD211" s="22"/>
      <c r="BE211" s="22"/>
      <c r="BF211" s="22"/>
      <c r="BH211" s="22"/>
      <c r="BI211" s="22"/>
      <c r="BJ211" s="22"/>
      <c r="BL211" s="22"/>
      <c r="BM211" s="22"/>
      <c r="BN211" s="22"/>
      <c r="BP211" s="22"/>
      <c r="BQ211" s="22"/>
      <c r="BR211" s="22"/>
      <c r="BT211" s="22"/>
      <c r="BU211" s="22"/>
      <c r="BV211" s="22"/>
      <c r="BX211" s="22"/>
      <c r="BY211" s="22"/>
      <c r="BZ211" s="22"/>
      <c r="CB211" s="24"/>
      <c r="CC211" s="24"/>
      <c r="CD211" s="24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6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</row>
    <row r="212" spans="1:200" s="23" customFormat="1" ht="14.25" customHeight="1">
      <c r="A212" s="20"/>
      <c r="B212" s="21"/>
      <c r="C212" s="22"/>
      <c r="D212" s="22"/>
      <c r="E212" s="22"/>
      <c r="G212" s="22"/>
      <c r="H212" s="22"/>
      <c r="I212" s="22"/>
      <c r="K212" s="22"/>
      <c r="L212" s="22"/>
      <c r="M212" s="22"/>
      <c r="O212" s="22"/>
      <c r="P212" s="22"/>
      <c r="Q212" s="22"/>
      <c r="S212" s="22"/>
      <c r="T212" s="22"/>
      <c r="U212" s="22"/>
      <c r="W212" s="22"/>
      <c r="X212" s="22"/>
      <c r="Y212" s="22"/>
      <c r="AA212" s="22"/>
      <c r="AB212" s="22"/>
      <c r="AC212" s="22"/>
      <c r="AE212" s="24"/>
      <c r="AF212" s="24"/>
      <c r="AG212" s="24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6"/>
      <c r="AW212" s="24"/>
      <c r="AX212" s="20"/>
      <c r="AY212" s="21"/>
      <c r="AZ212" s="22"/>
      <c r="BA212" s="22"/>
      <c r="BB212" s="22"/>
      <c r="BD212" s="22"/>
      <c r="BE212" s="22"/>
      <c r="BF212" s="22"/>
      <c r="BH212" s="22"/>
      <c r="BI212" s="22"/>
      <c r="BJ212" s="22"/>
      <c r="BL212" s="22"/>
      <c r="BM212" s="22"/>
      <c r="BN212" s="22"/>
      <c r="BP212" s="22"/>
      <c r="BQ212" s="22"/>
      <c r="BR212" s="22"/>
      <c r="BT212" s="22"/>
      <c r="BU212" s="22"/>
      <c r="BV212" s="22"/>
      <c r="BX212" s="22"/>
      <c r="BY212" s="22"/>
      <c r="BZ212" s="22"/>
      <c r="CB212" s="24"/>
      <c r="CC212" s="24"/>
      <c r="CD212" s="24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6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</row>
    <row r="213" spans="1:200" s="23" customFormat="1" ht="14.25" customHeight="1">
      <c r="A213" s="20"/>
      <c r="B213" s="21"/>
      <c r="C213" s="22"/>
      <c r="D213" s="22"/>
      <c r="E213" s="22"/>
      <c r="G213" s="22"/>
      <c r="H213" s="22"/>
      <c r="I213" s="22"/>
      <c r="K213" s="22"/>
      <c r="L213" s="22"/>
      <c r="M213" s="22"/>
      <c r="O213" s="22"/>
      <c r="P213" s="22"/>
      <c r="Q213" s="22"/>
      <c r="S213" s="22"/>
      <c r="T213" s="22"/>
      <c r="U213" s="22"/>
      <c r="W213" s="22"/>
      <c r="X213" s="22"/>
      <c r="Y213" s="22"/>
      <c r="AA213" s="22"/>
      <c r="AB213" s="22"/>
      <c r="AC213" s="22"/>
      <c r="AE213" s="24"/>
      <c r="AF213" s="24"/>
      <c r="AG213" s="24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6"/>
      <c r="AW213" s="24"/>
      <c r="AX213" s="20"/>
      <c r="AY213" s="21"/>
      <c r="AZ213" s="22"/>
      <c r="BA213" s="22"/>
      <c r="BB213" s="22"/>
      <c r="BD213" s="22"/>
      <c r="BE213" s="22"/>
      <c r="BF213" s="22"/>
      <c r="BH213" s="22"/>
      <c r="BI213" s="22"/>
      <c r="BJ213" s="22"/>
      <c r="BL213" s="22"/>
      <c r="BM213" s="22"/>
      <c r="BN213" s="22"/>
      <c r="BP213" s="22"/>
      <c r="BQ213" s="22"/>
      <c r="BR213" s="22"/>
      <c r="BT213" s="22"/>
      <c r="BU213" s="22"/>
      <c r="BV213" s="22"/>
      <c r="BX213" s="22"/>
      <c r="BY213" s="22"/>
      <c r="BZ213" s="22"/>
      <c r="CB213" s="24"/>
      <c r="CC213" s="24"/>
      <c r="CD213" s="24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6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</row>
    <row r="214" spans="1:200" s="23" customFormat="1" ht="14.25" customHeight="1">
      <c r="A214" s="20"/>
      <c r="B214" s="21"/>
      <c r="C214" s="22"/>
      <c r="D214" s="22"/>
      <c r="E214" s="22"/>
      <c r="G214" s="22"/>
      <c r="H214" s="22"/>
      <c r="I214" s="22"/>
      <c r="K214" s="22"/>
      <c r="L214" s="22"/>
      <c r="M214" s="22"/>
      <c r="O214" s="22"/>
      <c r="P214" s="22"/>
      <c r="Q214" s="22"/>
      <c r="S214" s="22"/>
      <c r="T214" s="22"/>
      <c r="U214" s="22"/>
      <c r="W214" s="22"/>
      <c r="X214" s="22"/>
      <c r="Y214" s="22"/>
      <c r="AA214" s="22"/>
      <c r="AB214" s="22"/>
      <c r="AC214" s="22"/>
      <c r="AE214" s="24"/>
      <c r="AF214" s="24"/>
      <c r="AG214" s="24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6"/>
      <c r="AW214" s="24"/>
      <c r="AX214" s="20"/>
      <c r="AY214" s="21"/>
      <c r="AZ214" s="22"/>
      <c r="BA214" s="22"/>
      <c r="BB214" s="22"/>
      <c r="BD214" s="22"/>
      <c r="BE214" s="22"/>
      <c r="BF214" s="22"/>
      <c r="BH214" s="22"/>
      <c r="BI214" s="22"/>
      <c r="BJ214" s="22"/>
      <c r="BL214" s="22"/>
      <c r="BM214" s="22"/>
      <c r="BN214" s="22"/>
      <c r="BP214" s="22"/>
      <c r="BQ214" s="22"/>
      <c r="BR214" s="22"/>
      <c r="BT214" s="22"/>
      <c r="BU214" s="22"/>
      <c r="BV214" s="22"/>
      <c r="BX214" s="22"/>
      <c r="BY214" s="22"/>
      <c r="BZ214" s="22"/>
      <c r="CB214" s="24"/>
      <c r="CC214" s="24"/>
      <c r="CD214" s="24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6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</row>
    <row r="215" spans="1:200" s="23" customFormat="1" ht="14.25" customHeight="1">
      <c r="A215" s="20"/>
      <c r="B215" s="21"/>
      <c r="C215" s="22"/>
      <c r="D215" s="22"/>
      <c r="E215" s="22"/>
      <c r="G215" s="22"/>
      <c r="H215" s="22"/>
      <c r="I215" s="22"/>
      <c r="K215" s="22"/>
      <c r="L215" s="22"/>
      <c r="M215" s="22"/>
      <c r="O215" s="22"/>
      <c r="P215" s="22"/>
      <c r="Q215" s="22"/>
      <c r="S215" s="22"/>
      <c r="T215" s="22"/>
      <c r="U215" s="22"/>
      <c r="W215" s="22"/>
      <c r="X215" s="22"/>
      <c r="Y215" s="22"/>
      <c r="AA215" s="22"/>
      <c r="AB215" s="22"/>
      <c r="AC215" s="22"/>
      <c r="AE215" s="24"/>
      <c r="AF215" s="24"/>
      <c r="AG215" s="24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6"/>
      <c r="AW215" s="24"/>
      <c r="AX215" s="20"/>
      <c r="AY215" s="21"/>
      <c r="AZ215" s="22"/>
      <c r="BA215" s="22"/>
      <c r="BB215" s="22"/>
      <c r="BD215" s="22"/>
      <c r="BE215" s="22"/>
      <c r="BF215" s="22"/>
      <c r="BH215" s="22"/>
      <c r="BI215" s="22"/>
      <c r="BJ215" s="22"/>
      <c r="BL215" s="22"/>
      <c r="BM215" s="22"/>
      <c r="BN215" s="22"/>
      <c r="BP215" s="22"/>
      <c r="BQ215" s="22"/>
      <c r="BR215" s="22"/>
      <c r="BT215" s="22"/>
      <c r="BU215" s="22"/>
      <c r="BV215" s="22"/>
      <c r="BX215" s="22"/>
      <c r="BY215" s="22"/>
      <c r="BZ215" s="22"/>
      <c r="CB215" s="24"/>
      <c r="CC215" s="24"/>
      <c r="CD215" s="24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6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/>
      <c r="GM215" s="24"/>
      <c r="GN215" s="24"/>
      <c r="GO215" s="24"/>
      <c r="GP215" s="24"/>
      <c r="GQ215" s="24"/>
      <c r="GR215" s="24"/>
    </row>
    <row r="216" spans="1:200" s="23" customFormat="1" ht="14.25" customHeight="1">
      <c r="A216" s="20"/>
      <c r="B216" s="21"/>
      <c r="C216" s="22"/>
      <c r="D216" s="22"/>
      <c r="E216" s="22"/>
      <c r="G216" s="22"/>
      <c r="H216" s="22"/>
      <c r="I216" s="22"/>
      <c r="K216" s="22"/>
      <c r="L216" s="22"/>
      <c r="M216" s="22"/>
      <c r="O216" s="22"/>
      <c r="P216" s="22"/>
      <c r="Q216" s="22"/>
      <c r="S216" s="22"/>
      <c r="T216" s="22"/>
      <c r="U216" s="22"/>
      <c r="W216" s="22"/>
      <c r="X216" s="22"/>
      <c r="Y216" s="22"/>
      <c r="AA216" s="22"/>
      <c r="AB216" s="22"/>
      <c r="AC216" s="22"/>
      <c r="AE216" s="24"/>
      <c r="AF216" s="24"/>
      <c r="AG216" s="24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6"/>
      <c r="AW216" s="24"/>
      <c r="AX216" s="20"/>
      <c r="AY216" s="21"/>
      <c r="AZ216" s="22"/>
      <c r="BA216" s="22"/>
      <c r="BB216" s="22"/>
      <c r="BD216" s="22"/>
      <c r="BE216" s="22"/>
      <c r="BF216" s="22"/>
      <c r="BH216" s="22"/>
      <c r="BI216" s="22"/>
      <c r="BJ216" s="22"/>
      <c r="BL216" s="22"/>
      <c r="BM216" s="22"/>
      <c r="BN216" s="22"/>
      <c r="BP216" s="22"/>
      <c r="BQ216" s="22"/>
      <c r="BR216" s="22"/>
      <c r="BT216" s="22"/>
      <c r="BU216" s="22"/>
      <c r="BV216" s="22"/>
      <c r="BX216" s="22"/>
      <c r="BY216" s="22"/>
      <c r="BZ216" s="22"/>
      <c r="CB216" s="24"/>
      <c r="CC216" s="24"/>
      <c r="CD216" s="24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6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</row>
    <row r="217" spans="1:200" s="23" customFormat="1" ht="14.25" customHeight="1">
      <c r="A217" s="20"/>
      <c r="B217" s="21"/>
      <c r="C217" s="22"/>
      <c r="D217" s="22"/>
      <c r="E217" s="22"/>
      <c r="G217" s="22"/>
      <c r="H217" s="22"/>
      <c r="I217" s="22"/>
      <c r="K217" s="22"/>
      <c r="L217" s="22"/>
      <c r="M217" s="22"/>
      <c r="O217" s="22"/>
      <c r="P217" s="22"/>
      <c r="Q217" s="22"/>
      <c r="S217" s="22"/>
      <c r="T217" s="22"/>
      <c r="U217" s="22"/>
      <c r="W217" s="22"/>
      <c r="X217" s="22"/>
      <c r="Y217" s="22"/>
      <c r="AA217" s="22"/>
      <c r="AB217" s="22"/>
      <c r="AC217" s="22"/>
      <c r="AE217" s="24"/>
      <c r="AF217" s="24"/>
      <c r="AG217" s="24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6"/>
      <c r="AW217" s="24"/>
      <c r="AX217" s="20"/>
      <c r="AY217" s="21"/>
      <c r="AZ217" s="22"/>
      <c r="BA217" s="22"/>
      <c r="BB217" s="22"/>
      <c r="BD217" s="22"/>
      <c r="BE217" s="22"/>
      <c r="BF217" s="22"/>
      <c r="BH217" s="22"/>
      <c r="BI217" s="22"/>
      <c r="BJ217" s="22"/>
      <c r="BL217" s="22"/>
      <c r="BM217" s="22"/>
      <c r="BN217" s="22"/>
      <c r="BP217" s="22"/>
      <c r="BQ217" s="22"/>
      <c r="BR217" s="22"/>
      <c r="BT217" s="22"/>
      <c r="BU217" s="22"/>
      <c r="BV217" s="22"/>
      <c r="BX217" s="22"/>
      <c r="BY217" s="22"/>
      <c r="BZ217" s="22"/>
      <c r="CB217" s="24"/>
      <c r="CC217" s="24"/>
      <c r="CD217" s="24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6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</row>
    <row r="218" spans="1:200" s="23" customFormat="1" ht="14.25" customHeight="1">
      <c r="A218" s="20"/>
      <c r="B218" s="21"/>
      <c r="C218" s="22"/>
      <c r="D218" s="22"/>
      <c r="E218" s="22"/>
      <c r="G218" s="22"/>
      <c r="H218" s="22"/>
      <c r="I218" s="22"/>
      <c r="K218" s="22"/>
      <c r="L218" s="22"/>
      <c r="M218" s="22"/>
      <c r="O218" s="22"/>
      <c r="P218" s="22"/>
      <c r="Q218" s="22"/>
      <c r="S218" s="22"/>
      <c r="T218" s="22"/>
      <c r="U218" s="22"/>
      <c r="W218" s="22"/>
      <c r="X218" s="22"/>
      <c r="Y218" s="22"/>
      <c r="AA218" s="22"/>
      <c r="AB218" s="22"/>
      <c r="AC218" s="22"/>
      <c r="AE218" s="24"/>
      <c r="AF218" s="24"/>
      <c r="AG218" s="24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6"/>
      <c r="AW218" s="24"/>
      <c r="AX218" s="20"/>
      <c r="AY218" s="21"/>
      <c r="AZ218" s="22"/>
      <c r="BA218" s="22"/>
      <c r="BB218" s="22"/>
      <c r="BD218" s="22"/>
      <c r="BE218" s="22"/>
      <c r="BF218" s="22"/>
      <c r="BH218" s="22"/>
      <c r="BI218" s="22"/>
      <c r="BJ218" s="22"/>
      <c r="BL218" s="22"/>
      <c r="BM218" s="22"/>
      <c r="BN218" s="22"/>
      <c r="BP218" s="22"/>
      <c r="BQ218" s="22"/>
      <c r="BR218" s="22"/>
      <c r="BT218" s="22"/>
      <c r="BU218" s="22"/>
      <c r="BV218" s="22"/>
      <c r="BX218" s="22"/>
      <c r="BY218" s="22"/>
      <c r="BZ218" s="22"/>
      <c r="CB218" s="24"/>
      <c r="CC218" s="24"/>
      <c r="CD218" s="24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6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/>
      <c r="GQ218" s="24"/>
      <c r="GR218" s="24"/>
    </row>
    <row r="219" spans="1:200" s="23" customFormat="1" ht="14.25" customHeight="1">
      <c r="A219" s="20"/>
      <c r="B219" s="21"/>
      <c r="C219" s="22"/>
      <c r="D219" s="22"/>
      <c r="E219" s="22"/>
      <c r="G219" s="22"/>
      <c r="H219" s="22"/>
      <c r="I219" s="22"/>
      <c r="K219" s="22"/>
      <c r="L219" s="22"/>
      <c r="M219" s="22"/>
      <c r="O219" s="22"/>
      <c r="P219" s="22"/>
      <c r="Q219" s="22"/>
      <c r="S219" s="22"/>
      <c r="T219" s="22"/>
      <c r="U219" s="22"/>
      <c r="W219" s="22"/>
      <c r="X219" s="22"/>
      <c r="Y219" s="22"/>
      <c r="AA219" s="22"/>
      <c r="AB219" s="22"/>
      <c r="AC219" s="22"/>
      <c r="AE219" s="24"/>
      <c r="AF219" s="24"/>
      <c r="AG219" s="24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6"/>
      <c r="AW219" s="24"/>
      <c r="AX219" s="20"/>
      <c r="AY219" s="21"/>
      <c r="AZ219" s="22"/>
      <c r="BA219" s="22"/>
      <c r="BB219" s="22"/>
      <c r="BD219" s="22"/>
      <c r="BE219" s="22"/>
      <c r="BF219" s="22"/>
      <c r="BH219" s="22"/>
      <c r="BI219" s="22"/>
      <c r="BJ219" s="22"/>
      <c r="BL219" s="22"/>
      <c r="BM219" s="22"/>
      <c r="BN219" s="22"/>
      <c r="BP219" s="22"/>
      <c r="BQ219" s="22"/>
      <c r="BR219" s="22"/>
      <c r="BT219" s="22"/>
      <c r="BU219" s="22"/>
      <c r="BV219" s="22"/>
      <c r="BX219" s="22"/>
      <c r="BY219" s="22"/>
      <c r="BZ219" s="22"/>
      <c r="CB219" s="24"/>
      <c r="CC219" s="24"/>
      <c r="CD219" s="24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6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</row>
    <row r="220" spans="1:200" s="23" customFormat="1" ht="14.25" customHeight="1">
      <c r="A220" s="20"/>
      <c r="B220" s="21"/>
      <c r="C220" s="22"/>
      <c r="D220" s="22"/>
      <c r="E220" s="22"/>
      <c r="G220" s="22"/>
      <c r="H220" s="22"/>
      <c r="I220" s="22"/>
      <c r="K220" s="22"/>
      <c r="L220" s="22"/>
      <c r="M220" s="22"/>
      <c r="O220" s="22"/>
      <c r="P220" s="22"/>
      <c r="Q220" s="22"/>
      <c r="S220" s="22"/>
      <c r="T220" s="22"/>
      <c r="U220" s="22"/>
      <c r="W220" s="22"/>
      <c r="X220" s="22"/>
      <c r="Y220" s="22"/>
      <c r="AA220" s="22"/>
      <c r="AB220" s="22"/>
      <c r="AC220" s="22"/>
      <c r="AE220" s="24"/>
      <c r="AF220" s="24"/>
      <c r="AG220" s="24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6"/>
      <c r="AW220" s="24"/>
      <c r="AX220" s="20"/>
      <c r="AY220" s="21"/>
      <c r="AZ220" s="22"/>
      <c r="BA220" s="22"/>
      <c r="BB220" s="22"/>
      <c r="BD220" s="22"/>
      <c r="BE220" s="22"/>
      <c r="BF220" s="22"/>
      <c r="BH220" s="22"/>
      <c r="BI220" s="22"/>
      <c r="BJ220" s="22"/>
      <c r="BL220" s="22"/>
      <c r="BM220" s="22"/>
      <c r="BN220" s="22"/>
      <c r="BP220" s="22"/>
      <c r="BQ220" s="22"/>
      <c r="BR220" s="22"/>
      <c r="BT220" s="22"/>
      <c r="BU220" s="22"/>
      <c r="BV220" s="22"/>
      <c r="BX220" s="22"/>
      <c r="BY220" s="22"/>
      <c r="BZ220" s="22"/>
      <c r="CB220" s="24"/>
      <c r="CC220" s="24"/>
      <c r="CD220" s="24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6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</row>
    <row r="221" spans="1:200" s="23" customFormat="1" ht="14.25" customHeight="1">
      <c r="A221" s="20"/>
      <c r="B221" s="21"/>
      <c r="C221" s="22"/>
      <c r="D221" s="22"/>
      <c r="E221" s="22"/>
      <c r="G221" s="22"/>
      <c r="H221" s="22"/>
      <c r="I221" s="22"/>
      <c r="K221" s="22"/>
      <c r="L221" s="22"/>
      <c r="M221" s="22"/>
      <c r="O221" s="22"/>
      <c r="P221" s="22"/>
      <c r="Q221" s="22"/>
      <c r="S221" s="22"/>
      <c r="T221" s="22"/>
      <c r="U221" s="22"/>
      <c r="W221" s="22"/>
      <c r="X221" s="22"/>
      <c r="Y221" s="22"/>
      <c r="AA221" s="22"/>
      <c r="AB221" s="22"/>
      <c r="AC221" s="22"/>
      <c r="AE221" s="24"/>
      <c r="AF221" s="24"/>
      <c r="AG221" s="24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6"/>
      <c r="AW221" s="24"/>
      <c r="AX221" s="20"/>
      <c r="AY221" s="21"/>
      <c r="AZ221" s="22"/>
      <c r="BA221" s="22"/>
      <c r="BB221" s="22"/>
      <c r="BD221" s="22"/>
      <c r="BE221" s="22"/>
      <c r="BF221" s="22"/>
      <c r="BH221" s="22"/>
      <c r="BI221" s="22"/>
      <c r="BJ221" s="22"/>
      <c r="BL221" s="22"/>
      <c r="BM221" s="22"/>
      <c r="BN221" s="22"/>
      <c r="BP221" s="22"/>
      <c r="BQ221" s="22"/>
      <c r="BR221" s="22"/>
      <c r="BT221" s="22"/>
      <c r="BU221" s="22"/>
      <c r="BV221" s="22"/>
      <c r="BX221" s="22"/>
      <c r="BY221" s="22"/>
      <c r="BZ221" s="22"/>
      <c r="CB221" s="24"/>
      <c r="CC221" s="24"/>
      <c r="CD221" s="24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6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</row>
    <row r="222" spans="1:200" s="23" customFormat="1" ht="14.25" customHeight="1">
      <c r="A222" s="20"/>
      <c r="B222" s="21"/>
      <c r="C222" s="22"/>
      <c r="D222" s="22"/>
      <c r="E222" s="22"/>
      <c r="G222" s="22"/>
      <c r="H222" s="22"/>
      <c r="I222" s="22"/>
      <c r="K222" s="22"/>
      <c r="L222" s="22"/>
      <c r="M222" s="22"/>
      <c r="O222" s="22"/>
      <c r="P222" s="22"/>
      <c r="Q222" s="22"/>
      <c r="S222" s="22"/>
      <c r="T222" s="22"/>
      <c r="U222" s="22"/>
      <c r="W222" s="22"/>
      <c r="X222" s="22"/>
      <c r="Y222" s="22"/>
      <c r="AA222" s="22"/>
      <c r="AB222" s="22"/>
      <c r="AC222" s="22"/>
      <c r="AE222" s="24"/>
      <c r="AF222" s="24"/>
      <c r="AG222" s="24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6"/>
      <c r="AW222" s="24"/>
      <c r="AX222" s="20"/>
      <c r="AY222" s="21"/>
      <c r="AZ222" s="22"/>
      <c r="BA222" s="22"/>
      <c r="BB222" s="22"/>
      <c r="BD222" s="22"/>
      <c r="BE222" s="22"/>
      <c r="BF222" s="22"/>
      <c r="BH222" s="22"/>
      <c r="BI222" s="22"/>
      <c r="BJ222" s="22"/>
      <c r="BL222" s="22"/>
      <c r="BM222" s="22"/>
      <c r="BN222" s="22"/>
      <c r="BP222" s="22"/>
      <c r="BQ222" s="22"/>
      <c r="BR222" s="22"/>
      <c r="BT222" s="22"/>
      <c r="BU222" s="22"/>
      <c r="BV222" s="22"/>
      <c r="BX222" s="22"/>
      <c r="BY222" s="22"/>
      <c r="BZ222" s="22"/>
      <c r="CB222" s="24"/>
      <c r="CC222" s="24"/>
      <c r="CD222" s="24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6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</row>
    <row r="223" spans="1:200" s="23" customFormat="1" ht="14.25" customHeight="1">
      <c r="A223" s="20"/>
      <c r="B223" s="21"/>
      <c r="C223" s="22"/>
      <c r="D223" s="22"/>
      <c r="E223" s="22"/>
      <c r="G223" s="22"/>
      <c r="H223" s="22"/>
      <c r="I223" s="22"/>
      <c r="K223" s="22"/>
      <c r="L223" s="22"/>
      <c r="M223" s="22"/>
      <c r="O223" s="22"/>
      <c r="P223" s="22"/>
      <c r="Q223" s="22"/>
      <c r="S223" s="22"/>
      <c r="T223" s="22"/>
      <c r="U223" s="22"/>
      <c r="W223" s="22"/>
      <c r="X223" s="22"/>
      <c r="Y223" s="22"/>
      <c r="AA223" s="22"/>
      <c r="AB223" s="22"/>
      <c r="AC223" s="22"/>
      <c r="AE223" s="24"/>
      <c r="AF223" s="24"/>
      <c r="AG223" s="24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6"/>
      <c r="AW223" s="24"/>
      <c r="AX223" s="20"/>
      <c r="AY223" s="21"/>
      <c r="AZ223" s="22"/>
      <c r="BA223" s="22"/>
      <c r="BB223" s="22"/>
      <c r="BD223" s="22"/>
      <c r="BE223" s="22"/>
      <c r="BF223" s="22"/>
      <c r="BH223" s="22"/>
      <c r="BI223" s="22"/>
      <c r="BJ223" s="22"/>
      <c r="BL223" s="22"/>
      <c r="BM223" s="22"/>
      <c r="BN223" s="22"/>
      <c r="BP223" s="22"/>
      <c r="BQ223" s="22"/>
      <c r="BR223" s="22"/>
      <c r="BT223" s="22"/>
      <c r="BU223" s="22"/>
      <c r="BV223" s="22"/>
      <c r="BX223" s="22"/>
      <c r="BY223" s="22"/>
      <c r="BZ223" s="22"/>
      <c r="CB223" s="24"/>
      <c r="CC223" s="24"/>
      <c r="CD223" s="24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6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</row>
    <row r="224" spans="1:200" s="23" customFormat="1" ht="14.25" customHeight="1">
      <c r="A224" s="20"/>
      <c r="B224" s="21"/>
      <c r="C224" s="22"/>
      <c r="D224" s="22"/>
      <c r="E224" s="22"/>
      <c r="G224" s="22"/>
      <c r="H224" s="22"/>
      <c r="I224" s="22"/>
      <c r="K224" s="22"/>
      <c r="L224" s="22"/>
      <c r="M224" s="22"/>
      <c r="O224" s="22"/>
      <c r="P224" s="22"/>
      <c r="Q224" s="22"/>
      <c r="S224" s="22"/>
      <c r="T224" s="22"/>
      <c r="U224" s="22"/>
      <c r="W224" s="22"/>
      <c r="X224" s="22"/>
      <c r="Y224" s="22"/>
      <c r="AA224" s="22"/>
      <c r="AB224" s="22"/>
      <c r="AC224" s="22"/>
      <c r="AE224" s="24"/>
      <c r="AF224" s="24"/>
      <c r="AG224" s="24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6"/>
      <c r="AW224" s="24"/>
      <c r="AX224" s="20"/>
      <c r="AY224" s="21"/>
      <c r="AZ224" s="22"/>
      <c r="BA224" s="22"/>
      <c r="BB224" s="22"/>
      <c r="BD224" s="22"/>
      <c r="BE224" s="22"/>
      <c r="BF224" s="22"/>
      <c r="BH224" s="22"/>
      <c r="BI224" s="22"/>
      <c r="BJ224" s="22"/>
      <c r="BL224" s="22"/>
      <c r="BM224" s="22"/>
      <c r="BN224" s="22"/>
      <c r="BP224" s="22"/>
      <c r="BQ224" s="22"/>
      <c r="BR224" s="22"/>
      <c r="BT224" s="22"/>
      <c r="BU224" s="22"/>
      <c r="BV224" s="22"/>
      <c r="BX224" s="22"/>
      <c r="BY224" s="22"/>
      <c r="BZ224" s="22"/>
      <c r="CB224" s="24"/>
      <c r="CC224" s="24"/>
      <c r="CD224" s="24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6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</row>
    <row r="225" spans="1:200" s="23" customFormat="1" ht="14.25" customHeight="1">
      <c r="A225" s="20"/>
      <c r="B225" s="21"/>
      <c r="C225" s="22"/>
      <c r="D225" s="22"/>
      <c r="E225" s="22"/>
      <c r="G225" s="22"/>
      <c r="H225" s="22"/>
      <c r="I225" s="22"/>
      <c r="K225" s="22"/>
      <c r="L225" s="22"/>
      <c r="M225" s="22"/>
      <c r="O225" s="22"/>
      <c r="P225" s="22"/>
      <c r="Q225" s="22"/>
      <c r="S225" s="22"/>
      <c r="T225" s="22"/>
      <c r="U225" s="22"/>
      <c r="W225" s="22"/>
      <c r="X225" s="22"/>
      <c r="Y225" s="22"/>
      <c r="AA225" s="22"/>
      <c r="AB225" s="22"/>
      <c r="AC225" s="22"/>
      <c r="AE225" s="24"/>
      <c r="AF225" s="24"/>
      <c r="AG225" s="24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6"/>
      <c r="AW225" s="24"/>
      <c r="AX225" s="20"/>
      <c r="AY225" s="21"/>
      <c r="AZ225" s="22"/>
      <c r="BA225" s="22"/>
      <c r="BB225" s="22"/>
      <c r="BD225" s="22"/>
      <c r="BE225" s="22"/>
      <c r="BF225" s="22"/>
      <c r="BH225" s="22"/>
      <c r="BI225" s="22"/>
      <c r="BJ225" s="22"/>
      <c r="BL225" s="22"/>
      <c r="BM225" s="22"/>
      <c r="BN225" s="22"/>
      <c r="BP225" s="22"/>
      <c r="BQ225" s="22"/>
      <c r="BR225" s="22"/>
      <c r="BT225" s="22"/>
      <c r="BU225" s="22"/>
      <c r="BV225" s="22"/>
      <c r="BX225" s="22"/>
      <c r="BY225" s="22"/>
      <c r="BZ225" s="22"/>
      <c r="CB225" s="24"/>
      <c r="CC225" s="24"/>
      <c r="CD225" s="24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6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</row>
    <row r="226" spans="1:200" s="23" customFormat="1" ht="14.25" customHeight="1">
      <c r="A226" s="20"/>
      <c r="B226" s="21"/>
      <c r="C226" s="22"/>
      <c r="D226" s="22"/>
      <c r="E226" s="22"/>
      <c r="G226" s="22"/>
      <c r="H226" s="22"/>
      <c r="I226" s="22"/>
      <c r="K226" s="22"/>
      <c r="L226" s="22"/>
      <c r="M226" s="22"/>
      <c r="O226" s="22"/>
      <c r="P226" s="22"/>
      <c r="Q226" s="22"/>
      <c r="S226" s="22"/>
      <c r="T226" s="22"/>
      <c r="U226" s="22"/>
      <c r="W226" s="22"/>
      <c r="X226" s="22"/>
      <c r="Y226" s="22"/>
      <c r="AA226" s="22"/>
      <c r="AB226" s="22"/>
      <c r="AC226" s="22"/>
      <c r="AE226" s="24"/>
      <c r="AF226" s="24"/>
      <c r="AG226" s="24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6"/>
      <c r="AW226" s="24"/>
      <c r="AX226" s="20"/>
      <c r="AY226" s="21"/>
      <c r="AZ226" s="22"/>
      <c r="BA226" s="22"/>
      <c r="BB226" s="22"/>
      <c r="BD226" s="22"/>
      <c r="BE226" s="22"/>
      <c r="BF226" s="22"/>
      <c r="BH226" s="22"/>
      <c r="BI226" s="22"/>
      <c r="BJ226" s="22"/>
      <c r="BL226" s="22"/>
      <c r="BM226" s="22"/>
      <c r="BN226" s="22"/>
      <c r="BP226" s="22"/>
      <c r="BQ226" s="22"/>
      <c r="BR226" s="22"/>
      <c r="BT226" s="22"/>
      <c r="BU226" s="22"/>
      <c r="BV226" s="22"/>
      <c r="BX226" s="22"/>
      <c r="BY226" s="22"/>
      <c r="BZ226" s="22"/>
      <c r="CB226" s="24"/>
      <c r="CC226" s="24"/>
      <c r="CD226" s="24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6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</row>
    <row r="227" spans="1:200" s="23" customFormat="1" ht="14.25" customHeight="1">
      <c r="A227" s="20"/>
      <c r="B227" s="21"/>
      <c r="C227" s="22"/>
      <c r="D227" s="22"/>
      <c r="E227" s="22"/>
      <c r="G227" s="22"/>
      <c r="H227" s="22"/>
      <c r="I227" s="22"/>
      <c r="K227" s="22"/>
      <c r="L227" s="22"/>
      <c r="M227" s="22"/>
      <c r="O227" s="22"/>
      <c r="P227" s="22"/>
      <c r="Q227" s="22"/>
      <c r="S227" s="22"/>
      <c r="T227" s="22"/>
      <c r="U227" s="22"/>
      <c r="W227" s="22"/>
      <c r="X227" s="22"/>
      <c r="Y227" s="22"/>
      <c r="AA227" s="22"/>
      <c r="AB227" s="22"/>
      <c r="AC227" s="22"/>
      <c r="AE227" s="24"/>
      <c r="AF227" s="24"/>
      <c r="AG227" s="24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6"/>
      <c r="AW227" s="24"/>
      <c r="AX227" s="20"/>
      <c r="AY227" s="21"/>
      <c r="AZ227" s="22"/>
      <c r="BA227" s="22"/>
      <c r="BB227" s="22"/>
      <c r="BD227" s="22"/>
      <c r="BE227" s="22"/>
      <c r="BF227" s="22"/>
      <c r="BH227" s="22"/>
      <c r="BI227" s="22"/>
      <c r="BJ227" s="22"/>
      <c r="BL227" s="22"/>
      <c r="BM227" s="22"/>
      <c r="BN227" s="22"/>
      <c r="BP227" s="22"/>
      <c r="BQ227" s="22"/>
      <c r="BR227" s="22"/>
      <c r="BT227" s="22"/>
      <c r="BU227" s="22"/>
      <c r="BV227" s="22"/>
      <c r="BX227" s="22"/>
      <c r="BY227" s="22"/>
      <c r="BZ227" s="22"/>
      <c r="CB227" s="24"/>
      <c r="CC227" s="24"/>
      <c r="CD227" s="24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6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</row>
    <row r="228" spans="1:200" s="23" customFormat="1" ht="14.25" customHeight="1">
      <c r="A228" s="20"/>
      <c r="B228" s="21"/>
      <c r="C228" s="22"/>
      <c r="D228" s="22"/>
      <c r="E228" s="22"/>
      <c r="G228" s="22"/>
      <c r="H228" s="22"/>
      <c r="I228" s="22"/>
      <c r="K228" s="22"/>
      <c r="L228" s="22"/>
      <c r="M228" s="22"/>
      <c r="O228" s="22"/>
      <c r="P228" s="22"/>
      <c r="Q228" s="22"/>
      <c r="S228" s="22"/>
      <c r="T228" s="22"/>
      <c r="U228" s="22"/>
      <c r="W228" s="22"/>
      <c r="X228" s="22"/>
      <c r="Y228" s="22"/>
      <c r="AA228" s="22"/>
      <c r="AB228" s="22"/>
      <c r="AC228" s="22"/>
      <c r="AE228" s="24"/>
      <c r="AF228" s="24"/>
      <c r="AG228" s="24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6"/>
      <c r="AW228" s="24"/>
      <c r="AX228" s="20"/>
      <c r="AY228" s="21"/>
      <c r="AZ228" s="22"/>
      <c r="BA228" s="22"/>
      <c r="BB228" s="22"/>
      <c r="BD228" s="22"/>
      <c r="BE228" s="22"/>
      <c r="BF228" s="22"/>
      <c r="BH228" s="22"/>
      <c r="BI228" s="22"/>
      <c r="BJ228" s="22"/>
      <c r="BL228" s="22"/>
      <c r="BM228" s="22"/>
      <c r="BN228" s="22"/>
      <c r="BP228" s="22"/>
      <c r="BQ228" s="22"/>
      <c r="BR228" s="22"/>
      <c r="BT228" s="22"/>
      <c r="BU228" s="22"/>
      <c r="BV228" s="22"/>
      <c r="BX228" s="22"/>
      <c r="BY228" s="22"/>
      <c r="BZ228" s="22"/>
      <c r="CB228" s="24"/>
      <c r="CC228" s="24"/>
      <c r="CD228" s="24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6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</row>
    <row r="229" spans="1:200" s="23" customFormat="1" ht="14.25" customHeight="1">
      <c r="A229" s="20"/>
      <c r="B229" s="21"/>
      <c r="C229" s="22"/>
      <c r="D229" s="22"/>
      <c r="E229" s="22"/>
      <c r="G229" s="22"/>
      <c r="H229" s="22"/>
      <c r="I229" s="22"/>
      <c r="K229" s="22"/>
      <c r="L229" s="22"/>
      <c r="M229" s="22"/>
      <c r="O229" s="22"/>
      <c r="P229" s="22"/>
      <c r="Q229" s="22"/>
      <c r="S229" s="22"/>
      <c r="T229" s="22"/>
      <c r="U229" s="22"/>
      <c r="W229" s="22"/>
      <c r="X229" s="22"/>
      <c r="Y229" s="22"/>
      <c r="AA229" s="22"/>
      <c r="AB229" s="22"/>
      <c r="AC229" s="22"/>
      <c r="AE229" s="24"/>
      <c r="AF229" s="24"/>
      <c r="AG229" s="24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6"/>
      <c r="AW229" s="24"/>
      <c r="AX229" s="20"/>
      <c r="AY229" s="21"/>
      <c r="AZ229" s="22"/>
      <c r="BA229" s="22"/>
      <c r="BB229" s="22"/>
      <c r="BD229" s="22"/>
      <c r="BE229" s="22"/>
      <c r="BF229" s="22"/>
      <c r="BH229" s="22"/>
      <c r="BI229" s="22"/>
      <c r="BJ229" s="22"/>
      <c r="BL229" s="22"/>
      <c r="BM229" s="22"/>
      <c r="BN229" s="22"/>
      <c r="BP229" s="22"/>
      <c r="BQ229" s="22"/>
      <c r="BR229" s="22"/>
      <c r="BT229" s="22"/>
      <c r="BU229" s="22"/>
      <c r="BV229" s="22"/>
      <c r="BX229" s="22"/>
      <c r="BY229" s="22"/>
      <c r="BZ229" s="22"/>
      <c r="CB229" s="24"/>
      <c r="CC229" s="24"/>
      <c r="CD229" s="24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6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</row>
    <row r="230" spans="1:200" s="23" customFormat="1" ht="14.25" customHeight="1">
      <c r="A230" s="20"/>
      <c r="B230" s="21"/>
      <c r="C230" s="22"/>
      <c r="D230" s="22"/>
      <c r="E230" s="22"/>
      <c r="G230" s="22"/>
      <c r="H230" s="22"/>
      <c r="I230" s="22"/>
      <c r="K230" s="22"/>
      <c r="L230" s="22"/>
      <c r="M230" s="22"/>
      <c r="O230" s="22"/>
      <c r="P230" s="22"/>
      <c r="Q230" s="22"/>
      <c r="S230" s="22"/>
      <c r="T230" s="22"/>
      <c r="U230" s="22"/>
      <c r="W230" s="22"/>
      <c r="X230" s="22"/>
      <c r="Y230" s="22"/>
      <c r="AA230" s="22"/>
      <c r="AB230" s="22"/>
      <c r="AC230" s="22"/>
      <c r="AE230" s="24"/>
      <c r="AF230" s="24"/>
      <c r="AG230" s="24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6"/>
      <c r="AW230" s="24"/>
      <c r="AX230" s="20"/>
      <c r="AY230" s="21"/>
      <c r="AZ230" s="22"/>
      <c r="BA230" s="22"/>
      <c r="BB230" s="22"/>
      <c r="BD230" s="22"/>
      <c r="BE230" s="22"/>
      <c r="BF230" s="22"/>
      <c r="BH230" s="22"/>
      <c r="BI230" s="22"/>
      <c r="BJ230" s="22"/>
      <c r="BL230" s="22"/>
      <c r="BM230" s="22"/>
      <c r="BN230" s="22"/>
      <c r="BP230" s="22"/>
      <c r="BQ230" s="22"/>
      <c r="BR230" s="22"/>
      <c r="BT230" s="22"/>
      <c r="BU230" s="22"/>
      <c r="BV230" s="22"/>
      <c r="BX230" s="22"/>
      <c r="BY230" s="22"/>
      <c r="BZ230" s="22"/>
      <c r="CB230" s="24"/>
      <c r="CC230" s="24"/>
      <c r="CD230" s="24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6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</row>
    <row r="231" spans="1:200" s="23" customFormat="1" ht="14.25" customHeight="1">
      <c r="A231" s="20"/>
      <c r="B231" s="21"/>
      <c r="C231" s="22"/>
      <c r="D231" s="22"/>
      <c r="E231" s="22"/>
      <c r="G231" s="22"/>
      <c r="H231" s="22"/>
      <c r="I231" s="22"/>
      <c r="K231" s="22"/>
      <c r="L231" s="22"/>
      <c r="M231" s="22"/>
      <c r="O231" s="22"/>
      <c r="P231" s="22"/>
      <c r="Q231" s="22"/>
      <c r="S231" s="22"/>
      <c r="T231" s="22"/>
      <c r="U231" s="22"/>
      <c r="W231" s="22"/>
      <c r="X231" s="22"/>
      <c r="Y231" s="22"/>
      <c r="AA231" s="22"/>
      <c r="AB231" s="22"/>
      <c r="AC231" s="22"/>
      <c r="AE231" s="24"/>
      <c r="AF231" s="24"/>
      <c r="AG231" s="24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6"/>
      <c r="AW231" s="24"/>
      <c r="AX231" s="20"/>
      <c r="AY231" s="21"/>
      <c r="AZ231" s="22"/>
      <c r="BA231" s="22"/>
      <c r="BB231" s="22"/>
      <c r="BD231" s="22"/>
      <c r="BE231" s="22"/>
      <c r="BF231" s="22"/>
      <c r="BH231" s="22"/>
      <c r="BI231" s="22"/>
      <c r="BJ231" s="22"/>
      <c r="BL231" s="22"/>
      <c r="BM231" s="22"/>
      <c r="BN231" s="22"/>
      <c r="BP231" s="22"/>
      <c r="BQ231" s="22"/>
      <c r="BR231" s="22"/>
      <c r="BT231" s="22"/>
      <c r="BU231" s="22"/>
      <c r="BV231" s="22"/>
      <c r="BX231" s="22"/>
      <c r="BY231" s="22"/>
      <c r="BZ231" s="22"/>
      <c r="CB231" s="24"/>
      <c r="CC231" s="24"/>
      <c r="CD231" s="24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6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</row>
    <row r="232" spans="1:200" s="23" customFormat="1" ht="14.25" customHeight="1">
      <c r="A232" s="20"/>
      <c r="B232" s="21"/>
      <c r="C232" s="22"/>
      <c r="D232" s="22"/>
      <c r="E232" s="22"/>
      <c r="G232" s="22"/>
      <c r="H232" s="22"/>
      <c r="I232" s="22"/>
      <c r="K232" s="22"/>
      <c r="L232" s="22"/>
      <c r="M232" s="22"/>
      <c r="O232" s="22"/>
      <c r="P232" s="22"/>
      <c r="Q232" s="22"/>
      <c r="S232" s="22"/>
      <c r="T232" s="22"/>
      <c r="U232" s="22"/>
      <c r="W232" s="22"/>
      <c r="X232" s="22"/>
      <c r="Y232" s="22"/>
      <c r="AA232" s="22"/>
      <c r="AB232" s="22"/>
      <c r="AC232" s="22"/>
      <c r="AE232" s="24"/>
      <c r="AF232" s="24"/>
      <c r="AG232" s="24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6"/>
      <c r="AW232" s="24"/>
      <c r="AX232" s="20"/>
      <c r="AY232" s="21"/>
      <c r="AZ232" s="22"/>
      <c r="BA232" s="22"/>
      <c r="BB232" s="22"/>
      <c r="BD232" s="22"/>
      <c r="BE232" s="22"/>
      <c r="BF232" s="22"/>
      <c r="BH232" s="22"/>
      <c r="BI232" s="22"/>
      <c r="BJ232" s="22"/>
      <c r="BL232" s="22"/>
      <c r="BM232" s="22"/>
      <c r="BN232" s="22"/>
      <c r="BP232" s="22"/>
      <c r="BQ232" s="22"/>
      <c r="BR232" s="22"/>
      <c r="BT232" s="22"/>
      <c r="BU232" s="22"/>
      <c r="BV232" s="22"/>
      <c r="BX232" s="22"/>
      <c r="BY232" s="22"/>
      <c r="BZ232" s="22"/>
      <c r="CB232" s="24"/>
      <c r="CC232" s="24"/>
      <c r="CD232" s="24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6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</row>
    <row r="233" spans="1:200" s="23" customFormat="1" ht="14.25" customHeight="1">
      <c r="A233" s="20"/>
      <c r="B233" s="21"/>
      <c r="C233" s="22"/>
      <c r="D233" s="22"/>
      <c r="E233" s="22"/>
      <c r="G233" s="22"/>
      <c r="H233" s="22"/>
      <c r="I233" s="22"/>
      <c r="K233" s="22"/>
      <c r="L233" s="22"/>
      <c r="M233" s="22"/>
      <c r="O233" s="22"/>
      <c r="P233" s="22"/>
      <c r="Q233" s="22"/>
      <c r="S233" s="22"/>
      <c r="T233" s="22"/>
      <c r="U233" s="22"/>
      <c r="W233" s="22"/>
      <c r="X233" s="22"/>
      <c r="Y233" s="22"/>
      <c r="AA233" s="22"/>
      <c r="AB233" s="22"/>
      <c r="AC233" s="22"/>
      <c r="AE233" s="24"/>
      <c r="AF233" s="24"/>
      <c r="AG233" s="24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6"/>
      <c r="AW233" s="24"/>
      <c r="AX233" s="20"/>
      <c r="AY233" s="21"/>
      <c r="AZ233" s="22"/>
      <c r="BA233" s="22"/>
      <c r="BB233" s="22"/>
      <c r="BD233" s="22"/>
      <c r="BE233" s="22"/>
      <c r="BF233" s="22"/>
      <c r="BH233" s="22"/>
      <c r="BI233" s="22"/>
      <c r="BJ233" s="22"/>
      <c r="BL233" s="22"/>
      <c r="BM233" s="22"/>
      <c r="BN233" s="22"/>
      <c r="BP233" s="22"/>
      <c r="BQ233" s="22"/>
      <c r="BR233" s="22"/>
      <c r="BT233" s="22"/>
      <c r="BU233" s="22"/>
      <c r="BV233" s="22"/>
      <c r="BX233" s="22"/>
      <c r="BY233" s="22"/>
      <c r="BZ233" s="22"/>
      <c r="CB233" s="24"/>
      <c r="CC233" s="24"/>
      <c r="CD233" s="24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6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</row>
    <row r="234" spans="1:200" s="23" customFormat="1" ht="14.25" customHeight="1">
      <c r="A234" s="20"/>
      <c r="B234" s="21"/>
      <c r="C234" s="22"/>
      <c r="D234" s="22"/>
      <c r="E234" s="22"/>
      <c r="G234" s="22"/>
      <c r="H234" s="22"/>
      <c r="I234" s="22"/>
      <c r="K234" s="22"/>
      <c r="L234" s="22"/>
      <c r="M234" s="22"/>
      <c r="O234" s="22"/>
      <c r="P234" s="22"/>
      <c r="Q234" s="22"/>
      <c r="S234" s="22"/>
      <c r="T234" s="22"/>
      <c r="U234" s="22"/>
      <c r="W234" s="22"/>
      <c r="X234" s="22"/>
      <c r="Y234" s="22"/>
      <c r="AA234" s="22"/>
      <c r="AB234" s="22"/>
      <c r="AC234" s="22"/>
      <c r="AE234" s="24"/>
      <c r="AF234" s="24"/>
      <c r="AG234" s="24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6"/>
      <c r="AW234" s="24"/>
      <c r="AX234" s="20"/>
      <c r="AY234" s="21"/>
      <c r="AZ234" s="22"/>
      <c r="BA234" s="22"/>
      <c r="BB234" s="22"/>
      <c r="BD234" s="22"/>
      <c r="BE234" s="22"/>
      <c r="BF234" s="22"/>
      <c r="BH234" s="22"/>
      <c r="BI234" s="22"/>
      <c r="BJ234" s="22"/>
      <c r="BL234" s="22"/>
      <c r="BM234" s="22"/>
      <c r="BN234" s="22"/>
      <c r="BP234" s="22"/>
      <c r="BQ234" s="22"/>
      <c r="BR234" s="22"/>
      <c r="BT234" s="22"/>
      <c r="BU234" s="22"/>
      <c r="BV234" s="22"/>
      <c r="BX234" s="22"/>
      <c r="BY234" s="22"/>
      <c r="BZ234" s="22"/>
      <c r="CB234" s="24"/>
      <c r="CC234" s="24"/>
      <c r="CD234" s="24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6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</row>
    <row r="235" spans="1:200" s="23" customFormat="1" ht="14.25" customHeight="1">
      <c r="A235" s="20"/>
      <c r="B235" s="21"/>
      <c r="C235" s="22"/>
      <c r="D235" s="22"/>
      <c r="E235" s="22"/>
      <c r="G235" s="22"/>
      <c r="H235" s="22"/>
      <c r="I235" s="22"/>
      <c r="K235" s="22"/>
      <c r="L235" s="22"/>
      <c r="M235" s="22"/>
      <c r="O235" s="22"/>
      <c r="P235" s="22"/>
      <c r="Q235" s="22"/>
      <c r="S235" s="22"/>
      <c r="T235" s="22"/>
      <c r="U235" s="22"/>
      <c r="W235" s="22"/>
      <c r="X235" s="22"/>
      <c r="Y235" s="22"/>
      <c r="AA235" s="22"/>
      <c r="AB235" s="22"/>
      <c r="AC235" s="22"/>
      <c r="AE235" s="24"/>
      <c r="AF235" s="24"/>
      <c r="AG235" s="24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6"/>
      <c r="AW235" s="24"/>
      <c r="AX235" s="20"/>
      <c r="AY235" s="21"/>
      <c r="AZ235" s="22"/>
      <c r="BA235" s="22"/>
      <c r="BB235" s="22"/>
      <c r="BD235" s="22"/>
      <c r="BE235" s="22"/>
      <c r="BF235" s="22"/>
      <c r="BH235" s="22"/>
      <c r="BI235" s="22"/>
      <c r="BJ235" s="22"/>
      <c r="BL235" s="22"/>
      <c r="BM235" s="22"/>
      <c r="BN235" s="22"/>
      <c r="BP235" s="22"/>
      <c r="BQ235" s="22"/>
      <c r="BR235" s="22"/>
      <c r="BT235" s="22"/>
      <c r="BU235" s="22"/>
      <c r="BV235" s="22"/>
      <c r="BX235" s="22"/>
      <c r="BY235" s="22"/>
      <c r="BZ235" s="22"/>
      <c r="CB235" s="24"/>
      <c r="CC235" s="24"/>
      <c r="CD235" s="24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6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</row>
    <row r="236" spans="1:200" s="23" customFormat="1" ht="14.25" customHeight="1">
      <c r="A236" s="20"/>
      <c r="B236" s="21"/>
      <c r="C236" s="22"/>
      <c r="D236" s="22"/>
      <c r="E236" s="22"/>
      <c r="G236" s="22"/>
      <c r="H236" s="22"/>
      <c r="I236" s="22"/>
      <c r="K236" s="22"/>
      <c r="L236" s="22"/>
      <c r="M236" s="22"/>
      <c r="O236" s="22"/>
      <c r="P236" s="22"/>
      <c r="Q236" s="22"/>
      <c r="S236" s="22"/>
      <c r="T236" s="22"/>
      <c r="U236" s="22"/>
      <c r="W236" s="22"/>
      <c r="X236" s="22"/>
      <c r="Y236" s="22"/>
      <c r="AA236" s="22"/>
      <c r="AB236" s="22"/>
      <c r="AC236" s="22"/>
      <c r="AE236" s="24"/>
      <c r="AF236" s="24"/>
      <c r="AG236" s="24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6"/>
      <c r="AW236" s="24"/>
      <c r="AX236" s="20"/>
      <c r="AY236" s="21"/>
      <c r="AZ236" s="22"/>
      <c r="BA236" s="22"/>
      <c r="BB236" s="22"/>
      <c r="BD236" s="22"/>
      <c r="BE236" s="22"/>
      <c r="BF236" s="22"/>
      <c r="BH236" s="22"/>
      <c r="BI236" s="22"/>
      <c r="BJ236" s="22"/>
      <c r="BL236" s="22"/>
      <c r="BM236" s="22"/>
      <c r="BN236" s="22"/>
      <c r="BP236" s="22"/>
      <c r="BQ236" s="22"/>
      <c r="BR236" s="22"/>
      <c r="BT236" s="22"/>
      <c r="BU236" s="22"/>
      <c r="BV236" s="22"/>
      <c r="BX236" s="22"/>
      <c r="BY236" s="22"/>
      <c r="BZ236" s="22"/>
      <c r="CB236" s="24"/>
      <c r="CC236" s="24"/>
      <c r="CD236" s="24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6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</row>
    <row r="237" spans="1:200" s="23" customFormat="1" ht="14.25" customHeight="1">
      <c r="A237" s="20"/>
      <c r="B237" s="21"/>
      <c r="C237" s="22"/>
      <c r="D237" s="22"/>
      <c r="E237" s="22"/>
      <c r="G237" s="22"/>
      <c r="H237" s="22"/>
      <c r="I237" s="22"/>
      <c r="K237" s="22"/>
      <c r="L237" s="22"/>
      <c r="M237" s="22"/>
      <c r="O237" s="22"/>
      <c r="P237" s="22"/>
      <c r="Q237" s="22"/>
      <c r="S237" s="22"/>
      <c r="T237" s="22"/>
      <c r="U237" s="22"/>
      <c r="W237" s="22"/>
      <c r="X237" s="22"/>
      <c r="Y237" s="22"/>
      <c r="AA237" s="22"/>
      <c r="AB237" s="22"/>
      <c r="AC237" s="22"/>
      <c r="AE237" s="24"/>
      <c r="AF237" s="24"/>
      <c r="AG237" s="24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6"/>
      <c r="AW237" s="24"/>
      <c r="AX237" s="20"/>
      <c r="AY237" s="21"/>
      <c r="AZ237" s="22"/>
      <c r="BA237" s="22"/>
      <c r="BB237" s="22"/>
      <c r="BD237" s="22"/>
      <c r="BE237" s="22"/>
      <c r="BF237" s="22"/>
      <c r="BH237" s="22"/>
      <c r="BI237" s="22"/>
      <c r="BJ237" s="22"/>
      <c r="BL237" s="22"/>
      <c r="BM237" s="22"/>
      <c r="BN237" s="22"/>
      <c r="BP237" s="22"/>
      <c r="BQ237" s="22"/>
      <c r="BR237" s="22"/>
      <c r="BT237" s="22"/>
      <c r="BU237" s="22"/>
      <c r="BV237" s="22"/>
      <c r="BX237" s="22"/>
      <c r="BY237" s="22"/>
      <c r="BZ237" s="22"/>
      <c r="CB237" s="24"/>
      <c r="CC237" s="24"/>
      <c r="CD237" s="24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6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</row>
    <row r="238" spans="1:200" s="23" customFormat="1" ht="14.25" customHeight="1">
      <c r="A238" s="20"/>
      <c r="B238" s="21"/>
      <c r="C238" s="22"/>
      <c r="D238" s="22"/>
      <c r="E238" s="22"/>
      <c r="G238" s="22"/>
      <c r="H238" s="22"/>
      <c r="I238" s="22"/>
      <c r="K238" s="22"/>
      <c r="L238" s="22"/>
      <c r="M238" s="22"/>
      <c r="O238" s="22"/>
      <c r="P238" s="22"/>
      <c r="Q238" s="22"/>
      <c r="S238" s="22"/>
      <c r="T238" s="22"/>
      <c r="U238" s="22"/>
      <c r="W238" s="22"/>
      <c r="X238" s="22"/>
      <c r="Y238" s="22"/>
      <c r="AA238" s="22"/>
      <c r="AB238" s="22"/>
      <c r="AC238" s="22"/>
      <c r="AE238" s="24"/>
      <c r="AF238" s="24"/>
      <c r="AG238" s="24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6"/>
      <c r="AW238" s="24"/>
      <c r="AX238" s="20"/>
      <c r="AY238" s="21"/>
      <c r="AZ238" s="22"/>
      <c r="BA238" s="22"/>
      <c r="BB238" s="22"/>
      <c r="BD238" s="22"/>
      <c r="BE238" s="22"/>
      <c r="BF238" s="22"/>
      <c r="BH238" s="22"/>
      <c r="BI238" s="22"/>
      <c r="BJ238" s="22"/>
      <c r="BL238" s="22"/>
      <c r="BM238" s="22"/>
      <c r="BN238" s="22"/>
      <c r="BP238" s="22"/>
      <c r="BQ238" s="22"/>
      <c r="BR238" s="22"/>
      <c r="BT238" s="22"/>
      <c r="BU238" s="22"/>
      <c r="BV238" s="22"/>
      <c r="BX238" s="22"/>
      <c r="BY238" s="22"/>
      <c r="BZ238" s="22"/>
      <c r="CB238" s="24"/>
      <c r="CC238" s="24"/>
      <c r="CD238" s="24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6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</row>
    <row r="239" spans="1:200" s="23" customFormat="1" ht="14.25" customHeight="1">
      <c r="A239" s="20"/>
      <c r="B239" s="21"/>
      <c r="C239" s="22"/>
      <c r="D239" s="22"/>
      <c r="E239" s="22"/>
      <c r="G239" s="22"/>
      <c r="H239" s="22"/>
      <c r="I239" s="22"/>
      <c r="K239" s="22"/>
      <c r="L239" s="22"/>
      <c r="M239" s="22"/>
      <c r="O239" s="22"/>
      <c r="P239" s="22"/>
      <c r="Q239" s="22"/>
      <c r="S239" s="22"/>
      <c r="T239" s="22"/>
      <c r="U239" s="22"/>
      <c r="W239" s="22"/>
      <c r="X239" s="22"/>
      <c r="Y239" s="22"/>
      <c r="AA239" s="22"/>
      <c r="AB239" s="22"/>
      <c r="AC239" s="22"/>
      <c r="AE239" s="24"/>
      <c r="AF239" s="24"/>
      <c r="AG239" s="24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6"/>
      <c r="AW239" s="24"/>
      <c r="AX239" s="20"/>
      <c r="AY239" s="21"/>
      <c r="AZ239" s="22"/>
      <c r="BA239" s="22"/>
      <c r="BB239" s="22"/>
      <c r="BD239" s="22"/>
      <c r="BE239" s="22"/>
      <c r="BF239" s="22"/>
      <c r="BH239" s="22"/>
      <c r="BI239" s="22"/>
      <c r="BJ239" s="22"/>
      <c r="BL239" s="22"/>
      <c r="BM239" s="22"/>
      <c r="BN239" s="22"/>
      <c r="BP239" s="22"/>
      <c r="BQ239" s="22"/>
      <c r="BR239" s="22"/>
      <c r="BT239" s="22"/>
      <c r="BU239" s="22"/>
      <c r="BV239" s="22"/>
      <c r="BX239" s="22"/>
      <c r="BY239" s="22"/>
      <c r="BZ239" s="22"/>
      <c r="CB239" s="24"/>
      <c r="CC239" s="24"/>
      <c r="CD239" s="24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6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</row>
    <row r="240" spans="1:200" s="23" customFormat="1" ht="14.25" customHeight="1">
      <c r="A240" s="20"/>
      <c r="B240" s="21"/>
      <c r="C240" s="22"/>
      <c r="D240" s="22"/>
      <c r="E240" s="22"/>
      <c r="G240" s="22"/>
      <c r="H240" s="22"/>
      <c r="I240" s="22"/>
      <c r="K240" s="22"/>
      <c r="L240" s="22"/>
      <c r="M240" s="22"/>
      <c r="O240" s="22"/>
      <c r="P240" s="22"/>
      <c r="Q240" s="22"/>
      <c r="S240" s="22"/>
      <c r="T240" s="22"/>
      <c r="U240" s="22"/>
      <c r="W240" s="22"/>
      <c r="X240" s="22"/>
      <c r="Y240" s="22"/>
      <c r="AA240" s="22"/>
      <c r="AB240" s="22"/>
      <c r="AC240" s="22"/>
      <c r="AE240" s="24"/>
      <c r="AF240" s="24"/>
      <c r="AG240" s="24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6"/>
      <c r="AW240" s="24"/>
      <c r="AX240" s="20"/>
      <c r="AY240" s="21"/>
      <c r="AZ240" s="22"/>
      <c r="BA240" s="22"/>
      <c r="BB240" s="22"/>
      <c r="BD240" s="22"/>
      <c r="BE240" s="22"/>
      <c r="BF240" s="22"/>
      <c r="BH240" s="22"/>
      <c r="BI240" s="22"/>
      <c r="BJ240" s="22"/>
      <c r="BL240" s="22"/>
      <c r="BM240" s="22"/>
      <c r="BN240" s="22"/>
      <c r="BP240" s="22"/>
      <c r="BQ240" s="22"/>
      <c r="BR240" s="22"/>
      <c r="BT240" s="22"/>
      <c r="BU240" s="22"/>
      <c r="BV240" s="22"/>
      <c r="BX240" s="22"/>
      <c r="BY240" s="22"/>
      <c r="BZ240" s="22"/>
      <c r="CB240" s="24"/>
      <c r="CC240" s="24"/>
      <c r="CD240" s="24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6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</row>
    <row r="241" spans="1:200" s="23" customFormat="1" ht="14.25" customHeight="1">
      <c r="A241" s="20"/>
      <c r="B241" s="21"/>
      <c r="C241" s="22"/>
      <c r="D241" s="22"/>
      <c r="E241" s="22"/>
      <c r="G241" s="22"/>
      <c r="H241" s="22"/>
      <c r="I241" s="22"/>
      <c r="K241" s="22"/>
      <c r="L241" s="22"/>
      <c r="M241" s="22"/>
      <c r="O241" s="22"/>
      <c r="P241" s="22"/>
      <c r="Q241" s="22"/>
      <c r="S241" s="22"/>
      <c r="T241" s="22"/>
      <c r="U241" s="22"/>
      <c r="W241" s="22"/>
      <c r="X241" s="22"/>
      <c r="Y241" s="22"/>
      <c r="AA241" s="22"/>
      <c r="AB241" s="22"/>
      <c r="AC241" s="22"/>
      <c r="AE241" s="24"/>
      <c r="AF241" s="24"/>
      <c r="AG241" s="24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6"/>
      <c r="AW241" s="24"/>
      <c r="AX241" s="20"/>
      <c r="AY241" s="21"/>
      <c r="AZ241" s="22"/>
      <c r="BA241" s="22"/>
      <c r="BB241" s="22"/>
      <c r="BD241" s="22"/>
      <c r="BE241" s="22"/>
      <c r="BF241" s="22"/>
      <c r="BH241" s="22"/>
      <c r="BI241" s="22"/>
      <c r="BJ241" s="22"/>
      <c r="BL241" s="22"/>
      <c r="BM241" s="22"/>
      <c r="BN241" s="22"/>
      <c r="BP241" s="22"/>
      <c r="BQ241" s="22"/>
      <c r="BR241" s="22"/>
      <c r="BT241" s="22"/>
      <c r="BU241" s="22"/>
      <c r="BV241" s="22"/>
      <c r="BX241" s="22"/>
      <c r="BY241" s="22"/>
      <c r="BZ241" s="22"/>
      <c r="CB241" s="24"/>
      <c r="CC241" s="24"/>
      <c r="CD241" s="24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6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</row>
    <row r="242" spans="1:200" s="23" customFormat="1" ht="14.25" customHeight="1">
      <c r="A242" s="20"/>
      <c r="B242" s="21"/>
      <c r="C242" s="22"/>
      <c r="D242" s="22"/>
      <c r="E242" s="22"/>
      <c r="G242" s="22"/>
      <c r="H242" s="22"/>
      <c r="I242" s="22"/>
      <c r="K242" s="22"/>
      <c r="L242" s="22"/>
      <c r="M242" s="22"/>
      <c r="O242" s="22"/>
      <c r="P242" s="22"/>
      <c r="Q242" s="22"/>
      <c r="S242" s="22"/>
      <c r="T242" s="22"/>
      <c r="U242" s="22"/>
      <c r="W242" s="22"/>
      <c r="X242" s="22"/>
      <c r="Y242" s="22"/>
      <c r="AA242" s="22"/>
      <c r="AB242" s="22"/>
      <c r="AC242" s="22"/>
      <c r="AE242" s="24"/>
      <c r="AF242" s="24"/>
      <c r="AG242" s="24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6"/>
      <c r="AW242" s="24"/>
      <c r="AX242" s="20"/>
      <c r="AY242" s="21"/>
      <c r="AZ242" s="22"/>
      <c r="BA242" s="22"/>
      <c r="BB242" s="22"/>
      <c r="BD242" s="22"/>
      <c r="BE242" s="22"/>
      <c r="BF242" s="22"/>
      <c r="BH242" s="22"/>
      <c r="BI242" s="22"/>
      <c r="BJ242" s="22"/>
      <c r="BL242" s="22"/>
      <c r="BM242" s="22"/>
      <c r="BN242" s="22"/>
      <c r="BP242" s="22"/>
      <c r="BQ242" s="22"/>
      <c r="BR242" s="22"/>
      <c r="BT242" s="22"/>
      <c r="BU242" s="22"/>
      <c r="BV242" s="22"/>
      <c r="BX242" s="22"/>
      <c r="BY242" s="22"/>
      <c r="BZ242" s="22"/>
      <c r="CB242" s="24"/>
      <c r="CC242" s="24"/>
      <c r="CD242" s="24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6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</row>
    <row r="243" spans="1:200" s="23" customFormat="1" ht="14.25" customHeight="1">
      <c r="A243" s="20"/>
      <c r="B243" s="21"/>
      <c r="C243" s="22"/>
      <c r="D243" s="22"/>
      <c r="E243" s="22"/>
      <c r="G243" s="22"/>
      <c r="H243" s="22"/>
      <c r="I243" s="22"/>
      <c r="K243" s="22"/>
      <c r="L243" s="22"/>
      <c r="M243" s="22"/>
      <c r="O243" s="22"/>
      <c r="P243" s="22"/>
      <c r="Q243" s="22"/>
      <c r="S243" s="22"/>
      <c r="T243" s="22"/>
      <c r="U243" s="22"/>
      <c r="W243" s="22"/>
      <c r="X243" s="22"/>
      <c r="Y243" s="22"/>
      <c r="AA243" s="22"/>
      <c r="AB243" s="22"/>
      <c r="AC243" s="22"/>
      <c r="AE243" s="24"/>
      <c r="AF243" s="24"/>
      <c r="AG243" s="24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6"/>
      <c r="AW243" s="24"/>
      <c r="AX243" s="20"/>
      <c r="AY243" s="21"/>
      <c r="AZ243" s="22"/>
      <c r="BA243" s="22"/>
      <c r="BB243" s="22"/>
      <c r="BD243" s="22"/>
      <c r="BE243" s="22"/>
      <c r="BF243" s="22"/>
      <c r="BH243" s="22"/>
      <c r="BI243" s="22"/>
      <c r="BJ243" s="22"/>
      <c r="BL243" s="22"/>
      <c r="BM243" s="22"/>
      <c r="BN243" s="22"/>
      <c r="BP243" s="22"/>
      <c r="BQ243" s="22"/>
      <c r="BR243" s="22"/>
      <c r="BT243" s="22"/>
      <c r="BU243" s="22"/>
      <c r="BV243" s="22"/>
      <c r="BX243" s="22"/>
      <c r="BY243" s="22"/>
      <c r="BZ243" s="22"/>
      <c r="CB243" s="24"/>
      <c r="CC243" s="24"/>
      <c r="CD243" s="24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6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</row>
    <row r="244" spans="1:200" s="23" customFormat="1" ht="14.25" customHeight="1">
      <c r="A244" s="20"/>
      <c r="B244" s="21"/>
      <c r="C244" s="22"/>
      <c r="D244" s="22"/>
      <c r="E244" s="22"/>
      <c r="G244" s="22"/>
      <c r="H244" s="22"/>
      <c r="I244" s="22"/>
      <c r="K244" s="22"/>
      <c r="L244" s="22"/>
      <c r="M244" s="22"/>
      <c r="O244" s="22"/>
      <c r="P244" s="22"/>
      <c r="Q244" s="22"/>
      <c r="S244" s="22"/>
      <c r="T244" s="22"/>
      <c r="U244" s="22"/>
      <c r="W244" s="22"/>
      <c r="X244" s="22"/>
      <c r="Y244" s="22"/>
      <c r="AA244" s="22"/>
      <c r="AB244" s="22"/>
      <c r="AC244" s="22"/>
      <c r="AE244" s="24"/>
      <c r="AF244" s="24"/>
      <c r="AG244" s="24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6"/>
      <c r="AW244" s="24"/>
      <c r="AX244" s="20"/>
      <c r="AY244" s="21"/>
      <c r="AZ244" s="22"/>
      <c r="BA244" s="22"/>
      <c r="BB244" s="22"/>
      <c r="BD244" s="22"/>
      <c r="BE244" s="22"/>
      <c r="BF244" s="22"/>
      <c r="BH244" s="22"/>
      <c r="BI244" s="22"/>
      <c r="BJ244" s="22"/>
      <c r="BL244" s="22"/>
      <c r="BM244" s="22"/>
      <c r="BN244" s="22"/>
      <c r="BP244" s="22"/>
      <c r="BQ244" s="22"/>
      <c r="BR244" s="22"/>
      <c r="BT244" s="22"/>
      <c r="BU244" s="22"/>
      <c r="BV244" s="22"/>
      <c r="BX244" s="22"/>
      <c r="BY244" s="22"/>
      <c r="BZ244" s="22"/>
      <c r="CB244" s="24"/>
      <c r="CC244" s="24"/>
      <c r="CD244" s="24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6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</row>
    <row r="245" spans="1:200" s="23" customFormat="1" ht="14.25" customHeight="1">
      <c r="A245" s="20"/>
      <c r="B245" s="21"/>
      <c r="C245" s="22"/>
      <c r="D245" s="22"/>
      <c r="E245" s="22"/>
      <c r="G245" s="22"/>
      <c r="H245" s="22"/>
      <c r="I245" s="22"/>
      <c r="K245" s="22"/>
      <c r="L245" s="22"/>
      <c r="M245" s="22"/>
      <c r="O245" s="22"/>
      <c r="P245" s="22"/>
      <c r="Q245" s="22"/>
      <c r="S245" s="22"/>
      <c r="T245" s="22"/>
      <c r="U245" s="22"/>
      <c r="W245" s="22"/>
      <c r="X245" s="22"/>
      <c r="Y245" s="22"/>
      <c r="AA245" s="22"/>
      <c r="AB245" s="22"/>
      <c r="AC245" s="22"/>
      <c r="AE245" s="24"/>
      <c r="AF245" s="24"/>
      <c r="AG245" s="24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6"/>
      <c r="AW245" s="24"/>
      <c r="AX245" s="20"/>
      <c r="AY245" s="21"/>
      <c r="AZ245" s="22"/>
      <c r="BA245" s="22"/>
      <c r="BB245" s="22"/>
      <c r="BD245" s="22"/>
      <c r="BE245" s="22"/>
      <c r="BF245" s="22"/>
      <c r="BH245" s="22"/>
      <c r="BI245" s="22"/>
      <c r="BJ245" s="22"/>
      <c r="BL245" s="22"/>
      <c r="BM245" s="22"/>
      <c r="BN245" s="22"/>
      <c r="BP245" s="22"/>
      <c r="BQ245" s="22"/>
      <c r="BR245" s="22"/>
      <c r="BT245" s="22"/>
      <c r="BU245" s="22"/>
      <c r="BV245" s="22"/>
      <c r="BX245" s="22"/>
      <c r="BY245" s="22"/>
      <c r="BZ245" s="22"/>
      <c r="CB245" s="24"/>
      <c r="CC245" s="24"/>
      <c r="CD245" s="24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6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</row>
    <row r="246" spans="1:200" s="23" customFormat="1" ht="14.25" customHeight="1">
      <c r="A246" s="20"/>
      <c r="B246" s="21"/>
      <c r="C246" s="22"/>
      <c r="D246" s="22"/>
      <c r="E246" s="22"/>
      <c r="G246" s="22"/>
      <c r="H246" s="22"/>
      <c r="I246" s="22"/>
      <c r="K246" s="22"/>
      <c r="L246" s="22"/>
      <c r="M246" s="22"/>
      <c r="O246" s="22"/>
      <c r="P246" s="22"/>
      <c r="Q246" s="22"/>
      <c r="S246" s="22"/>
      <c r="T246" s="22"/>
      <c r="U246" s="22"/>
      <c r="W246" s="22"/>
      <c r="X246" s="22"/>
      <c r="Y246" s="22"/>
      <c r="AA246" s="22"/>
      <c r="AB246" s="22"/>
      <c r="AC246" s="22"/>
      <c r="AE246" s="24"/>
      <c r="AF246" s="24"/>
      <c r="AG246" s="24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6"/>
      <c r="AW246" s="24"/>
      <c r="AX246" s="20"/>
      <c r="AY246" s="21"/>
      <c r="AZ246" s="22"/>
      <c r="BA246" s="22"/>
      <c r="BB246" s="22"/>
      <c r="BD246" s="22"/>
      <c r="BE246" s="22"/>
      <c r="BF246" s="22"/>
      <c r="BH246" s="22"/>
      <c r="BI246" s="22"/>
      <c r="BJ246" s="22"/>
      <c r="BL246" s="22"/>
      <c r="BM246" s="22"/>
      <c r="BN246" s="22"/>
      <c r="BP246" s="22"/>
      <c r="BQ246" s="22"/>
      <c r="BR246" s="22"/>
      <c r="BT246" s="22"/>
      <c r="BU246" s="22"/>
      <c r="BV246" s="22"/>
      <c r="BX246" s="22"/>
      <c r="BY246" s="22"/>
      <c r="BZ246" s="22"/>
      <c r="CB246" s="24"/>
      <c r="CC246" s="24"/>
      <c r="CD246" s="24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6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</row>
    <row r="247" spans="1:200" s="23" customFormat="1" ht="14.25" customHeight="1">
      <c r="A247" s="20"/>
      <c r="B247" s="21"/>
      <c r="C247" s="22"/>
      <c r="D247" s="22"/>
      <c r="E247" s="22"/>
      <c r="G247" s="22"/>
      <c r="H247" s="22"/>
      <c r="I247" s="22"/>
      <c r="K247" s="22"/>
      <c r="L247" s="22"/>
      <c r="M247" s="22"/>
      <c r="O247" s="22"/>
      <c r="P247" s="22"/>
      <c r="Q247" s="22"/>
      <c r="S247" s="22"/>
      <c r="T247" s="22"/>
      <c r="U247" s="22"/>
      <c r="W247" s="22"/>
      <c r="X247" s="22"/>
      <c r="Y247" s="22"/>
      <c r="AA247" s="22"/>
      <c r="AB247" s="22"/>
      <c r="AC247" s="22"/>
      <c r="AE247" s="24"/>
      <c r="AF247" s="24"/>
      <c r="AG247" s="24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6"/>
      <c r="AW247" s="24"/>
      <c r="AX247" s="20"/>
      <c r="AY247" s="21"/>
      <c r="AZ247" s="22"/>
      <c r="BA247" s="22"/>
      <c r="BB247" s="22"/>
      <c r="BD247" s="22"/>
      <c r="BE247" s="22"/>
      <c r="BF247" s="22"/>
      <c r="BH247" s="22"/>
      <c r="BI247" s="22"/>
      <c r="BJ247" s="22"/>
      <c r="BL247" s="22"/>
      <c r="BM247" s="22"/>
      <c r="BN247" s="22"/>
      <c r="BP247" s="22"/>
      <c r="BQ247" s="22"/>
      <c r="BR247" s="22"/>
      <c r="BT247" s="22"/>
      <c r="BU247" s="22"/>
      <c r="BV247" s="22"/>
      <c r="BX247" s="22"/>
      <c r="BY247" s="22"/>
      <c r="BZ247" s="22"/>
      <c r="CB247" s="24"/>
      <c r="CC247" s="24"/>
      <c r="CD247" s="24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6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</row>
    <row r="248" spans="1:200" s="23" customFormat="1" ht="14.25" customHeight="1">
      <c r="A248" s="20"/>
      <c r="B248" s="21"/>
      <c r="C248" s="22"/>
      <c r="D248" s="22"/>
      <c r="E248" s="22"/>
      <c r="G248" s="22"/>
      <c r="H248" s="22"/>
      <c r="I248" s="22"/>
      <c r="K248" s="22"/>
      <c r="L248" s="22"/>
      <c r="M248" s="22"/>
      <c r="O248" s="22"/>
      <c r="P248" s="22"/>
      <c r="Q248" s="22"/>
      <c r="S248" s="22"/>
      <c r="T248" s="22"/>
      <c r="U248" s="22"/>
      <c r="W248" s="22"/>
      <c r="X248" s="22"/>
      <c r="Y248" s="22"/>
      <c r="AA248" s="22"/>
      <c r="AB248" s="22"/>
      <c r="AC248" s="22"/>
      <c r="AE248" s="24"/>
      <c r="AF248" s="24"/>
      <c r="AG248" s="24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6"/>
      <c r="AW248" s="24"/>
      <c r="AX248" s="20"/>
      <c r="AY248" s="21"/>
      <c r="AZ248" s="22"/>
      <c r="BA248" s="22"/>
      <c r="BB248" s="22"/>
      <c r="BD248" s="22"/>
      <c r="BE248" s="22"/>
      <c r="BF248" s="22"/>
      <c r="BH248" s="22"/>
      <c r="BI248" s="22"/>
      <c r="BJ248" s="22"/>
      <c r="BL248" s="22"/>
      <c r="BM248" s="22"/>
      <c r="BN248" s="22"/>
      <c r="BP248" s="22"/>
      <c r="BQ248" s="22"/>
      <c r="BR248" s="22"/>
      <c r="BT248" s="22"/>
      <c r="BU248" s="22"/>
      <c r="BV248" s="22"/>
      <c r="BX248" s="22"/>
      <c r="BY248" s="22"/>
      <c r="BZ248" s="22"/>
      <c r="CB248" s="24"/>
      <c r="CC248" s="24"/>
      <c r="CD248" s="24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6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</row>
    <row r="249" spans="1:200" s="23" customFormat="1" ht="14.25" customHeight="1">
      <c r="A249" s="20"/>
      <c r="B249" s="21"/>
      <c r="C249" s="22"/>
      <c r="D249" s="22"/>
      <c r="E249" s="22"/>
      <c r="G249" s="22"/>
      <c r="H249" s="22"/>
      <c r="I249" s="22"/>
      <c r="K249" s="22"/>
      <c r="L249" s="22"/>
      <c r="M249" s="22"/>
      <c r="O249" s="22"/>
      <c r="P249" s="22"/>
      <c r="Q249" s="22"/>
      <c r="S249" s="22"/>
      <c r="T249" s="22"/>
      <c r="U249" s="22"/>
      <c r="W249" s="22"/>
      <c r="X249" s="22"/>
      <c r="Y249" s="22"/>
      <c r="AA249" s="22"/>
      <c r="AB249" s="22"/>
      <c r="AC249" s="22"/>
      <c r="AE249" s="24"/>
      <c r="AF249" s="24"/>
      <c r="AG249" s="24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6"/>
      <c r="AW249" s="24"/>
      <c r="AX249" s="20"/>
      <c r="AY249" s="21"/>
      <c r="AZ249" s="22"/>
      <c r="BA249" s="22"/>
      <c r="BB249" s="22"/>
      <c r="BD249" s="22"/>
      <c r="BE249" s="22"/>
      <c r="BF249" s="22"/>
      <c r="BH249" s="22"/>
      <c r="BI249" s="22"/>
      <c r="BJ249" s="22"/>
      <c r="BL249" s="22"/>
      <c r="BM249" s="22"/>
      <c r="BN249" s="22"/>
      <c r="BP249" s="22"/>
      <c r="BQ249" s="22"/>
      <c r="BR249" s="22"/>
      <c r="BT249" s="22"/>
      <c r="BU249" s="22"/>
      <c r="BV249" s="22"/>
      <c r="BX249" s="22"/>
      <c r="BY249" s="22"/>
      <c r="BZ249" s="22"/>
      <c r="CB249" s="24"/>
      <c r="CC249" s="24"/>
      <c r="CD249" s="24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6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</row>
    <row r="250" spans="1:200" s="23" customFormat="1" ht="14.25" customHeight="1">
      <c r="A250" s="20"/>
      <c r="B250" s="21"/>
      <c r="C250" s="22"/>
      <c r="D250" s="22"/>
      <c r="E250" s="22"/>
      <c r="G250" s="22"/>
      <c r="H250" s="22"/>
      <c r="I250" s="22"/>
      <c r="K250" s="22"/>
      <c r="L250" s="22"/>
      <c r="M250" s="22"/>
      <c r="O250" s="22"/>
      <c r="P250" s="22"/>
      <c r="Q250" s="22"/>
      <c r="S250" s="22"/>
      <c r="T250" s="22"/>
      <c r="U250" s="22"/>
      <c r="W250" s="22"/>
      <c r="X250" s="22"/>
      <c r="Y250" s="22"/>
      <c r="AA250" s="22"/>
      <c r="AB250" s="22"/>
      <c r="AC250" s="22"/>
      <c r="AE250" s="24"/>
      <c r="AF250" s="24"/>
      <c r="AG250" s="24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6"/>
      <c r="AW250" s="24"/>
      <c r="AX250" s="20"/>
      <c r="AY250" s="21"/>
      <c r="AZ250" s="22"/>
      <c r="BA250" s="22"/>
      <c r="BB250" s="22"/>
      <c r="BD250" s="22"/>
      <c r="BE250" s="22"/>
      <c r="BF250" s="22"/>
      <c r="BH250" s="22"/>
      <c r="BI250" s="22"/>
      <c r="BJ250" s="22"/>
      <c r="BL250" s="22"/>
      <c r="BM250" s="22"/>
      <c r="BN250" s="22"/>
      <c r="BP250" s="22"/>
      <c r="BQ250" s="22"/>
      <c r="BR250" s="22"/>
      <c r="BT250" s="22"/>
      <c r="BU250" s="22"/>
      <c r="BV250" s="22"/>
      <c r="BX250" s="22"/>
      <c r="BY250" s="22"/>
      <c r="BZ250" s="22"/>
      <c r="CB250" s="24"/>
      <c r="CC250" s="24"/>
      <c r="CD250" s="24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6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</row>
    <row r="251" spans="1:200" s="23" customFormat="1" ht="14.25" customHeight="1">
      <c r="A251" s="20"/>
      <c r="B251" s="21"/>
      <c r="C251" s="22"/>
      <c r="D251" s="22"/>
      <c r="E251" s="22"/>
      <c r="G251" s="22"/>
      <c r="H251" s="22"/>
      <c r="I251" s="22"/>
      <c r="K251" s="22"/>
      <c r="L251" s="22"/>
      <c r="M251" s="22"/>
      <c r="O251" s="22"/>
      <c r="P251" s="22"/>
      <c r="Q251" s="22"/>
      <c r="S251" s="22"/>
      <c r="T251" s="22"/>
      <c r="U251" s="22"/>
      <c r="W251" s="22"/>
      <c r="X251" s="22"/>
      <c r="Y251" s="22"/>
      <c r="AA251" s="22"/>
      <c r="AB251" s="22"/>
      <c r="AC251" s="22"/>
      <c r="AE251" s="24"/>
      <c r="AF251" s="24"/>
      <c r="AG251" s="24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6"/>
      <c r="AW251" s="24"/>
      <c r="AX251" s="20"/>
      <c r="AY251" s="21"/>
      <c r="AZ251" s="22"/>
      <c r="BA251" s="22"/>
      <c r="BB251" s="22"/>
      <c r="BD251" s="22"/>
      <c r="BE251" s="22"/>
      <c r="BF251" s="22"/>
      <c r="BH251" s="22"/>
      <c r="BI251" s="22"/>
      <c r="BJ251" s="22"/>
      <c r="BL251" s="22"/>
      <c r="BM251" s="22"/>
      <c r="BN251" s="22"/>
      <c r="BP251" s="22"/>
      <c r="BQ251" s="22"/>
      <c r="BR251" s="22"/>
      <c r="BT251" s="22"/>
      <c r="BU251" s="22"/>
      <c r="BV251" s="22"/>
      <c r="BX251" s="22"/>
      <c r="BY251" s="22"/>
      <c r="BZ251" s="22"/>
      <c r="CB251" s="24"/>
      <c r="CC251" s="24"/>
      <c r="CD251" s="24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6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</row>
    <row r="252" spans="1:200" s="23" customFormat="1" ht="14.25" customHeight="1">
      <c r="A252" s="20"/>
      <c r="B252" s="21"/>
      <c r="C252" s="22"/>
      <c r="D252" s="22"/>
      <c r="E252" s="22"/>
      <c r="G252" s="22"/>
      <c r="H252" s="22"/>
      <c r="I252" s="22"/>
      <c r="K252" s="22"/>
      <c r="L252" s="22"/>
      <c r="M252" s="22"/>
      <c r="O252" s="22"/>
      <c r="P252" s="22"/>
      <c r="Q252" s="22"/>
      <c r="S252" s="22"/>
      <c r="T252" s="22"/>
      <c r="U252" s="22"/>
      <c r="W252" s="22"/>
      <c r="X252" s="22"/>
      <c r="Y252" s="22"/>
      <c r="AA252" s="22"/>
      <c r="AB252" s="22"/>
      <c r="AC252" s="22"/>
      <c r="AE252" s="24"/>
      <c r="AF252" s="24"/>
      <c r="AG252" s="24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6"/>
      <c r="AW252" s="24"/>
      <c r="AX252" s="20"/>
      <c r="AY252" s="21"/>
      <c r="AZ252" s="22"/>
      <c r="BA252" s="22"/>
      <c r="BB252" s="22"/>
      <c r="BD252" s="22"/>
      <c r="BE252" s="22"/>
      <c r="BF252" s="22"/>
      <c r="BH252" s="22"/>
      <c r="BI252" s="22"/>
      <c r="BJ252" s="22"/>
      <c r="BL252" s="22"/>
      <c r="BM252" s="22"/>
      <c r="BN252" s="22"/>
      <c r="BP252" s="22"/>
      <c r="BQ252" s="22"/>
      <c r="BR252" s="22"/>
      <c r="BT252" s="22"/>
      <c r="BU252" s="22"/>
      <c r="BV252" s="22"/>
      <c r="BX252" s="22"/>
      <c r="BY252" s="22"/>
      <c r="BZ252" s="22"/>
      <c r="CB252" s="24"/>
      <c r="CC252" s="24"/>
      <c r="CD252" s="24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6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</row>
    <row r="253" spans="1:200" s="23" customFormat="1" ht="14.25" customHeight="1">
      <c r="A253" s="20"/>
      <c r="B253" s="21"/>
      <c r="C253" s="22"/>
      <c r="D253" s="22"/>
      <c r="E253" s="22"/>
      <c r="G253" s="22"/>
      <c r="H253" s="22"/>
      <c r="I253" s="22"/>
      <c r="K253" s="22"/>
      <c r="L253" s="22"/>
      <c r="M253" s="22"/>
      <c r="O253" s="22"/>
      <c r="P253" s="22"/>
      <c r="Q253" s="22"/>
      <c r="S253" s="22"/>
      <c r="T253" s="22"/>
      <c r="U253" s="22"/>
      <c r="W253" s="22"/>
      <c r="X253" s="22"/>
      <c r="Y253" s="22"/>
      <c r="AA253" s="22"/>
      <c r="AB253" s="22"/>
      <c r="AC253" s="22"/>
      <c r="AE253" s="24"/>
      <c r="AF253" s="24"/>
      <c r="AG253" s="24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6"/>
      <c r="AW253" s="24"/>
      <c r="AX253" s="20"/>
      <c r="AY253" s="21"/>
      <c r="AZ253" s="22"/>
      <c r="BA253" s="22"/>
      <c r="BB253" s="22"/>
      <c r="BD253" s="22"/>
      <c r="BE253" s="22"/>
      <c r="BF253" s="22"/>
      <c r="BH253" s="22"/>
      <c r="BI253" s="22"/>
      <c r="BJ253" s="22"/>
      <c r="BL253" s="22"/>
      <c r="BM253" s="22"/>
      <c r="BN253" s="22"/>
      <c r="BP253" s="22"/>
      <c r="BQ253" s="22"/>
      <c r="BR253" s="22"/>
      <c r="BT253" s="22"/>
      <c r="BU253" s="22"/>
      <c r="BV253" s="22"/>
      <c r="BX253" s="22"/>
      <c r="BY253" s="22"/>
      <c r="BZ253" s="22"/>
      <c r="CB253" s="24"/>
      <c r="CC253" s="24"/>
      <c r="CD253" s="24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6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24"/>
      <c r="GQ253" s="24"/>
      <c r="GR253" s="24"/>
    </row>
    <row r="254" spans="1:200" s="23" customFormat="1" ht="14.25" customHeight="1">
      <c r="A254" s="20"/>
      <c r="B254" s="21"/>
      <c r="C254" s="22"/>
      <c r="D254" s="22"/>
      <c r="E254" s="22"/>
      <c r="G254" s="22"/>
      <c r="H254" s="22"/>
      <c r="I254" s="22"/>
      <c r="K254" s="22"/>
      <c r="L254" s="22"/>
      <c r="M254" s="22"/>
      <c r="O254" s="22"/>
      <c r="P254" s="22"/>
      <c r="Q254" s="22"/>
      <c r="S254" s="22"/>
      <c r="T254" s="22"/>
      <c r="U254" s="22"/>
      <c r="W254" s="22"/>
      <c r="X254" s="22"/>
      <c r="Y254" s="22"/>
      <c r="AA254" s="22"/>
      <c r="AB254" s="22"/>
      <c r="AC254" s="22"/>
      <c r="AE254" s="24"/>
      <c r="AF254" s="24"/>
      <c r="AG254" s="24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6"/>
      <c r="AW254" s="24"/>
      <c r="AX254" s="20"/>
      <c r="AY254" s="21"/>
      <c r="AZ254" s="22"/>
      <c r="BA254" s="22"/>
      <c r="BB254" s="22"/>
      <c r="BD254" s="22"/>
      <c r="BE254" s="22"/>
      <c r="BF254" s="22"/>
      <c r="BH254" s="22"/>
      <c r="BI254" s="22"/>
      <c r="BJ254" s="22"/>
      <c r="BL254" s="22"/>
      <c r="BM254" s="22"/>
      <c r="BN254" s="22"/>
      <c r="BP254" s="22"/>
      <c r="BQ254" s="22"/>
      <c r="BR254" s="22"/>
      <c r="BT254" s="22"/>
      <c r="BU254" s="22"/>
      <c r="BV254" s="22"/>
      <c r="BX254" s="22"/>
      <c r="BY254" s="22"/>
      <c r="BZ254" s="22"/>
      <c r="CB254" s="24"/>
      <c r="CC254" s="24"/>
      <c r="CD254" s="24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6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</row>
    <row r="255" spans="1:200" s="23" customFormat="1" ht="14.25" customHeight="1">
      <c r="A255" s="20"/>
      <c r="B255" s="21"/>
      <c r="C255" s="22"/>
      <c r="D255" s="22"/>
      <c r="E255" s="22"/>
      <c r="G255" s="22"/>
      <c r="H255" s="22"/>
      <c r="I255" s="22"/>
      <c r="K255" s="22"/>
      <c r="L255" s="22"/>
      <c r="M255" s="22"/>
      <c r="O255" s="22"/>
      <c r="P255" s="22"/>
      <c r="Q255" s="22"/>
      <c r="S255" s="22"/>
      <c r="T255" s="22"/>
      <c r="U255" s="22"/>
      <c r="W255" s="22"/>
      <c r="X255" s="22"/>
      <c r="Y255" s="22"/>
      <c r="AA255" s="22"/>
      <c r="AB255" s="22"/>
      <c r="AC255" s="22"/>
      <c r="AE255" s="24"/>
      <c r="AF255" s="24"/>
      <c r="AG255" s="24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6"/>
      <c r="AW255" s="24"/>
      <c r="AX255" s="20"/>
      <c r="AY255" s="21"/>
      <c r="AZ255" s="22"/>
      <c r="BA255" s="22"/>
      <c r="BB255" s="22"/>
      <c r="BD255" s="22"/>
      <c r="BE255" s="22"/>
      <c r="BF255" s="22"/>
      <c r="BH255" s="22"/>
      <c r="BI255" s="22"/>
      <c r="BJ255" s="22"/>
      <c r="BL255" s="22"/>
      <c r="BM255" s="22"/>
      <c r="BN255" s="22"/>
      <c r="BP255" s="22"/>
      <c r="BQ255" s="22"/>
      <c r="BR255" s="22"/>
      <c r="BT255" s="22"/>
      <c r="BU255" s="22"/>
      <c r="BV255" s="22"/>
      <c r="BX255" s="22"/>
      <c r="BY255" s="22"/>
      <c r="BZ255" s="22"/>
      <c r="CB255" s="24"/>
      <c r="CC255" s="24"/>
      <c r="CD255" s="24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6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</row>
    <row r="256" spans="1:200" s="23" customFormat="1" ht="14.25" customHeight="1">
      <c r="A256" s="20"/>
      <c r="B256" s="21"/>
      <c r="C256" s="22"/>
      <c r="D256" s="22"/>
      <c r="E256" s="22"/>
      <c r="G256" s="22"/>
      <c r="H256" s="22"/>
      <c r="I256" s="22"/>
      <c r="K256" s="22"/>
      <c r="L256" s="22"/>
      <c r="M256" s="22"/>
      <c r="O256" s="22"/>
      <c r="P256" s="22"/>
      <c r="Q256" s="22"/>
      <c r="S256" s="22"/>
      <c r="T256" s="22"/>
      <c r="U256" s="22"/>
      <c r="W256" s="22"/>
      <c r="X256" s="22"/>
      <c r="Y256" s="22"/>
      <c r="AA256" s="22"/>
      <c r="AB256" s="22"/>
      <c r="AC256" s="22"/>
      <c r="AE256" s="24"/>
      <c r="AF256" s="24"/>
      <c r="AG256" s="24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6"/>
      <c r="AW256" s="24"/>
      <c r="AX256" s="20"/>
      <c r="AY256" s="21"/>
      <c r="AZ256" s="22"/>
      <c r="BA256" s="22"/>
      <c r="BB256" s="22"/>
      <c r="BD256" s="22"/>
      <c r="BE256" s="22"/>
      <c r="BF256" s="22"/>
      <c r="BH256" s="22"/>
      <c r="BI256" s="22"/>
      <c r="BJ256" s="22"/>
      <c r="BL256" s="22"/>
      <c r="BM256" s="22"/>
      <c r="BN256" s="22"/>
      <c r="BP256" s="22"/>
      <c r="BQ256" s="22"/>
      <c r="BR256" s="22"/>
      <c r="BT256" s="22"/>
      <c r="BU256" s="22"/>
      <c r="BV256" s="22"/>
      <c r="BX256" s="22"/>
      <c r="BY256" s="22"/>
      <c r="BZ256" s="22"/>
      <c r="CB256" s="24"/>
      <c r="CC256" s="24"/>
      <c r="CD256" s="24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6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</row>
    <row r="257" spans="1:200" s="23" customFormat="1" ht="14.25" customHeight="1">
      <c r="A257" s="20"/>
      <c r="B257" s="21"/>
      <c r="C257" s="22"/>
      <c r="D257" s="22"/>
      <c r="E257" s="22"/>
      <c r="G257" s="22"/>
      <c r="H257" s="22"/>
      <c r="I257" s="22"/>
      <c r="K257" s="22"/>
      <c r="L257" s="22"/>
      <c r="M257" s="22"/>
      <c r="O257" s="22"/>
      <c r="P257" s="22"/>
      <c r="Q257" s="22"/>
      <c r="S257" s="22"/>
      <c r="T257" s="22"/>
      <c r="U257" s="22"/>
      <c r="W257" s="22"/>
      <c r="X257" s="22"/>
      <c r="Y257" s="22"/>
      <c r="AA257" s="22"/>
      <c r="AB257" s="22"/>
      <c r="AC257" s="22"/>
      <c r="AE257" s="24"/>
      <c r="AF257" s="24"/>
      <c r="AG257" s="24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6"/>
      <c r="AW257" s="24"/>
      <c r="AX257" s="20"/>
      <c r="AY257" s="21"/>
      <c r="AZ257" s="22"/>
      <c r="BA257" s="22"/>
      <c r="BB257" s="22"/>
      <c r="BD257" s="22"/>
      <c r="BE257" s="22"/>
      <c r="BF257" s="22"/>
      <c r="BH257" s="22"/>
      <c r="BI257" s="22"/>
      <c r="BJ257" s="22"/>
      <c r="BL257" s="22"/>
      <c r="BM257" s="22"/>
      <c r="BN257" s="22"/>
      <c r="BP257" s="22"/>
      <c r="BQ257" s="22"/>
      <c r="BR257" s="22"/>
      <c r="BT257" s="22"/>
      <c r="BU257" s="22"/>
      <c r="BV257" s="22"/>
      <c r="BX257" s="22"/>
      <c r="BY257" s="22"/>
      <c r="BZ257" s="22"/>
      <c r="CB257" s="24"/>
      <c r="CC257" s="24"/>
      <c r="CD257" s="24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6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24"/>
      <c r="GQ257" s="24"/>
      <c r="GR257" s="24"/>
    </row>
    <row r="258" spans="1:200" s="23" customFormat="1" ht="14.25" customHeight="1">
      <c r="A258" s="20"/>
      <c r="B258" s="21"/>
      <c r="C258" s="22"/>
      <c r="D258" s="22"/>
      <c r="E258" s="22"/>
      <c r="G258" s="22"/>
      <c r="H258" s="22"/>
      <c r="I258" s="22"/>
      <c r="K258" s="22"/>
      <c r="L258" s="22"/>
      <c r="M258" s="22"/>
      <c r="O258" s="22"/>
      <c r="P258" s="22"/>
      <c r="Q258" s="22"/>
      <c r="S258" s="22"/>
      <c r="T258" s="22"/>
      <c r="U258" s="22"/>
      <c r="W258" s="22"/>
      <c r="X258" s="22"/>
      <c r="Y258" s="22"/>
      <c r="AA258" s="22"/>
      <c r="AB258" s="22"/>
      <c r="AC258" s="22"/>
      <c r="AE258" s="24"/>
      <c r="AF258" s="24"/>
      <c r="AG258" s="24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6"/>
      <c r="AW258" s="24"/>
      <c r="AX258" s="20"/>
      <c r="AY258" s="21"/>
      <c r="AZ258" s="22"/>
      <c r="BA258" s="22"/>
      <c r="BB258" s="22"/>
      <c r="BD258" s="22"/>
      <c r="BE258" s="22"/>
      <c r="BF258" s="22"/>
      <c r="BH258" s="22"/>
      <c r="BI258" s="22"/>
      <c r="BJ258" s="22"/>
      <c r="BL258" s="22"/>
      <c r="BM258" s="22"/>
      <c r="BN258" s="22"/>
      <c r="BP258" s="22"/>
      <c r="BQ258" s="22"/>
      <c r="BR258" s="22"/>
      <c r="BT258" s="22"/>
      <c r="BU258" s="22"/>
      <c r="BV258" s="22"/>
      <c r="BX258" s="22"/>
      <c r="BY258" s="22"/>
      <c r="BZ258" s="22"/>
      <c r="CB258" s="24"/>
      <c r="CC258" s="24"/>
      <c r="CD258" s="24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6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4"/>
      <c r="GQ258" s="24"/>
      <c r="GR258" s="24"/>
    </row>
    <row r="259" spans="1:200" s="23" customFormat="1" ht="14.25" customHeight="1">
      <c r="A259" s="20"/>
      <c r="B259" s="21"/>
      <c r="C259" s="22"/>
      <c r="D259" s="22"/>
      <c r="E259" s="22"/>
      <c r="G259" s="22"/>
      <c r="H259" s="22"/>
      <c r="I259" s="22"/>
      <c r="K259" s="22"/>
      <c r="L259" s="22"/>
      <c r="M259" s="22"/>
      <c r="O259" s="22"/>
      <c r="P259" s="22"/>
      <c r="Q259" s="22"/>
      <c r="S259" s="22"/>
      <c r="T259" s="22"/>
      <c r="U259" s="22"/>
      <c r="W259" s="22"/>
      <c r="X259" s="22"/>
      <c r="Y259" s="22"/>
      <c r="AA259" s="22"/>
      <c r="AB259" s="22"/>
      <c r="AC259" s="22"/>
      <c r="AE259" s="24"/>
      <c r="AF259" s="24"/>
      <c r="AG259" s="24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6"/>
      <c r="AW259" s="24"/>
      <c r="AX259" s="20"/>
      <c r="AY259" s="21"/>
      <c r="AZ259" s="22"/>
      <c r="BA259" s="22"/>
      <c r="BB259" s="22"/>
      <c r="BD259" s="22"/>
      <c r="BE259" s="22"/>
      <c r="BF259" s="22"/>
      <c r="BH259" s="22"/>
      <c r="BI259" s="22"/>
      <c r="BJ259" s="22"/>
      <c r="BL259" s="22"/>
      <c r="BM259" s="22"/>
      <c r="BN259" s="22"/>
      <c r="BP259" s="22"/>
      <c r="BQ259" s="22"/>
      <c r="BR259" s="22"/>
      <c r="BT259" s="22"/>
      <c r="BU259" s="22"/>
      <c r="BV259" s="22"/>
      <c r="BX259" s="22"/>
      <c r="BY259" s="22"/>
      <c r="BZ259" s="22"/>
      <c r="CB259" s="24"/>
      <c r="CC259" s="24"/>
      <c r="CD259" s="24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6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4"/>
      <c r="GQ259" s="24"/>
      <c r="GR259" s="24"/>
    </row>
    <row r="260" spans="1:200" s="23" customFormat="1" ht="14.25" customHeight="1">
      <c r="A260" s="20"/>
      <c r="B260" s="21"/>
      <c r="C260" s="22"/>
      <c r="D260" s="22"/>
      <c r="E260" s="22"/>
      <c r="G260" s="22"/>
      <c r="H260" s="22"/>
      <c r="I260" s="22"/>
      <c r="K260" s="22"/>
      <c r="L260" s="22"/>
      <c r="M260" s="22"/>
      <c r="O260" s="22"/>
      <c r="P260" s="22"/>
      <c r="Q260" s="22"/>
      <c r="S260" s="22"/>
      <c r="T260" s="22"/>
      <c r="U260" s="22"/>
      <c r="W260" s="22"/>
      <c r="X260" s="22"/>
      <c r="Y260" s="22"/>
      <c r="AA260" s="22"/>
      <c r="AB260" s="22"/>
      <c r="AC260" s="22"/>
      <c r="AE260" s="24"/>
      <c r="AF260" s="24"/>
      <c r="AG260" s="24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6"/>
      <c r="AW260" s="24"/>
      <c r="AX260" s="20"/>
      <c r="AY260" s="21"/>
      <c r="AZ260" s="22"/>
      <c r="BA260" s="22"/>
      <c r="BB260" s="22"/>
      <c r="BD260" s="22"/>
      <c r="BE260" s="22"/>
      <c r="BF260" s="22"/>
      <c r="BH260" s="22"/>
      <c r="BI260" s="22"/>
      <c r="BJ260" s="22"/>
      <c r="BL260" s="22"/>
      <c r="BM260" s="22"/>
      <c r="BN260" s="22"/>
      <c r="BP260" s="22"/>
      <c r="BQ260" s="22"/>
      <c r="BR260" s="22"/>
      <c r="BT260" s="22"/>
      <c r="BU260" s="22"/>
      <c r="BV260" s="22"/>
      <c r="BX260" s="22"/>
      <c r="BY260" s="22"/>
      <c r="BZ260" s="22"/>
      <c r="CB260" s="24"/>
      <c r="CC260" s="24"/>
      <c r="CD260" s="24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6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/>
      <c r="GQ260" s="24"/>
      <c r="GR260" s="24"/>
    </row>
    <row r="261" spans="1:200" s="23" customFormat="1" ht="14.25" customHeight="1">
      <c r="A261" s="20"/>
      <c r="B261" s="21"/>
      <c r="C261" s="22"/>
      <c r="D261" s="22"/>
      <c r="E261" s="22"/>
      <c r="G261" s="22"/>
      <c r="H261" s="22"/>
      <c r="I261" s="22"/>
      <c r="K261" s="22"/>
      <c r="L261" s="22"/>
      <c r="M261" s="22"/>
      <c r="O261" s="22"/>
      <c r="P261" s="22"/>
      <c r="Q261" s="22"/>
      <c r="S261" s="22"/>
      <c r="T261" s="22"/>
      <c r="U261" s="22"/>
      <c r="W261" s="22"/>
      <c r="X261" s="22"/>
      <c r="Y261" s="22"/>
      <c r="AA261" s="22"/>
      <c r="AB261" s="22"/>
      <c r="AC261" s="22"/>
      <c r="AE261" s="24"/>
      <c r="AF261" s="24"/>
      <c r="AG261" s="24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6"/>
      <c r="AW261" s="24"/>
      <c r="AX261" s="20"/>
      <c r="AY261" s="21"/>
      <c r="AZ261" s="22"/>
      <c r="BA261" s="22"/>
      <c r="BB261" s="22"/>
      <c r="BD261" s="22"/>
      <c r="BE261" s="22"/>
      <c r="BF261" s="22"/>
      <c r="BH261" s="22"/>
      <c r="BI261" s="22"/>
      <c r="BJ261" s="22"/>
      <c r="BL261" s="22"/>
      <c r="BM261" s="22"/>
      <c r="BN261" s="22"/>
      <c r="BP261" s="22"/>
      <c r="BQ261" s="22"/>
      <c r="BR261" s="22"/>
      <c r="BT261" s="22"/>
      <c r="BU261" s="22"/>
      <c r="BV261" s="22"/>
      <c r="BX261" s="22"/>
      <c r="BY261" s="22"/>
      <c r="BZ261" s="22"/>
      <c r="CB261" s="24"/>
      <c r="CC261" s="24"/>
      <c r="CD261" s="24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6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4"/>
      <c r="GQ261" s="24"/>
      <c r="GR261" s="24"/>
    </row>
    <row r="262" spans="1:200" s="23" customFormat="1" ht="14.25" customHeight="1">
      <c r="A262" s="20"/>
      <c r="B262" s="21"/>
      <c r="C262" s="22"/>
      <c r="D262" s="22"/>
      <c r="E262" s="22"/>
      <c r="G262" s="22"/>
      <c r="H262" s="22"/>
      <c r="I262" s="22"/>
      <c r="K262" s="22"/>
      <c r="L262" s="22"/>
      <c r="M262" s="22"/>
      <c r="O262" s="22"/>
      <c r="P262" s="22"/>
      <c r="Q262" s="22"/>
      <c r="S262" s="22"/>
      <c r="T262" s="22"/>
      <c r="U262" s="22"/>
      <c r="W262" s="22"/>
      <c r="X262" s="22"/>
      <c r="Y262" s="22"/>
      <c r="AA262" s="22"/>
      <c r="AB262" s="22"/>
      <c r="AC262" s="22"/>
      <c r="AE262" s="24"/>
      <c r="AF262" s="24"/>
      <c r="AG262" s="24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6"/>
      <c r="AW262" s="24"/>
      <c r="AX262" s="20"/>
      <c r="AY262" s="21"/>
      <c r="AZ262" s="22"/>
      <c r="BA262" s="22"/>
      <c r="BB262" s="22"/>
      <c r="BD262" s="22"/>
      <c r="BE262" s="22"/>
      <c r="BF262" s="22"/>
      <c r="BH262" s="22"/>
      <c r="BI262" s="22"/>
      <c r="BJ262" s="22"/>
      <c r="BL262" s="22"/>
      <c r="BM262" s="22"/>
      <c r="BN262" s="22"/>
      <c r="BP262" s="22"/>
      <c r="BQ262" s="22"/>
      <c r="BR262" s="22"/>
      <c r="BT262" s="22"/>
      <c r="BU262" s="22"/>
      <c r="BV262" s="22"/>
      <c r="BX262" s="22"/>
      <c r="BY262" s="22"/>
      <c r="BZ262" s="22"/>
      <c r="CB262" s="24"/>
      <c r="CC262" s="24"/>
      <c r="CD262" s="24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6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/>
      <c r="GQ262" s="24"/>
      <c r="GR262" s="24"/>
    </row>
    <row r="263" spans="1:200" s="23" customFormat="1" ht="14.25" customHeight="1">
      <c r="A263" s="20"/>
      <c r="B263" s="21"/>
      <c r="C263" s="22"/>
      <c r="D263" s="22"/>
      <c r="E263" s="22"/>
      <c r="G263" s="22"/>
      <c r="H263" s="22"/>
      <c r="I263" s="22"/>
      <c r="K263" s="22"/>
      <c r="L263" s="22"/>
      <c r="M263" s="22"/>
      <c r="O263" s="22"/>
      <c r="P263" s="22"/>
      <c r="Q263" s="22"/>
      <c r="S263" s="22"/>
      <c r="T263" s="22"/>
      <c r="U263" s="22"/>
      <c r="W263" s="22"/>
      <c r="X263" s="22"/>
      <c r="Y263" s="22"/>
      <c r="AA263" s="22"/>
      <c r="AB263" s="22"/>
      <c r="AC263" s="22"/>
      <c r="AE263" s="24"/>
      <c r="AF263" s="24"/>
      <c r="AG263" s="24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6"/>
      <c r="AW263" s="24"/>
      <c r="AX263" s="20"/>
      <c r="AY263" s="21"/>
      <c r="AZ263" s="22"/>
      <c r="BA263" s="22"/>
      <c r="BB263" s="22"/>
      <c r="BD263" s="22"/>
      <c r="BE263" s="22"/>
      <c r="BF263" s="22"/>
      <c r="BH263" s="22"/>
      <c r="BI263" s="22"/>
      <c r="BJ263" s="22"/>
      <c r="BL263" s="22"/>
      <c r="BM263" s="22"/>
      <c r="BN263" s="22"/>
      <c r="BP263" s="22"/>
      <c r="BQ263" s="22"/>
      <c r="BR263" s="22"/>
      <c r="BT263" s="22"/>
      <c r="BU263" s="22"/>
      <c r="BV263" s="22"/>
      <c r="BX263" s="22"/>
      <c r="BY263" s="22"/>
      <c r="BZ263" s="22"/>
      <c r="CB263" s="24"/>
      <c r="CC263" s="24"/>
      <c r="CD263" s="24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6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/>
      <c r="GG263" s="24"/>
      <c r="GH263" s="24"/>
      <c r="GI263" s="24"/>
      <c r="GJ263" s="24"/>
      <c r="GK263" s="24"/>
      <c r="GL263" s="24"/>
      <c r="GM263" s="24"/>
      <c r="GN263" s="24"/>
      <c r="GO263" s="24"/>
      <c r="GP263" s="24"/>
      <c r="GQ263" s="24"/>
      <c r="GR263" s="24"/>
    </row>
    <row r="264" spans="1:200" s="23" customFormat="1" ht="14.25" customHeight="1">
      <c r="A264" s="20"/>
      <c r="B264" s="21"/>
      <c r="C264" s="22"/>
      <c r="D264" s="22"/>
      <c r="E264" s="22"/>
      <c r="G264" s="22"/>
      <c r="H264" s="22"/>
      <c r="I264" s="22"/>
      <c r="K264" s="22"/>
      <c r="L264" s="22"/>
      <c r="M264" s="22"/>
      <c r="O264" s="22"/>
      <c r="P264" s="22"/>
      <c r="Q264" s="22"/>
      <c r="S264" s="22"/>
      <c r="T264" s="22"/>
      <c r="U264" s="22"/>
      <c r="W264" s="22"/>
      <c r="X264" s="22"/>
      <c r="Y264" s="22"/>
      <c r="AA264" s="22"/>
      <c r="AB264" s="22"/>
      <c r="AC264" s="22"/>
      <c r="AE264" s="24"/>
      <c r="AF264" s="24"/>
      <c r="AG264" s="24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6"/>
      <c r="AW264" s="24"/>
      <c r="AX264" s="20"/>
      <c r="AY264" s="21"/>
      <c r="AZ264" s="22"/>
      <c r="BA264" s="22"/>
      <c r="BB264" s="22"/>
      <c r="BD264" s="22"/>
      <c r="BE264" s="22"/>
      <c r="BF264" s="22"/>
      <c r="BH264" s="22"/>
      <c r="BI264" s="22"/>
      <c r="BJ264" s="22"/>
      <c r="BL264" s="22"/>
      <c r="BM264" s="22"/>
      <c r="BN264" s="22"/>
      <c r="BP264" s="22"/>
      <c r="BQ264" s="22"/>
      <c r="BR264" s="22"/>
      <c r="BT264" s="22"/>
      <c r="BU264" s="22"/>
      <c r="BV264" s="22"/>
      <c r="BX264" s="22"/>
      <c r="BY264" s="22"/>
      <c r="BZ264" s="22"/>
      <c r="CB264" s="24"/>
      <c r="CC264" s="24"/>
      <c r="CD264" s="24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6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/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</row>
    <row r="265" spans="1:200" s="23" customFormat="1" ht="14.25" customHeight="1">
      <c r="A265" s="20"/>
      <c r="B265" s="21"/>
      <c r="C265" s="22"/>
      <c r="D265" s="22"/>
      <c r="E265" s="22"/>
      <c r="G265" s="22"/>
      <c r="H265" s="22"/>
      <c r="I265" s="22"/>
      <c r="K265" s="22"/>
      <c r="L265" s="22"/>
      <c r="M265" s="22"/>
      <c r="O265" s="22"/>
      <c r="P265" s="22"/>
      <c r="Q265" s="22"/>
      <c r="S265" s="22"/>
      <c r="T265" s="22"/>
      <c r="U265" s="22"/>
      <c r="W265" s="22"/>
      <c r="X265" s="22"/>
      <c r="Y265" s="22"/>
      <c r="AA265" s="22"/>
      <c r="AB265" s="22"/>
      <c r="AC265" s="22"/>
      <c r="AE265" s="24"/>
      <c r="AF265" s="24"/>
      <c r="AG265" s="24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6"/>
      <c r="AW265" s="24"/>
      <c r="AX265" s="20"/>
      <c r="AY265" s="21"/>
      <c r="AZ265" s="22"/>
      <c r="BA265" s="22"/>
      <c r="BB265" s="22"/>
      <c r="BD265" s="22"/>
      <c r="BE265" s="22"/>
      <c r="BF265" s="22"/>
      <c r="BH265" s="22"/>
      <c r="BI265" s="22"/>
      <c r="BJ265" s="22"/>
      <c r="BL265" s="22"/>
      <c r="BM265" s="22"/>
      <c r="BN265" s="22"/>
      <c r="BP265" s="22"/>
      <c r="BQ265" s="22"/>
      <c r="BR265" s="22"/>
      <c r="BT265" s="22"/>
      <c r="BU265" s="22"/>
      <c r="BV265" s="22"/>
      <c r="BX265" s="22"/>
      <c r="BY265" s="22"/>
      <c r="BZ265" s="22"/>
      <c r="CB265" s="24"/>
      <c r="CC265" s="24"/>
      <c r="CD265" s="24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6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  <c r="EH265" s="24"/>
      <c r="EI265" s="24"/>
      <c r="EJ265" s="24"/>
      <c r="EK265" s="24"/>
      <c r="EL265" s="24"/>
      <c r="EM265" s="24"/>
      <c r="EN265" s="24"/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  <c r="FZ265" s="24"/>
      <c r="GA265" s="24"/>
      <c r="GB265" s="24"/>
      <c r="GC265" s="24"/>
      <c r="GD265" s="24"/>
      <c r="GE265" s="24"/>
      <c r="GF265" s="24"/>
      <c r="GG265" s="24"/>
      <c r="GH265" s="24"/>
      <c r="GI265" s="24"/>
      <c r="GJ265" s="24"/>
      <c r="GK265" s="24"/>
      <c r="GL265" s="24"/>
      <c r="GM265" s="24"/>
      <c r="GN265" s="24"/>
      <c r="GO265" s="24"/>
      <c r="GP265" s="24"/>
      <c r="GQ265" s="24"/>
      <c r="GR265" s="24"/>
    </row>
    <row r="266" spans="1:200" s="23" customFormat="1" ht="14.25" customHeight="1">
      <c r="A266" s="20"/>
      <c r="B266" s="21"/>
      <c r="C266" s="22"/>
      <c r="D266" s="22"/>
      <c r="E266" s="22"/>
      <c r="G266" s="22"/>
      <c r="H266" s="22"/>
      <c r="I266" s="22"/>
      <c r="K266" s="22"/>
      <c r="L266" s="22"/>
      <c r="M266" s="22"/>
      <c r="O266" s="22"/>
      <c r="P266" s="22"/>
      <c r="Q266" s="22"/>
      <c r="S266" s="22"/>
      <c r="T266" s="22"/>
      <c r="U266" s="22"/>
      <c r="W266" s="22"/>
      <c r="X266" s="22"/>
      <c r="Y266" s="22"/>
      <c r="AA266" s="22"/>
      <c r="AB266" s="22"/>
      <c r="AC266" s="22"/>
      <c r="AE266" s="24"/>
      <c r="AF266" s="24"/>
      <c r="AG266" s="24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6"/>
      <c r="AW266" s="24"/>
      <c r="AX266" s="20"/>
      <c r="AY266" s="21"/>
      <c r="AZ266" s="22"/>
      <c r="BA266" s="22"/>
      <c r="BB266" s="22"/>
      <c r="BD266" s="22"/>
      <c r="BE266" s="22"/>
      <c r="BF266" s="22"/>
      <c r="BH266" s="22"/>
      <c r="BI266" s="22"/>
      <c r="BJ266" s="22"/>
      <c r="BL266" s="22"/>
      <c r="BM266" s="22"/>
      <c r="BN266" s="22"/>
      <c r="BP266" s="22"/>
      <c r="BQ266" s="22"/>
      <c r="BR266" s="22"/>
      <c r="BT266" s="22"/>
      <c r="BU266" s="22"/>
      <c r="BV266" s="22"/>
      <c r="BX266" s="22"/>
      <c r="BY266" s="22"/>
      <c r="BZ266" s="22"/>
      <c r="CB266" s="24"/>
      <c r="CC266" s="24"/>
      <c r="CD266" s="24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6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24"/>
      <c r="GQ266" s="24"/>
      <c r="GR266" s="24"/>
    </row>
    <row r="267" spans="1:200" s="23" customFormat="1" ht="14.25" customHeight="1">
      <c r="A267" s="20"/>
      <c r="B267" s="21"/>
      <c r="C267" s="22"/>
      <c r="D267" s="22"/>
      <c r="E267" s="22"/>
      <c r="G267" s="22"/>
      <c r="H267" s="22"/>
      <c r="I267" s="22"/>
      <c r="K267" s="22"/>
      <c r="L267" s="22"/>
      <c r="M267" s="22"/>
      <c r="O267" s="22"/>
      <c r="P267" s="22"/>
      <c r="Q267" s="22"/>
      <c r="S267" s="22"/>
      <c r="T267" s="22"/>
      <c r="U267" s="22"/>
      <c r="W267" s="22"/>
      <c r="X267" s="22"/>
      <c r="Y267" s="22"/>
      <c r="AA267" s="22"/>
      <c r="AB267" s="22"/>
      <c r="AC267" s="22"/>
      <c r="AE267" s="24"/>
      <c r="AF267" s="24"/>
      <c r="AG267" s="24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6"/>
      <c r="AW267" s="24"/>
      <c r="AX267" s="20"/>
      <c r="AY267" s="21"/>
      <c r="AZ267" s="22"/>
      <c r="BA267" s="22"/>
      <c r="BB267" s="22"/>
      <c r="BD267" s="22"/>
      <c r="BE267" s="22"/>
      <c r="BF267" s="22"/>
      <c r="BH267" s="22"/>
      <c r="BI267" s="22"/>
      <c r="BJ267" s="22"/>
      <c r="BL267" s="22"/>
      <c r="BM267" s="22"/>
      <c r="BN267" s="22"/>
      <c r="BP267" s="22"/>
      <c r="BQ267" s="22"/>
      <c r="BR267" s="22"/>
      <c r="BT267" s="22"/>
      <c r="BU267" s="22"/>
      <c r="BV267" s="22"/>
      <c r="BX267" s="22"/>
      <c r="BY267" s="22"/>
      <c r="BZ267" s="22"/>
      <c r="CB267" s="24"/>
      <c r="CC267" s="24"/>
      <c r="CD267" s="24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6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/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/>
      <c r="FV267" s="24"/>
      <c r="FW267" s="24"/>
      <c r="FX267" s="24"/>
      <c r="FY267" s="24"/>
      <c r="FZ267" s="24"/>
      <c r="GA267" s="24"/>
      <c r="GB267" s="24"/>
      <c r="GC267" s="24"/>
      <c r="GD267" s="24"/>
      <c r="GE267" s="24"/>
      <c r="GF267" s="24"/>
      <c r="GG267" s="24"/>
      <c r="GH267" s="24"/>
      <c r="GI267" s="24"/>
      <c r="GJ267" s="24"/>
      <c r="GK267" s="24"/>
      <c r="GL267" s="24"/>
      <c r="GM267" s="24"/>
      <c r="GN267" s="24"/>
      <c r="GO267" s="24"/>
      <c r="GP267" s="24"/>
      <c r="GQ267" s="24"/>
      <c r="GR267" s="24"/>
    </row>
    <row r="268" spans="1:200" s="23" customFormat="1" ht="14.25" customHeight="1">
      <c r="A268" s="20"/>
      <c r="B268" s="21"/>
      <c r="C268" s="22"/>
      <c r="D268" s="22"/>
      <c r="E268" s="22"/>
      <c r="G268" s="22"/>
      <c r="H268" s="22"/>
      <c r="I268" s="22"/>
      <c r="K268" s="22"/>
      <c r="L268" s="22"/>
      <c r="M268" s="22"/>
      <c r="O268" s="22"/>
      <c r="P268" s="22"/>
      <c r="Q268" s="22"/>
      <c r="S268" s="22"/>
      <c r="T268" s="22"/>
      <c r="U268" s="22"/>
      <c r="W268" s="22"/>
      <c r="X268" s="22"/>
      <c r="Y268" s="22"/>
      <c r="AA268" s="22"/>
      <c r="AB268" s="22"/>
      <c r="AC268" s="22"/>
      <c r="AE268" s="24"/>
      <c r="AF268" s="24"/>
      <c r="AG268" s="24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6"/>
      <c r="AW268" s="24"/>
      <c r="AX268" s="20"/>
      <c r="AY268" s="21"/>
      <c r="AZ268" s="22"/>
      <c r="BA268" s="22"/>
      <c r="BB268" s="22"/>
      <c r="BD268" s="22"/>
      <c r="BE268" s="22"/>
      <c r="BF268" s="22"/>
      <c r="BH268" s="22"/>
      <c r="BI268" s="22"/>
      <c r="BJ268" s="22"/>
      <c r="BL268" s="22"/>
      <c r="BM268" s="22"/>
      <c r="BN268" s="22"/>
      <c r="BP268" s="22"/>
      <c r="BQ268" s="22"/>
      <c r="BR268" s="22"/>
      <c r="BT268" s="22"/>
      <c r="BU268" s="22"/>
      <c r="BV268" s="22"/>
      <c r="BX268" s="22"/>
      <c r="BY268" s="22"/>
      <c r="BZ268" s="22"/>
      <c r="CB268" s="24"/>
      <c r="CC268" s="24"/>
      <c r="CD268" s="24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6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/>
      <c r="GH268" s="24"/>
      <c r="GI268" s="24"/>
      <c r="GJ268" s="24"/>
      <c r="GK268" s="24"/>
      <c r="GL268" s="24"/>
      <c r="GM268" s="24"/>
      <c r="GN268" s="24"/>
      <c r="GO268" s="24"/>
      <c r="GP268" s="24"/>
      <c r="GQ268" s="24"/>
      <c r="GR268" s="24"/>
    </row>
    <row r="269" spans="1:200" s="23" customFormat="1" ht="14.25" customHeight="1">
      <c r="A269" s="20"/>
      <c r="B269" s="21"/>
      <c r="C269" s="22"/>
      <c r="D269" s="22"/>
      <c r="E269" s="22"/>
      <c r="G269" s="22"/>
      <c r="H269" s="22"/>
      <c r="I269" s="22"/>
      <c r="K269" s="22"/>
      <c r="L269" s="22"/>
      <c r="M269" s="22"/>
      <c r="O269" s="22"/>
      <c r="P269" s="22"/>
      <c r="Q269" s="22"/>
      <c r="S269" s="22"/>
      <c r="T269" s="22"/>
      <c r="U269" s="22"/>
      <c r="W269" s="22"/>
      <c r="X269" s="22"/>
      <c r="Y269" s="22"/>
      <c r="AA269" s="22"/>
      <c r="AB269" s="22"/>
      <c r="AC269" s="22"/>
      <c r="AE269" s="24"/>
      <c r="AF269" s="24"/>
      <c r="AG269" s="24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6"/>
      <c r="AW269" s="24"/>
      <c r="AX269" s="20"/>
      <c r="AY269" s="21"/>
      <c r="AZ269" s="22"/>
      <c r="BA269" s="22"/>
      <c r="BB269" s="22"/>
      <c r="BD269" s="22"/>
      <c r="BE269" s="22"/>
      <c r="BF269" s="22"/>
      <c r="BH269" s="22"/>
      <c r="BI269" s="22"/>
      <c r="BJ269" s="22"/>
      <c r="BL269" s="22"/>
      <c r="BM269" s="22"/>
      <c r="BN269" s="22"/>
      <c r="BP269" s="22"/>
      <c r="BQ269" s="22"/>
      <c r="BR269" s="22"/>
      <c r="BT269" s="22"/>
      <c r="BU269" s="22"/>
      <c r="BV269" s="22"/>
      <c r="BX269" s="22"/>
      <c r="BY269" s="22"/>
      <c r="BZ269" s="22"/>
      <c r="CB269" s="24"/>
      <c r="CC269" s="24"/>
      <c r="CD269" s="24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6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  <c r="EH269" s="24"/>
      <c r="EI269" s="24"/>
      <c r="EJ269" s="24"/>
      <c r="EK269" s="24"/>
      <c r="EL269" s="24"/>
      <c r="EM269" s="24"/>
      <c r="EN269" s="24"/>
      <c r="EO269" s="24"/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  <c r="FZ269" s="24"/>
      <c r="GA269" s="24"/>
      <c r="GB269" s="24"/>
      <c r="GC269" s="24"/>
      <c r="GD269" s="24"/>
      <c r="GE269" s="24"/>
      <c r="GF269" s="24"/>
      <c r="GG269" s="24"/>
      <c r="GH269" s="24"/>
      <c r="GI269" s="24"/>
      <c r="GJ269" s="24"/>
      <c r="GK269" s="24"/>
      <c r="GL269" s="24"/>
      <c r="GM269" s="24"/>
      <c r="GN269" s="24"/>
      <c r="GO269" s="24"/>
      <c r="GP269" s="24"/>
      <c r="GQ269" s="24"/>
      <c r="GR269" s="24"/>
    </row>
    <row r="270" spans="1:200" s="23" customFormat="1" ht="14.25" customHeight="1">
      <c r="A270" s="20"/>
      <c r="B270" s="21"/>
      <c r="C270" s="22"/>
      <c r="D270" s="22"/>
      <c r="E270" s="22"/>
      <c r="G270" s="22"/>
      <c r="H270" s="22"/>
      <c r="I270" s="22"/>
      <c r="K270" s="22"/>
      <c r="L270" s="22"/>
      <c r="M270" s="22"/>
      <c r="O270" s="22"/>
      <c r="P270" s="22"/>
      <c r="Q270" s="22"/>
      <c r="S270" s="22"/>
      <c r="T270" s="22"/>
      <c r="U270" s="22"/>
      <c r="W270" s="22"/>
      <c r="X270" s="22"/>
      <c r="Y270" s="22"/>
      <c r="AA270" s="22"/>
      <c r="AB270" s="22"/>
      <c r="AC270" s="22"/>
      <c r="AE270" s="24"/>
      <c r="AF270" s="24"/>
      <c r="AG270" s="24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6"/>
      <c r="AW270" s="24"/>
      <c r="AX270" s="20"/>
      <c r="AY270" s="21"/>
      <c r="AZ270" s="22"/>
      <c r="BA270" s="22"/>
      <c r="BB270" s="22"/>
      <c r="BD270" s="22"/>
      <c r="BE270" s="22"/>
      <c r="BF270" s="22"/>
      <c r="BH270" s="22"/>
      <c r="BI270" s="22"/>
      <c r="BJ270" s="22"/>
      <c r="BL270" s="22"/>
      <c r="BM270" s="22"/>
      <c r="BN270" s="22"/>
      <c r="BP270" s="22"/>
      <c r="BQ270" s="22"/>
      <c r="BR270" s="22"/>
      <c r="BT270" s="22"/>
      <c r="BU270" s="22"/>
      <c r="BV270" s="22"/>
      <c r="BX270" s="22"/>
      <c r="BY270" s="22"/>
      <c r="BZ270" s="22"/>
      <c r="CB270" s="24"/>
      <c r="CC270" s="24"/>
      <c r="CD270" s="24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6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  <c r="FZ270" s="24"/>
      <c r="GA270" s="24"/>
      <c r="GB270" s="24"/>
      <c r="GC270" s="24"/>
      <c r="GD270" s="24"/>
      <c r="GE270" s="24"/>
      <c r="GF270" s="24"/>
      <c r="GG270" s="24"/>
      <c r="GH270" s="24"/>
      <c r="GI270" s="24"/>
      <c r="GJ270" s="24"/>
      <c r="GK270" s="24"/>
      <c r="GL270" s="24"/>
      <c r="GM270" s="24"/>
      <c r="GN270" s="24"/>
      <c r="GO270" s="24"/>
      <c r="GP270" s="24"/>
      <c r="GQ270" s="24"/>
      <c r="GR270" s="24"/>
    </row>
    <row r="271" spans="1:200" s="23" customFormat="1" ht="14.25" customHeight="1">
      <c r="A271" s="20"/>
      <c r="B271" s="21"/>
      <c r="C271" s="22"/>
      <c r="D271" s="22"/>
      <c r="E271" s="22"/>
      <c r="G271" s="22"/>
      <c r="H271" s="22"/>
      <c r="I271" s="22"/>
      <c r="K271" s="22"/>
      <c r="L271" s="22"/>
      <c r="M271" s="22"/>
      <c r="O271" s="22"/>
      <c r="P271" s="22"/>
      <c r="Q271" s="22"/>
      <c r="S271" s="22"/>
      <c r="T271" s="22"/>
      <c r="U271" s="22"/>
      <c r="W271" s="22"/>
      <c r="X271" s="22"/>
      <c r="Y271" s="22"/>
      <c r="AA271" s="22"/>
      <c r="AB271" s="22"/>
      <c r="AC271" s="22"/>
      <c r="AE271" s="24"/>
      <c r="AF271" s="24"/>
      <c r="AG271" s="24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6"/>
      <c r="AW271" s="24"/>
      <c r="AX271" s="20"/>
      <c r="AY271" s="21"/>
      <c r="AZ271" s="22"/>
      <c r="BA271" s="22"/>
      <c r="BB271" s="22"/>
      <c r="BD271" s="22"/>
      <c r="BE271" s="22"/>
      <c r="BF271" s="22"/>
      <c r="BH271" s="22"/>
      <c r="BI271" s="22"/>
      <c r="BJ271" s="22"/>
      <c r="BL271" s="22"/>
      <c r="BM271" s="22"/>
      <c r="BN271" s="22"/>
      <c r="BP271" s="22"/>
      <c r="BQ271" s="22"/>
      <c r="BR271" s="22"/>
      <c r="BT271" s="22"/>
      <c r="BU271" s="22"/>
      <c r="BV271" s="22"/>
      <c r="BX271" s="22"/>
      <c r="BY271" s="22"/>
      <c r="BZ271" s="22"/>
      <c r="CB271" s="24"/>
      <c r="CC271" s="24"/>
      <c r="CD271" s="24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6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/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4"/>
      <c r="GJ271" s="24"/>
      <c r="GK271" s="24"/>
      <c r="GL271" s="24"/>
      <c r="GM271" s="24"/>
      <c r="GN271" s="24"/>
      <c r="GO271" s="24"/>
      <c r="GP271" s="24"/>
      <c r="GQ271" s="24"/>
      <c r="GR271" s="24"/>
    </row>
    <row r="272" spans="1:200" s="23" customFormat="1" ht="14.25" customHeight="1">
      <c r="A272" s="20"/>
      <c r="B272" s="21"/>
      <c r="C272" s="22"/>
      <c r="D272" s="22"/>
      <c r="E272" s="22"/>
      <c r="G272" s="22"/>
      <c r="H272" s="22"/>
      <c r="I272" s="22"/>
      <c r="K272" s="22"/>
      <c r="L272" s="22"/>
      <c r="M272" s="22"/>
      <c r="O272" s="22"/>
      <c r="P272" s="22"/>
      <c r="Q272" s="22"/>
      <c r="S272" s="22"/>
      <c r="T272" s="22"/>
      <c r="U272" s="22"/>
      <c r="W272" s="22"/>
      <c r="X272" s="22"/>
      <c r="Y272" s="22"/>
      <c r="AA272" s="22"/>
      <c r="AB272" s="22"/>
      <c r="AC272" s="22"/>
      <c r="AE272" s="24"/>
      <c r="AF272" s="24"/>
      <c r="AG272" s="24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6"/>
      <c r="AW272" s="24"/>
      <c r="AX272" s="20"/>
      <c r="AY272" s="21"/>
      <c r="AZ272" s="22"/>
      <c r="BA272" s="22"/>
      <c r="BB272" s="22"/>
      <c r="BD272" s="22"/>
      <c r="BE272" s="22"/>
      <c r="BF272" s="22"/>
      <c r="BH272" s="22"/>
      <c r="BI272" s="22"/>
      <c r="BJ272" s="22"/>
      <c r="BL272" s="22"/>
      <c r="BM272" s="22"/>
      <c r="BN272" s="22"/>
      <c r="BP272" s="22"/>
      <c r="BQ272" s="22"/>
      <c r="BR272" s="22"/>
      <c r="BT272" s="22"/>
      <c r="BU272" s="22"/>
      <c r="BV272" s="22"/>
      <c r="BX272" s="22"/>
      <c r="BY272" s="22"/>
      <c r="BZ272" s="22"/>
      <c r="CB272" s="24"/>
      <c r="CC272" s="24"/>
      <c r="CD272" s="24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6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  <c r="FZ272" s="24"/>
      <c r="GA272" s="24"/>
      <c r="GB272" s="24"/>
      <c r="GC272" s="24"/>
      <c r="GD272" s="24"/>
      <c r="GE272" s="24"/>
      <c r="GF272" s="24"/>
      <c r="GG272" s="24"/>
      <c r="GH272" s="24"/>
      <c r="GI272" s="24"/>
      <c r="GJ272" s="24"/>
      <c r="GK272" s="24"/>
      <c r="GL272" s="24"/>
      <c r="GM272" s="24"/>
      <c r="GN272" s="24"/>
      <c r="GO272" s="24"/>
      <c r="GP272" s="24"/>
      <c r="GQ272" s="24"/>
      <c r="GR272" s="24"/>
    </row>
    <row r="273" spans="1:200" s="23" customFormat="1" ht="14.25" customHeight="1">
      <c r="A273" s="20"/>
      <c r="B273" s="21"/>
      <c r="C273" s="22"/>
      <c r="D273" s="22"/>
      <c r="E273" s="22"/>
      <c r="G273" s="22"/>
      <c r="H273" s="22"/>
      <c r="I273" s="22"/>
      <c r="K273" s="22"/>
      <c r="L273" s="22"/>
      <c r="M273" s="22"/>
      <c r="O273" s="22"/>
      <c r="P273" s="22"/>
      <c r="Q273" s="22"/>
      <c r="S273" s="22"/>
      <c r="T273" s="22"/>
      <c r="U273" s="22"/>
      <c r="W273" s="22"/>
      <c r="X273" s="22"/>
      <c r="Y273" s="22"/>
      <c r="AA273" s="22"/>
      <c r="AB273" s="22"/>
      <c r="AC273" s="22"/>
      <c r="AE273" s="24"/>
      <c r="AF273" s="24"/>
      <c r="AG273" s="24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6"/>
      <c r="AW273" s="24"/>
      <c r="AX273" s="20"/>
      <c r="AY273" s="21"/>
      <c r="AZ273" s="22"/>
      <c r="BA273" s="22"/>
      <c r="BB273" s="22"/>
      <c r="BD273" s="22"/>
      <c r="BE273" s="22"/>
      <c r="BF273" s="22"/>
      <c r="BH273" s="22"/>
      <c r="BI273" s="22"/>
      <c r="BJ273" s="22"/>
      <c r="BL273" s="22"/>
      <c r="BM273" s="22"/>
      <c r="BN273" s="22"/>
      <c r="BP273" s="22"/>
      <c r="BQ273" s="22"/>
      <c r="BR273" s="22"/>
      <c r="BT273" s="22"/>
      <c r="BU273" s="22"/>
      <c r="BV273" s="22"/>
      <c r="BX273" s="22"/>
      <c r="BY273" s="22"/>
      <c r="BZ273" s="22"/>
      <c r="CB273" s="24"/>
      <c r="CC273" s="24"/>
      <c r="CD273" s="24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6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/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24"/>
      <c r="GQ273" s="24"/>
      <c r="GR273" s="24"/>
    </row>
    <row r="274" spans="1:200" s="23" customFormat="1" ht="14.25" customHeight="1">
      <c r="A274" s="20"/>
      <c r="B274" s="21"/>
      <c r="C274" s="22"/>
      <c r="D274" s="22"/>
      <c r="E274" s="22"/>
      <c r="G274" s="22"/>
      <c r="H274" s="22"/>
      <c r="I274" s="22"/>
      <c r="K274" s="22"/>
      <c r="L274" s="22"/>
      <c r="M274" s="22"/>
      <c r="O274" s="22"/>
      <c r="P274" s="22"/>
      <c r="Q274" s="22"/>
      <c r="S274" s="22"/>
      <c r="T274" s="22"/>
      <c r="U274" s="22"/>
      <c r="W274" s="22"/>
      <c r="X274" s="22"/>
      <c r="Y274" s="22"/>
      <c r="AA274" s="22"/>
      <c r="AB274" s="22"/>
      <c r="AC274" s="22"/>
      <c r="AE274" s="24"/>
      <c r="AF274" s="24"/>
      <c r="AG274" s="24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6"/>
      <c r="AW274" s="24"/>
      <c r="AX274" s="20"/>
      <c r="AY274" s="21"/>
      <c r="AZ274" s="22"/>
      <c r="BA274" s="22"/>
      <c r="BB274" s="22"/>
      <c r="BD274" s="22"/>
      <c r="BE274" s="22"/>
      <c r="BF274" s="22"/>
      <c r="BH274" s="22"/>
      <c r="BI274" s="22"/>
      <c r="BJ274" s="22"/>
      <c r="BL274" s="22"/>
      <c r="BM274" s="22"/>
      <c r="BN274" s="22"/>
      <c r="BP274" s="22"/>
      <c r="BQ274" s="22"/>
      <c r="BR274" s="22"/>
      <c r="BT274" s="22"/>
      <c r="BU274" s="22"/>
      <c r="BV274" s="22"/>
      <c r="BX274" s="22"/>
      <c r="BY274" s="22"/>
      <c r="BZ274" s="22"/>
      <c r="CB274" s="24"/>
      <c r="CC274" s="24"/>
      <c r="CD274" s="24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6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  <c r="FZ274" s="24"/>
      <c r="GA274" s="24"/>
      <c r="GB274" s="24"/>
      <c r="GC274" s="24"/>
      <c r="GD274" s="24"/>
      <c r="GE274" s="24"/>
      <c r="GF274" s="24"/>
      <c r="GG274" s="24"/>
      <c r="GH274" s="24"/>
      <c r="GI274" s="24"/>
      <c r="GJ274" s="24"/>
      <c r="GK274" s="24"/>
      <c r="GL274" s="24"/>
      <c r="GM274" s="24"/>
      <c r="GN274" s="24"/>
      <c r="GO274" s="24"/>
      <c r="GP274" s="24"/>
      <c r="GQ274" s="24"/>
      <c r="GR274" s="24"/>
    </row>
    <row r="275" spans="1:200" s="23" customFormat="1" ht="14.25" customHeight="1">
      <c r="A275" s="20"/>
      <c r="B275" s="21"/>
      <c r="C275" s="22"/>
      <c r="D275" s="22"/>
      <c r="E275" s="22"/>
      <c r="G275" s="22"/>
      <c r="H275" s="22"/>
      <c r="I275" s="22"/>
      <c r="K275" s="22"/>
      <c r="L275" s="22"/>
      <c r="M275" s="22"/>
      <c r="O275" s="22"/>
      <c r="P275" s="22"/>
      <c r="Q275" s="22"/>
      <c r="S275" s="22"/>
      <c r="T275" s="22"/>
      <c r="U275" s="22"/>
      <c r="W275" s="22"/>
      <c r="X275" s="22"/>
      <c r="Y275" s="22"/>
      <c r="AA275" s="22"/>
      <c r="AB275" s="22"/>
      <c r="AC275" s="22"/>
      <c r="AE275" s="24"/>
      <c r="AF275" s="24"/>
      <c r="AG275" s="24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6"/>
      <c r="AW275" s="24"/>
      <c r="AX275" s="20"/>
      <c r="AY275" s="21"/>
      <c r="AZ275" s="22"/>
      <c r="BA275" s="22"/>
      <c r="BB275" s="22"/>
      <c r="BD275" s="22"/>
      <c r="BE275" s="22"/>
      <c r="BF275" s="22"/>
      <c r="BH275" s="22"/>
      <c r="BI275" s="22"/>
      <c r="BJ275" s="22"/>
      <c r="BL275" s="22"/>
      <c r="BM275" s="22"/>
      <c r="BN275" s="22"/>
      <c r="BP275" s="22"/>
      <c r="BQ275" s="22"/>
      <c r="BR275" s="22"/>
      <c r="BT275" s="22"/>
      <c r="BU275" s="22"/>
      <c r="BV275" s="22"/>
      <c r="BX275" s="22"/>
      <c r="BY275" s="22"/>
      <c r="BZ275" s="22"/>
      <c r="CB275" s="24"/>
      <c r="CC275" s="24"/>
      <c r="CD275" s="24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6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  <c r="EH275" s="24"/>
      <c r="EI275" s="24"/>
      <c r="EJ275" s="24"/>
      <c r="EK275" s="24"/>
      <c r="EL275" s="24"/>
      <c r="EM275" s="24"/>
      <c r="EN275" s="24"/>
      <c r="EO275" s="24"/>
      <c r="EP275" s="24"/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/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  <c r="FZ275" s="24"/>
      <c r="GA275" s="24"/>
      <c r="GB275" s="24"/>
      <c r="GC275" s="24"/>
      <c r="GD275" s="24"/>
      <c r="GE275" s="24"/>
      <c r="GF275" s="24"/>
      <c r="GG275" s="24"/>
      <c r="GH275" s="24"/>
      <c r="GI275" s="24"/>
      <c r="GJ275" s="24"/>
      <c r="GK275" s="24"/>
      <c r="GL275" s="24"/>
      <c r="GM275" s="24"/>
      <c r="GN275" s="24"/>
      <c r="GO275" s="24"/>
      <c r="GP275" s="24"/>
      <c r="GQ275" s="24"/>
      <c r="GR275" s="24"/>
    </row>
    <row r="276" spans="1:200" s="23" customFormat="1" ht="14.25" customHeight="1">
      <c r="A276" s="20"/>
      <c r="B276" s="21"/>
      <c r="C276" s="22"/>
      <c r="D276" s="22"/>
      <c r="E276" s="22"/>
      <c r="G276" s="22"/>
      <c r="H276" s="22"/>
      <c r="I276" s="22"/>
      <c r="K276" s="22"/>
      <c r="L276" s="22"/>
      <c r="M276" s="22"/>
      <c r="O276" s="22"/>
      <c r="P276" s="22"/>
      <c r="Q276" s="22"/>
      <c r="S276" s="22"/>
      <c r="T276" s="22"/>
      <c r="U276" s="22"/>
      <c r="W276" s="22"/>
      <c r="X276" s="22"/>
      <c r="Y276" s="22"/>
      <c r="AA276" s="22"/>
      <c r="AB276" s="22"/>
      <c r="AC276" s="22"/>
      <c r="AE276" s="24"/>
      <c r="AF276" s="24"/>
      <c r="AG276" s="24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6"/>
      <c r="AW276" s="24"/>
      <c r="AX276" s="20"/>
      <c r="AY276" s="21"/>
      <c r="AZ276" s="22"/>
      <c r="BA276" s="22"/>
      <c r="BB276" s="22"/>
      <c r="BD276" s="22"/>
      <c r="BE276" s="22"/>
      <c r="BF276" s="22"/>
      <c r="BH276" s="22"/>
      <c r="BI276" s="22"/>
      <c r="BJ276" s="22"/>
      <c r="BL276" s="22"/>
      <c r="BM276" s="22"/>
      <c r="BN276" s="22"/>
      <c r="BP276" s="22"/>
      <c r="BQ276" s="22"/>
      <c r="BR276" s="22"/>
      <c r="BT276" s="22"/>
      <c r="BU276" s="22"/>
      <c r="BV276" s="22"/>
      <c r="BX276" s="22"/>
      <c r="BY276" s="22"/>
      <c r="BZ276" s="22"/>
      <c r="CB276" s="24"/>
      <c r="CC276" s="24"/>
      <c r="CD276" s="24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6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24"/>
      <c r="GQ276" s="24"/>
      <c r="GR276" s="24"/>
    </row>
    <row r="277" spans="1:200" s="23" customFormat="1" ht="14.25" customHeight="1">
      <c r="A277" s="20"/>
      <c r="B277" s="21"/>
      <c r="C277" s="22"/>
      <c r="D277" s="22"/>
      <c r="E277" s="22"/>
      <c r="G277" s="22"/>
      <c r="H277" s="22"/>
      <c r="I277" s="22"/>
      <c r="K277" s="22"/>
      <c r="L277" s="22"/>
      <c r="M277" s="22"/>
      <c r="O277" s="22"/>
      <c r="P277" s="22"/>
      <c r="Q277" s="22"/>
      <c r="S277" s="22"/>
      <c r="T277" s="22"/>
      <c r="U277" s="22"/>
      <c r="W277" s="22"/>
      <c r="X277" s="22"/>
      <c r="Y277" s="22"/>
      <c r="AA277" s="22"/>
      <c r="AB277" s="22"/>
      <c r="AC277" s="22"/>
      <c r="AE277" s="24"/>
      <c r="AF277" s="24"/>
      <c r="AG277" s="24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6"/>
      <c r="AW277" s="24"/>
      <c r="AX277" s="20"/>
      <c r="AY277" s="21"/>
      <c r="AZ277" s="22"/>
      <c r="BA277" s="22"/>
      <c r="BB277" s="22"/>
      <c r="BD277" s="22"/>
      <c r="BE277" s="22"/>
      <c r="BF277" s="22"/>
      <c r="BH277" s="22"/>
      <c r="BI277" s="22"/>
      <c r="BJ277" s="22"/>
      <c r="BL277" s="22"/>
      <c r="BM277" s="22"/>
      <c r="BN277" s="22"/>
      <c r="BP277" s="22"/>
      <c r="BQ277" s="22"/>
      <c r="BR277" s="22"/>
      <c r="BT277" s="22"/>
      <c r="BU277" s="22"/>
      <c r="BV277" s="22"/>
      <c r="BX277" s="22"/>
      <c r="BY277" s="22"/>
      <c r="BZ277" s="22"/>
      <c r="CB277" s="24"/>
      <c r="CC277" s="24"/>
      <c r="CD277" s="24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6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  <c r="FZ277" s="24"/>
      <c r="GA277" s="24"/>
      <c r="GB277" s="24"/>
      <c r="GC277" s="24"/>
      <c r="GD277" s="24"/>
      <c r="GE277" s="24"/>
      <c r="GF277" s="24"/>
      <c r="GG277" s="24"/>
      <c r="GH277" s="24"/>
      <c r="GI277" s="24"/>
      <c r="GJ277" s="24"/>
      <c r="GK277" s="24"/>
      <c r="GL277" s="24"/>
      <c r="GM277" s="24"/>
      <c r="GN277" s="24"/>
      <c r="GO277" s="24"/>
      <c r="GP277" s="24"/>
      <c r="GQ277" s="24"/>
      <c r="GR277" s="24"/>
    </row>
    <row r="278" spans="1:200" s="23" customFormat="1" ht="14.25" customHeight="1">
      <c r="A278" s="20"/>
      <c r="B278" s="21"/>
      <c r="C278" s="22"/>
      <c r="D278" s="22"/>
      <c r="E278" s="22"/>
      <c r="G278" s="22"/>
      <c r="H278" s="22"/>
      <c r="I278" s="22"/>
      <c r="K278" s="22"/>
      <c r="L278" s="22"/>
      <c r="M278" s="22"/>
      <c r="O278" s="22"/>
      <c r="P278" s="22"/>
      <c r="Q278" s="22"/>
      <c r="S278" s="22"/>
      <c r="T278" s="22"/>
      <c r="U278" s="22"/>
      <c r="W278" s="22"/>
      <c r="X278" s="22"/>
      <c r="Y278" s="22"/>
      <c r="AA278" s="22"/>
      <c r="AB278" s="22"/>
      <c r="AC278" s="22"/>
      <c r="AE278" s="24"/>
      <c r="AF278" s="24"/>
      <c r="AG278" s="24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6"/>
      <c r="AW278" s="24"/>
      <c r="AX278" s="20"/>
      <c r="AY278" s="21"/>
      <c r="AZ278" s="22"/>
      <c r="BA278" s="22"/>
      <c r="BB278" s="22"/>
      <c r="BD278" s="22"/>
      <c r="BE278" s="22"/>
      <c r="BF278" s="22"/>
      <c r="BH278" s="22"/>
      <c r="BI278" s="22"/>
      <c r="BJ278" s="22"/>
      <c r="BL278" s="22"/>
      <c r="BM278" s="22"/>
      <c r="BN278" s="22"/>
      <c r="BP278" s="22"/>
      <c r="BQ278" s="22"/>
      <c r="BR278" s="22"/>
      <c r="BT278" s="22"/>
      <c r="BU278" s="22"/>
      <c r="BV278" s="22"/>
      <c r="BX278" s="22"/>
      <c r="BY278" s="22"/>
      <c r="BZ278" s="22"/>
      <c r="CB278" s="24"/>
      <c r="CC278" s="24"/>
      <c r="CD278" s="24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6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4"/>
      <c r="GQ278" s="24"/>
      <c r="GR278" s="24"/>
    </row>
    <row r="279" spans="1:200" s="23" customFormat="1" ht="14.25" customHeight="1">
      <c r="A279" s="20"/>
      <c r="B279" s="21"/>
      <c r="C279" s="22"/>
      <c r="D279" s="22"/>
      <c r="E279" s="22"/>
      <c r="G279" s="22"/>
      <c r="H279" s="22"/>
      <c r="I279" s="22"/>
      <c r="K279" s="22"/>
      <c r="L279" s="22"/>
      <c r="M279" s="22"/>
      <c r="O279" s="22"/>
      <c r="P279" s="22"/>
      <c r="Q279" s="22"/>
      <c r="S279" s="22"/>
      <c r="T279" s="22"/>
      <c r="U279" s="22"/>
      <c r="W279" s="22"/>
      <c r="X279" s="22"/>
      <c r="Y279" s="22"/>
      <c r="AA279" s="22"/>
      <c r="AB279" s="22"/>
      <c r="AC279" s="22"/>
      <c r="AE279" s="24"/>
      <c r="AF279" s="24"/>
      <c r="AG279" s="24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6"/>
      <c r="AW279" s="24"/>
      <c r="AX279" s="20"/>
      <c r="AY279" s="21"/>
      <c r="AZ279" s="22"/>
      <c r="BA279" s="22"/>
      <c r="BB279" s="22"/>
      <c r="BD279" s="22"/>
      <c r="BE279" s="22"/>
      <c r="BF279" s="22"/>
      <c r="BH279" s="22"/>
      <c r="BI279" s="22"/>
      <c r="BJ279" s="22"/>
      <c r="BL279" s="22"/>
      <c r="BM279" s="22"/>
      <c r="BN279" s="22"/>
      <c r="BP279" s="22"/>
      <c r="BQ279" s="22"/>
      <c r="BR279" s="22"/>
      <c r="BT279" s="22"/>
      <c r="BU279" s="22"/>
      <c r="BV279" s="22"/>
      <c r="BX279" s="22"/>
      <c r="BY279" s="22"/>
      <c r="BZ279" s="22"/>
      <c r="CB279" s="24"/>
      <c r="CC279" s="24"/>
      <c r="CD279" s="24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6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/>
      <c r="GM279" s="24"/>
      <c r="GN279" s="24"/>
      <c r="GO279" s="24"/>
      <c r="GP279" s="24"/>
      <c r="GQ279" s="24"/>
      <c r="GR279" s="24"/>
    </row>
    <row r="280" spans="1:200" s="23" customFormat="1" ht="14.25" customHeight="1">
      <c r="A280" s="20"/>
      <c r="B280" s="21"/>
      <c r="C280" s="22"/>
      <c r="D280" s="22"/>
      <c r="E280" s="22"/>
      <c r="G280" s="22"/>
      <c r="H280" s="22"/>
      <c r="I280" s="22"/>
      <c r="K280" s="22"/>
      <c r="L280" s="22"/>
      <c r="M280" s="22"/>
      <c r="O280" s="22"/>
      <c r="P280" s="22"/>
      <c r="Q280" s="22"/>
      <c r="S280" s="22"/>
      <c r="T280" s="22"/>
      <c r="U280" s="22"/>
      <c r="W280" s="22"/>
      <c r="X280" s="22"/>
      <c r="Y280" s="22"/>
      <c r="AA280" s="22"/>
      <c r="AB280" s="22"/>
      <c r="AC280" s="22"/>
      <c r="AE280" s="24"/>
      <c r="AF280" s="24"/>
      <c r="AG280" s="24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6"/>
      <c r="AW280" s="24"/>
      <c r="AX280" s="20"/>
      <c r="AY280" s="21"/>
      <c r="AZ280" s="22"/>
      <c r="BA280" s="22"/>
      <c r="BB280" s="22"/>
      <c r="BD280" s="22"/>
      <c r="BE280" s="22"/>
      <c r="BF280" s="22"/>
      <c r="BH280" s="22"/>
      <c r="BI280" s="22"/>
      <c r="BJ280" s="22"/>
      <c r="BL280" s="22"/>
      <c r="BM280" s="22"/>
      <c r="BN280" s="22"/>
      <c r="BP280" s="22"/>
      <c r="BQ280" s="22"/>
      <c r="BR280" s="22"/>
      <c r="BT280" s="22"/>
      <c r="BU280" s="22"/>
      <c r="BV280" s="22"/>
      <c r="BX280" s="22"/>
      <c r="BY280" s="22"/>
      <c r="BZ280" s="22"/>
      <c r="CB280" s="24"/>
      <c r="CC280" s="24"/>
      <c r="CD280" s="24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6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  <c r="FZ280" s="24"/>
      <c r="GA280" s="24"/>
      <c r="GB280" s="24"/>
      <c r="GC280" s="24"/>
      <c r="GD280" s="24"/>
      <c r="GE280" s="24"/>
      <c r="GF280" s="24"/>
      <c r="GG280" s="24"/>
      <c r="GH280" s="24"/>
      <c r="GI280" s="24"/>
      <c r="GJ280" s="24"/>
      <c r="GK280" s="24"/>
      <c r="GL280" s="24"/>
      <c r="GM280" s="24"/>
      <c r="GN280" s="24"/>
      <c r="GO280" s="24"/>
      <c r="GP280" s="24"/>
      <c r="GQ280" s="24"/>
      <c r="GR280" s="24"/>
    </row>
    <row r="281" spans="1:200" s="23" customFormat="1" ht="14.25" customHeight="1">
      <c r="A281" s="20"/>
      <c r="B281" s="21"/>
      <c r="C281" s="22"/>
      <c r="D281" s="22"/>
      <c r="E281" s="22"/>
      <c r="G281" s="22"/>
      <c r="H281" s="22"/>
      <c r="I281" s="22"/>
      <c r="K281" s="22"/>
      <c r="L281" s="22"/>
      <c r="M281" s="22"/>
      <c r="O281" s="22"/>
      <c r="P281" s="22"/>
      <c r="Q281" s="22"/>
      <c r="S281" s="22"/>
      <c r="T281" s="22"/>
      <c r="U281" s="22"/>
      <c r="W281" s="22"/>
      <c r="X281" s="22"/>
      <c r="Y281" s="22"/>
      <c r="AA281" s="22"/>
      <c r="AB281" s="22"/>
      <c r="AC281" s="22"/>
      <c r="AE281" s="24"/>
      <c r="AF281" s="24"/>
      <c r="AG281" s="24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6"/>
      <c r="AW281" s="24"/>
      <c r="AX281" s="20"/>
      <c r="AY281" s="21"/>
      <c r="AZ281" s="22"/>
      <c r="BA281" s="22"/>
      <c r="BB281" s="22"/>
      <c r="BD281" s="22"/>
      <c r="BE281" s="22"/>
      <c r="BF281" s="22"/>
      <c r="BH281" s="22"/>
      <c r="BI281" s="22"/>
      <c r="BJ281" s="22"/>
      <c r="BL281" s="22"/>
      <c r="BM281" s="22"/>
      <c r="BN281" s="22"/>
      <c r="BP281" s="22"/>
      <c r="BQ281" s="22"/>
      <c r="BR281" s="22"/>
      <c r="BT281" s="22"/>
      <c r="BU281" s="22"/>
      <c r="BV281" s="22"/>
      <c r="BX281" s="22"/>
      <c r="BY281" s="22"/>
      <c r="BZ281" s="22"/>
      <c r="CB281" s="24"/>
      <c r="CC281" s="24"/>
      <c r="CD281" s="24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6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  <c r="FZ281" s="24"/>
      <c r="GA281" s="24"/>
      <c r="GB281" s="24"/>
      <c r="GC281" s="24"/>
      <c r="GD281" s="24"/>
      <c r="GE281" s="24"/>
      <c r="GF281" s="24"/>
      <c r="GG281" s="24"/>
      <c r="GH281" s="24"/>
      <c r="GI281" s="24"/>
      <c r="GJ281" s="24"/>
      <c r="GK281" s="24"/>
      <c r="GL281" s="24"/>
      <c r="GM281" s="24"/>
      <c r="GN281" s="24"/>
      <c r="GO281" s="24"/>
      <c r="GP281" s="24"/>
      <c r="GQ281" s="24"/>
      <c r="GR281" s="24"/>
    </row>
    <row r="282" spans="1:200" s="23" customFormat="1" ht="14.25" customHeight="1">
      <c r="A282" s="20"/>
      <c r="B282" s="21"/>
      <c r="C282" s="22"/>
      <c r="D282" s="22"/>
      <c r="E282" s="22"/>
      <c r="G282" s="22"/>
      <c r="H282" s="22"/>
      <c r="I282" s="22"/>
      <c r="K282" s="22"/>
      <c r="L282" s="22"/>
      <c r="M282" s="22"/>
      <c r="O282" s="22"/>
      <c r="P282" s="22"/>
      <c r="Q282" s="22"/>
      <c r="S282" s="22"/>
      <c r="T282" s="22"/>
      <c r="U282" s="22"/>
      <c r="W282" s="22"/>
      <c r="X282" s="22"/>
      <c r="Y282" s="22"/>
      <c r="AA282" s="22"/>
      <c r="AB282" s="22"/>
      <c r="AC282" s="22"/>
      <c r="AE282" s="24"/>
      <c r="AF282" s="24"/>
      <c r="AG282" s="24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6"/>
      <c r="AW282" s="24"/>
      <c r="AX282" s="20"/>
      <c r="AY282" s="21"/>
      <c r="AZ282" s="22"/>
      <c r="BA282" s="22"/>
      <c r="BB282" s="22"/>
      <c r="BD282" s="22"/>
      <c r="BE282" s="22"/>
      <c r="BF282" s="22"/>
      <c r="BH282" s="22"/>
      <c r="BI282" s="22"/>
      <c r="BJ282" s="22"/>
      <c r="BL282" s="22"/>
      <c r="BM282" s="22"/>
      <c r="BN282" s="22"/>
      <c r="BP282" s="22"/>
      <c r="BQ282" s="22"/>
      <c r="BR282" s="22"/>
      <c r="BT282" s="22"/>
      <c r="BU282" s="22"/>
      <c r="BV282" s="22"/>
      <c r="BX282" s="22"/>
      <c r="BY282" s="22"/>
      <c r="BZ282" s="22"/>
      <c r="CB282" s="24"/>
      <c r="CC282" s="24"/>
      <c r="CD282" s="24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6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  <c r="FZ282" s="24"/>
      <c r="GA282" s="24"/>
      <c r="GB282" s="24"/>
      <c r="GC282" s="24"/>
      <c r="GD282" s="24"/>
      <c r="GE282" s="24"/>
      <c r="GF282" s="24"/>
      <c r="GG282" s="24"/>
      <c r="GH282" s="24"/>
      <c r="GI282" s="24"/>
      <c r="GJ282" s="24"/>
      <c r="GK282" s="24"/>
      <c r="GL282" s="24"/>
      <c r="GM282" s="24"/>
      <c r="GN282" s="24"/>
      <c r="GO282" s="24"/>
      <c r="GP282" s="24"/>
      <c r="GQ282" s="24"/>
      <c r="GR282" s="24"/>
    </row>
    <row r="283" spans="1:200" s="23" customFormat="1" ht="14.25" customHeight="1">
      <c r="A283" s="20"/>
      <c r="B283" s="21"/>
      <c r="C283" s="22"/>
      <c r="D283" s="22"/>
      <c r="E283" s="22"/>
      <c r="G283" s="22"/>
      <c r="H283" s="22"/>
      <c r="I283" s="22"/>
      <c r="K283" s="22"/>
      <c r="L283" s="22"/>
      <c r="M283" s="22"/>
      <c r="O283" s="22"/>
      <c r="P283" s="22"/>
      <c r="Q283" s="22"/>
      <c r="S283" s="22"/>
      <c r="T283" s="22"/>
      <c r="U283" s="22"/>
      <c r="W283" s="22"/>
      <c r="X283" s="22"/>
      <c r="Y283" s="22"/>
      <c r="AA283" s="22"/>
      <c r="AB283" s="22"/>
      <c r="AC283" s="22"/>
      <c r="AE283" s="24"/>
      <c r="AF283" s="24"/>
      <c r="AG283" s="24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6"/>
      <c r="AW283" s="24"/>
      <c r="AX283" s="20"/>
      <c r="AY283" s="21"/>
      <c r="AZ283" s="22"/>
      <c r="BA283" s="22"/>
      <c r="BB283" s="22"/>
      <c r="BD283" s="22"/>
      <c r="BE283" s="22"/>
      <c r="BF283" s="22"/>
      <c r="BH283" s="22"/>
      <c r="BI283" s="22"/>
      <c r="BJ283" s="22"/>
      <c r="BL283" s="22"/>
      <c r="BM283" s="22"/>
      <c r="BN283" s="22"/>
      <c r="BP283" s="22"/>
      <c r="BQ283" s="22"/>
      <c r="BR283" s="22"/>
      <c r="BT283" s="22"/>
      <c r="BU283" s="22"/>
      <c r="BV283" s="22"/>
      <c r="BX283" s="22"/>
      <c r="BY283" s="22"/>
      <c r="BZ283" s="22"/>
      <c r="CB283" s="24"/>
      <c r="CC283" s="24"/>
      <c r="CD283" s="24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6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/>
      <c r="GI283" s="24"/>
      <c r="GJ283" s="24"/>
      <c r="GK283" s="24"/>
      <c r="GL283" s="24"/>
      <c r="GM283" s="24"/>
      <c r="GN283" s="24"/>
      <c r="GO283" s="24"/>
      <c r="GP283" s="24"/>
      <c r="GQ283" s="24"/>
      <c r="GR283" s="24"/>
    </row>
    <row r="284" spans="1:200" s="23" customFormat="1" ht="14.25" customHeight="1">
      <c r="A284" s="20"/>
      <c r="B284" s="21"/>
      <c r="C284" s="22"/>
      <c r="D284" s="22"/>
      <c r="E284" s="22"/>
      <c r="G284" s="22"/>
      <c r="H284" s="22"/>
      <c r="I284" s="22"/>
      <c r="K284" s="22"/>
      <c r="L284" s="22"/>
      <c r="M284" s="22"/>
      <c r="O284" s="22"/>
      <c r="P284" s="22"/>
      <c r="Q284" s="22"/>
      <c r="S284" s="22"/>
      <c r="T284" s="22"/>
      <c r="U284" s="22"/>
      <c r="W284" s="22"/>
      <c r="X284" s="22"/>
      <c r="Y284" s="22"/>
      <c r="AA284" s="22"/>
      <c r="AB284" s="22"/>
      <c r="AC284" s="22"/>
      <c r="AE284" s="24"/>
      <c r="AF284" s="24"/>
      <c r="AG284" s="24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6"/>
      <c r="AW284" s="24"/>
      <c r="AX284" s="20"/>
      <c r="AY284" s="21"/>
      <c r="AZ284" s="22"/>
      <c r="BA284" s="22"/>
      <c r="BB284" s="22"/>
      <c r="BD284" s="22"/>
      <c r="BE284" s="22"/>
      <c r="BF284" s="22"/>
      <c r="BH284" s="22"/>
      <c r="BI284" s="22"/>
      <c r="BJ284" s="22"/>
      <c r="BL284" s="22"/>
      <c r="BM284" s="22"/>
      <c r="BN284" s="22"/>
      <c r="BP284" s="22"/>
      <c r="BQ284" s="22"/>
      <c r="BR284" s="22"/>
      <c r="BT284" s="22"/>
      <c r="BU284" s="22"/>
      <c r="BV284" s="22"/>
      <c r="BX284" s="22"/>
      <c r="BY284" s="22"/>
      <c r="BZ284" s="22"/>
      <c r="CB284" s="24"/>
      <c r="CC284" s="24"/>
      <c r="CD284" s="24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6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/>
      <c r="FR284" s="24"/>
      <c r="FS284" s="24"/>
      <c r="FT284" s="24"/>
      <c r="FU284" s="24"/>
      <c r="FV284" s="24"/>
      <c r="FW284" s="24"/>
      <c r="FX284" s="24"/>
      <c r="FY284" s="24"/>
      <c r="FZ284" s="24"/>
      <c r="GA284" s="24"/>
      <c r="GB284" s="24"/>
      <c r="GC284" s="24"/>
      <c r="GD284" s="24"/>
      <c r="GE284" s="24"/>
      <c r="GF284" s="24"/>
      <c r="GG284" s="24"/>
      <c r="GH284" s="24"/>
      <c r="GI284" s="24"/>
      <c r="GJ284" s="24"/>
      <c r="GK284" s="24"/>
      <c r="GL284" s="24"/>
      <c r="GM284" s="24"/>
      <c r="GN284" s="24"/>
      <c r="GO284" s="24"/>
      <c r="GP284" s="24"/>
      <c r="GQ284" s="24"/>
      <c r="GR284" s="24"/>
    </row>
    <row r="285" spans="1:200" s="23" customFormat="1" ht="14.25" customHeight="1">
      <c r="A285" s="20"/>
      <c r="B285" s="21"/>
      <c r="C285" s="22"/>
      <c r="D285" s="22"/>
      <c r="E285" s="22"/>
      <c r="G285" s="22"/>
      <c r="H285" s="22"/>
      <c r="I285" s="22"/>
      <c r="K285" s="22"/>
      <c r="L285" s="22"/>
      <c r="M285" s="22"/>
      <c r="O285" s="22"/>
      <c r="P285" s="22"/>
      <c r="Q285" s="22"/>
      <c r="S285" s="22"/>
      <c r="T285" s="22"/>
      <c r="U285" s="22"/>
      <c r="W285" s="22"/>
      <c r="X285" s="22"/>
      <c r="Y285" s="22"/>
      <c r="AA285" s="22"/>
      <c r="AB285" s="22"/>
      <c r="AC285" s="22"/>
      <c r="AE285" s="24"/>
      <c r="AF285" s="24"/>
      <c r="AG285" s="24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6"/>
      <c r="AW285" s="24"/>
      <c r="AX285" s="20"/>
      <c r="AY285" s="21"/>
      <c r="AZ285" s="22"/>
      <c r="BA285" s="22"/>
      <c r="BB285" s="22"/>
      <c r="BD285" s="22"/>
      <c r="BE285" s="22"/>
      <c r="BF285" s="22"/>
      <c r="BH285" s="22"/>
      <c r="BI285" s="22"/>
      <c r="BJ285" s="22"/>
      <c r="BL285" s="22"/>
      <c r="BM285" s="22"/>
      <c r="BN285" s="22"/>
      <c r="BP285" s="22"/>
      <c r="BQ285" s="22"/>
      <c r="BR285" s="22"/>
      <c r="BT285" s="22"/>
      <c r="BU285" s="22"/>
      <c r="BV285" s="22"/>
      <c r="BX285" s="22"/>
      <c r="BY285" s="22"/>
      <c r="BZ285" s="22"/>
      <c r="CB285" s="24"/>
      <c r="CC285" s="24"/>
      <c r="CD285" s="24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6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/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  <c r="FZ285" s="24"/>
      <c r="GA285" s="24"/>
      <c r="GB285" s="24"/>
      <c r="GC285" s="24"/>
      <c r="GD285" s="24"/>
      <c r="GE285" s="24"/>
      <c r="GF285" s="24"/>
      <c r="GG285" s="24"/>
      <c r="GH285" s="24"/>
      <c r="GI285" s="24"/>
      <c r="GJ285" s="24"/>
      <c r="GK285" s="24"/>
      <c r="GL285" s="24"/>
      <c r="GM285" s="24"/>
      <c r="GN285" s="24"/>
      <c r="GO285" s="24"/>
      <c r="GP285" s="24"/>
      <c r="GQ285" s="24"/>
      <c r="GR285" s="24"/>
    </row>
    <row r="286" spans="1:200" s="23" customFormat="1" ht="14.25" customHeight="1">
      <c r="A286" s="20"/>
      <c r="B286" s="21"/>
      <c r="C286" s="22"/>
      <c r="D286" s="22"/>
      <c r="E286" s="22"/>
      <c r="G286" s="22"/>
      <c r="H286" s="22"/>
      <c r="I286" s="22"/>
      <c r="K286" s="22"/>
      <c r="L286" s="22"/>
      <c r="M286" s="22"/>
      <c r="O286" s="22"/>
      <c r="P286" s="22"/>
      <c r="Q286" s="22"/>
      <c r="S286" s="22"/>
      <c r="T286" s="22"/>
      <c r="U286" s="22"/>
      <c r="W286" s="22"/>
      <c r="X286" s="22"/>
      <c r="Y286" s="22"/>
      <c r="AA286" s="22"/>
      <c r="AB286" s="22"/>
      <c r="AC286" s="22"/>
      <c r="AE286" s="24"/>
      <c r="AF286" s="24"/>
      <c r="AG286" s="24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6"/>
      <c r="AW286" s="24"/>
      <c r="AX286" s="20"/>
      <c r="AY286" s="21"/>
      <c r="AZ286" s="22"/>
      <c r="BA286" s="22"/>
      <c r="BB286" s="22"/>
      <c r="BD286" s="22"/>
      <c r="BE286" s="22"/>
      <c r="BF286" s="22"/>
      <c r="BH286" s="22"/>
      <c r="BI286" s="22"/>
      <c r="BJ286" s="22"/>
      <c r="BL286" s="22"/>
      <c r="BM286" s="22"/>
      <c r="BN286" s="22"/>
      <c r="BP286" s="22"/>
      <c r="BQ286" s="22"/>
      <c r="BR286" s="22"/>
      <c r="BT286" s="22"/>
      <c r="BU286" s="22"/>
      <c r="BV286" s="22"/>
      <c r="BX286" s="22"/>
      <c r="BY286" s="22"/>
      <c r="BZ286" s="22"/>
      <c r="CB286" s="24"/>
      <c r="CC286" s="24"/>
      <c r="CD286" s="24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6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  <c r="FZ286" s="24"/>
      <c r="GA286" s="24"/>
      <c r="GB286" s="24"/>
      <c r="GC286" s="24"/>
      <c r="GD286" s="24"/>
      <c r="GE286" s="24"/>
      <c r="GF286" s="24"/>
      <c r="GG286" s="24"/>
      <c r="GH286" s="24"/>
      <c r="GI286" s="24"/>
      <c r="GJ286" s="24"/>
      <c r="GK286" s="24"/>
      <c r="GL286" s="24"/>
      <c r="GM286" s="24"/>
      <c r="GN286" s="24"/>
      <c r="GO286" s="24"/>
      <c r="GP286" s="24"/>
      <c r="GQ286" s="24"/>
      <c r="GR286" s="24"/>
    </row>
    <row r="287" spans="1:200" s="23" customFormat="1" ht="14.25" customHeight="1">
      <c r="A287" s="20"/>
      <c r="B287" s="21"/>
      <c r="C287" s="22"/>
      <c r="D287" s="22"/>
      <c r="E287" s="22"/>
      <c r="G287" s="22"/>
      <c r="H287" s="22"/>
      <c r="I287" s="22"/>
      <c r="K287" s="22"/>
      <c r="L287" s="22"/>
      <c r="M287" s="22"/>
      <c r="O287" s="22"/>
      <c r="P287" s="22"/>
      <c r="Q287" s="22"/>
      <c r="S287" s="22"/>
      <c r="T287" s="22"/>
      <c r="U287" s="22"/>
      <c r="W287" s="22"/>
      <c r="X287" s="22"/>
      <c r="Y287" s="22"/>
      <c r="AA287" s="22"/>
      <c r="AB287" s="22"/>
      <c r="AC287" s="22"/>
      <c r="AE287" s="24"/>
      <c r="AF287" s="24"/>
      <c r="AG287" s="24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6"/>
      <c r="AW287" s="24"/>
      <c r="AX287" s="20"/>
      <c r="AY287" s="21"/>
      <c r="AZ287" s="22"/>
      <c r="BA287" s="22"/>
      <c r="BB287" s="22"/>
      <c r="BD287" s="22"/>
      <c r="BE287" s="22"/>
      <c r="BF287" s="22"/>
      <c r="BH287" s="22"/>
      <c r="BI287" s="22"/>
      <c r="BJ287" s="22"/>
      <c r="BL287" s="22"/>
      <c r="BM287" s="22"/>
      <c r="BN287" s="22"/>
      <c r="BP287" s="22"/>
      <c r="BQ287" s="22"/>
      <c r="BR287" s="22"/>
      <c r="BT287" s="22"/>
      <c r="BU287" s="22"/>
      <c r="BV287" s="22"/>
      <c r="BX287" s="22"/>
      <c r="BY287" s="22"/>
      <c r="BZ287" s="22"/>
      <c r="CB287" s="24"/>
      <c r="CC287" s="24"/>
      <c r="CD287" s="24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6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  <c r="EH287" s="24"/>
      <c r="EI287" s="24"/>
      <c r="EJ287" s="24"/>
      <c r="EK287" s="24"/>
      <c r="EL287" s="24"/>
      <c r="EM287" s="24"/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  <c r="FZ287" s="24"/>
      <c r="GA287" s="24"/>
      <c r="GB287" s="24"/>
      <c r="GC287" s="24"/>
      <c r="GD287" s="24"/>
      <c r="GE287" s="24"/>
      <c r="GF287" s="24"/>
      <c r="GG287" s="24"/>
      <c r="GH287" s="24"/>
      <c r="GI287" s="24"/>
      <c r="GJ287" s="24"/>
      <c r="GK287" s="24"/>
      <c r="GL287" s="24"/>
      <c r="GM287" s="24"/>
      <c r="GN287" s="24"/>
      <c r="GO287" s="24"/>
      <c r="GP287" s="24"/>
      <c r="GQ287" s="24"/>
      <c r="GR287" s="24"/>
    </row>
    <row r="288" spans="1:200" s="23" customFormat="1" ht="14.25" customHeight="1">
      <c r="A288" s="20"/>
      <c r="B288" s="21"/>
      <c r="C288" s="22"/>
      <c r="D288" s="22"/>
      <c r="E288" s="22"/>
      <c r="G288" s="22"/>
      <c r="H288" s="22"/>
      <c r="I288" s="22"/>
      <c r="K288" s="22"/>
      <c r="L288" s="22"/>
      <c r="M288" s="22"/>
      <c r="O288" s="22"/>
      <c r="P288" s="22"/>
      <c r="Q288" s="22"/>
      <c r="S288" s="22"/>
      <c r="T288" s="22"/>
      <c r="U288" s="22"/>
      <c r="W288" s="22"/>
      <c r="X288" s="22"/>
      <c r="Y288" s="22"/>
      <c r="AA288" s="22"/>
      <c r="AB288" s="22"/>
      <c r="AC288" s="22"/>
      <c r="AE288" s="24"/>
      <c r="AF288" s="24"/>
      <c r="AG288" s="24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6"/>
      <c r="AW288" s="24"/>
      <c r="AX288" s="20"/>
      <c r="AY288" s="21"/>
      <c r="AZ288" s="22"/>
      <c r="BA288" s="22"/>
      <c r="BB288" s="22"/>
      <c r="BD288" s="22"/>
      <c r="BE288" s="22"/>
      <c r="BF288" s="22"/>
      <c r="BH288" s="22"/>
      <c r="BI288" s="22"/>
      <c r="BJ288" s="22"/>
      <c r="BL288" s="22"/>
      <c r="BM288" s="22"/>
      <c r="BN288" s="22"/>
      <c r="BP288" s="22"/>
      <c r="BQ288" s="22"/>
      <c r="BR288" s="22"/>
      <c r="BT288" s="22"/>
      <c r="BU288" s="22"/>
      <c r="BV288" s="22"/>
      <c r="BX288" s="22"/>
      <c r="BY288" s="22"/>
      <c r="BZ288" s="22"/>
      <c r="CB288" s="24"/>
      <c r="CC288" s="24"/>
      <c r="CD288" s="24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6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4"/>
      <c r="GD288" s="24"/>
      <c r="GE288" s="24"/>
      <c r="GF288" s="24"/>
      <c r="GG288" s="24"/>
      <c r="GH288" s="24"/>
      <c r="GI288" s="24"/>
      <c r="GJ288" s="24"/>
      <c r="GK288" s="24"/>
      <c r="GL288" s="24"/>
      <c r="GM288" s="24"/>
      <c r="GN288" s="24"/>
      <c r="GO288" s="24"/>
      <c r="GP288" s="24"/>
      <c r="GQ288" s="24"/>
      <c r="GR288" s="24"/>
    </row>
    <row r="289" spans="1:200" s="23" customFormat="1" ht="14.25" customHeight="1">
      <c r="A289" s="20"/>
      <c r="B289" s="21"/>
      <c r="C289" s="22"/>
      <c r="D289" s="22"/>
      <c r="E289" s="22"/>
      <c r="G289" s="22"/>
      <c r="H289" s="22"/>
      <c r="I289" s="22"/>
      <c r="K289" s="22"/>
      <c r="L289" s="22"/>
      <c r="M289" s="22"/>
      <c r="O289" s="22"/>
      <c r="P289" s="22"/>
      <c r="Q289" s="22"/>
      <c r="S289" s="22"/>
      <c r="T289" s="22"/>
      <c r="U289" s="22"/>
      <c r="W289" s="22"/>
      <c r="X289" s="22"/>
      <c r="Y289" s="22"/>
      <c r="AA289" s="22"/>
      <c r="AB289" s="22"/>
      <c r="AC289" s="22"/>
      <c r="AE289" s="24"/>
      <c r="AF289" s="24"/>
      <c r="AG289" s="24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6"/>
      <c r="AW289" s="24"/>
      <c r="AX289" s="20"/>
      <c r="AY289" s="21"/>
      <c r="AZ289" s="22"/>
      <c r="BA289" s="22"/>
      <c r="BB289" s="22"/>
      <c r="BD289" s="22"/>
      <c r="BE289" s="22"/>
      <c r="BF289" s="22"/>
      <c r="BH289" s="22"/>
      <c r="BI289" s="22"/>
      <c r="BJ289" s="22"/>
      <c r="BL289" s="22"/>
      <c r="BM289" s="22"/>
      <c r="BN289" s="22"/>
      <c r="BP289" s="22"/>
      <c r="BQ289" s="22"/>
      <c r="BR289" s="22"/>
      <c r="BT289" s="22"/>
      <c r="BU289" s="22"/>
      <c r="BV289" s="22"/>
      <c r="BX289" s="22"/>
      <c r="BY289" s="22"/>
      <c r="BZ289" s="22"/>
      <c r="CB289" s="24"/>
      <c r="CC289" s="24"/>
      <c r="CD289" s="24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6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/>
      <c r="EO289" s="24"/>
      <c r="EP289" s="24"/>
      <c r="EQ289" s="24"/>
      <c r="ER289" s="24"/>
      <c r="ES289" s="24"/>
      <c r="ET289" s="24"/>
      <c r="EU289" s="24"/>
      <c r="EV289" s="24"/>
      <c r="EW289" s="24"/>
      <c r="EX289" s="24"/>
      <c r="EY289" s="24"/>
      <c r="EZ289" s="24"/>
      <c r="FA289" s="24"/>
      <c r="FB289" s="24"/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/>
      <c r="FQ289" s="24"/>
      <c r="FR289" s="24"/>
      <c r="FS289" s="24"/>
      <c r="FT289" s="24"/>
      <c r="FU289" s="24"/>
      <c r="FV289" s="24"/>
      <c r="FW289" s="24"/>
      <c r="FX289" s="24"/>
      <c r="FY289" s="24"/>
      <c r="FZ289" s="24"/>
      <c r="GA289" s="24"/>
      <c r="GB289" s="24"/>
      <c r="GC289" s="24"/>
      <c r="GD289" s="24"/>
      <c r="GE289" s="24"/>
      <c r="GF289" s="24"/>
      <c r="GG289" s="24"/>
      <c r="GH289" s="24"/>
      <c r="GI289" s="24"/>
      <c r="GJ289" s="24"/>
      <c r="GK289" s="24"/>
      <c r="GL289" s="24"/>
      <c r="GM289" s="24"/>
      <c r="GN289" s="24"/>
      <c r="GO289" s="24"/>
      <c r="GP289" s="24"/>
      <c r="GQ289" s="24"/>
      <c r="GR289" s="24"/>
    </row>
    <row r="290" spans="1:200" s="23" customFormat="1" ht="14.25" customHeight="1">
      <c r="A290" s="20"/>
      <c r="B290" s="21"/>
      <c r="C290" s="22"/>
      <c r="D290" s="22"/>
      <c r="E290" s="22"/>
      <c r="G290" s="22"/>
      <c r="H290" s="22"/>
      <c r="I290" s="22"/>
      <c r="K290" s="22"/>
      <c r="L290" s="22"/>
      <c r="M290" s="22"/>
      <c r="O290" s="22"/>
      <c r="P290" s="22"/>
      <c r="Q290" s="22"/>
      <c r="S290" s="22"/>
      <c r="T290" s="22"/>
      <c r="U290" s="22"/>
      <c r="W290" s="22"/>
      <c r="X290" s="22"/>
      <c r="Y290" s="22"/>
      <c r="AA290" s="22"/>
      <c r="AB290" s="22"/>
      <c r="AC290" s="22"/>
      <c r="AE290" s="24"/>
      <c r="AF290" s="24"/>
      <c r="AG290" s="24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6"/>
      <c r="AW290" s="24"/>
      <c r="AX290" s="20"/>
      <c r="AY290" s="21"/>
      <c r="AZ290" s="22"/>
      <c r="BA290" s="22"/>
      <c r="BB290" s="22"/>
      <c r="BD290" s="22"/>
      <c r="BE290" s="22"/>
      <c r="BF290" s="22"/>
      <c r="BH290" s="22"/>
      <c r="BI290" s="22"/>
      <c r="BJ290" s="22"/>
      <c r="BL290" s="22"/>
      <c r="BM290" s="22"/>
      <c r="BN290" s="22"/>
      <c r="BP290" s="22"/>
      <c r="BQ290" s="22"/>
      <c r="BR290" s="22"/>
      <c r="BT290" s="22"/>
      <c r="BU290" s="22"/>
      <c r="BV290" s="22"/>
      <c r="BX290" s="22"/>
      <c r="BY290" s="22"/>
      <c r="BZ290" s="22"/>
      <c r="CB290" s="24"/>
      <c r="CC290" s="24"/>
      <c r="CD290" s="24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6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  <c r="FZ290" s="24"/>
      <c r="GA290" s="24"/>
      <c r="GB290" s="24"/>
      <c r="GC290" s="24"/>
      <c r="GD290" s="24"/>
      <c r="GE290" s="24"/>
      <c r="GF290" s="24"/>
      <c r="GG290" s="24"/>
      <c r="GH290" s="24"/>
      <c r="GI290" s="24"/>
      <c r="GJ290" s="24"/>
      <c r="GK290" s="24"/>
      <c r="GL290" s="24"/>
      <c r="GM290" s="24"/>
      <c r="GN290" s="24"/>
      <c r="GO290" s="24"/>
      <c r="GP290" s="24"/>
      <c r="GQ290" s="24"/>
      <c r="GR290" s="24"/>
    </row>
    <row r="291" spans="1:200" s="23" customFormat="1" ht="14.25" customHeight="1">
      <c r="A291" s="20"/>
      <c r="B291" s="21"/>
      <c r="C291" s="22"/>
      <c r="D291" s="22"/>
      <c r="E291" s="22"/>
      <c r="G291" s="22"/>
      <c r="H291" s="22"/>
      <c r="I291" s="22"/>
      <c r="K291" s="22"/>
      <c r="L291" s="22"/>
      <c r="M291" s="22"/>
      <c r="O291" s="22"/>
      <c r="P291" s="22"/>
      <c r="Q291" s="22"/>
      <c r="S291" s="22"/>
      <c r="T291" s="22"/>
      <c r="U291" s="22"/>
      <c r="W291" s="22"/>
      <c r="X291" s="22"/>
      <c r="Y291" s="22"/>
      <c r="AA291" s="22"/>
      <c r="AB291" s="22"/>
      <c r="AC291" s="22"/>
      <c r="AE291" s="24"/>
      <c r="AF291" s="24"/>
      <c r="AG291" s="24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6"/>
      <c r="AW291" s="24"/>
      <c r="AX291" s="20"/>
      <c r="AY291" s="21"/>
      <c r="AZ291" s="22"/>
      <c r="BA291" s="22"/>
      <c r="BB291" s="22"/>
      <c r="BD291" s="22"/>
      <c r="BE291" s="22"/>
      <c r="BF291" s="22"/>
      <c r="BH291" s="22"/>
      <c r="BI291" s="22"/>
      <c r="BJ291" s="22"/>
      <c r="BL291" s="22"/>
      <c r="BM291" s="22"/>
      <c r="BN291" s="22"/>
      <c r="BP291" s="22"/>
      <c r="BQ291" s="22"/>
      <c r="BR291" s="22"/>
      <c r="BT291" s="22"/>
      <c r="BU291" s="22"/>
      <c r="BV291" s="22"/>
      <c r="BX291" s="22"/>
      <c r="BY291" s="22"/>
      <c r="BZ291" s="22"/>
      <c r="CB291" s="24"/>
      <c r="CC291" s="24"/>
      <c r="CD291" s="24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6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/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  <c r="FZ291" s="24"/>
      <c r="GA291" s="24"/>
      <c r="GB291" s="24"/>
      <c r="GC291" s="24"/>
      <c r="GD291" s="24"/>
      <c r="GE291" s="24"/>
      <c r="GF291" s="24"/>
      <c r="GG291" s="24"/>
      <c r="GH291" s="24"/>
      <c r="GI291" s="24"/>
      <c r="GJ291" s="24"/>
      <c r="GK291" s="24"/>
      <c r="GL291" s="24"/>
      <c r="GM291" s="24"/>
      <c r="GN291" s="24"/>
      <c r="GO291" s="24"/>
      <c r="GP291" s="24"/>
      <c r="GQ291" s="24"/>
      <c r="GR291" s="24"/>
    </row>
    <row r="292" spans="1:200" s="23" customFormat="1" ht="14.25" customHeight="1">
      <c r="A292" s="20"/>
      <c r="B292" s="21"/>
      <c r="C292" s="22"/>
      <c r="D292" s="22"/>
      <c r="E292" s="22"/>
      <c r="G292" s="22"/>
      <c r="H292" s="22"/>
      <c r="I292" s="22"/>
      <c r="K292" s="22"/>
      <c r="L292" s="22"/>
      <c r="M292" s="22"/>
      <c r="O292" s="22"/>
      <c r="P292" s="22"/>
      <c r="Q292" s="22"/>
      <c r="S292" s="22"/>
      <c r="T292" s="22"/>
      <c r="U292" s="22"/>
      <c r="W292" s="22"/>
      <c r="X292" s="22"/>
      <c r="Y292" s="22"/>
      <c r="AA292" s="22"/>
      <c r="AB292" s="22"/>
      <c r="AC292" s="22"/>
      <c r="AE292" s="24"/>
      <c r="AF292" s="24"/>
      <c r="AG292" s="24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6"/>
      <c r="AW292" s="24"/>
      <c r="AX292" s="20"/>
      <c r="AY292" s="21"/>
      <c r="AZ292" s="22"/>
      <c r="BA292" s="22"/>
      <c r="BB292" s="22"/>
      <c r="BD292" s="22"/>
      <c r="BE292" s="22"/>
      <c r="BF292" s="22"/>
      <c r="BH292" s="22"/>
      <c r="BI292" s="22"/>
      <c r="BJ292" s="22"/>
      <c r="BL292" s="22"/>
      <c r="BM292" s="22"/>
      <c r="BN292" s="22"/>
      <c r="BP292" s="22"/>
      <c r="BQ292" s="22"/>
      <c r="BR292" s="22"/>
      <c r="BT292" s="22"/>
      <c r="BU292" s="22"/>
      <c r="BV292" s="22"/>
      <c r="BX292" s="22"/>
      <c r="BY292" s="22"/>
      <c r="BZ292" s="22"/>
      <c r="CB292" s="24"/>
      <c r="CC292" s="24"/>
      <c r="CD292" s="24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6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  <c r="FZ292" s="24"/>
      <c r="GA292" s="24"/>
      <c r="GB292" s="24"/>
      <c r="GC292" s="24"/>
      <c r="GD292" s="24"/>
      <c r="GE292" s="24"/>
      <c r="GF292" s="24"/>
      <c r="GG292" s="24"/>
      <c r="GH292" s="24"/>
      <c r="GI292" s="24"/>
      <c r="GJ292" s="24"/>
      <c r="GK292" s="24"/>
      <c r="GL292" s="24"/>
      <c r="GM292" s="24"/>
      <c r="GN292" s="24"/>
      <c r="GO292" s="24"/>
      <c r="GP292" s="24"/>
      <c r="GQ292" s="24"/>
      <c r="GR292" s="24"/>
    </row>
    <row r="293" spans="1:200" s="23" customFormat="1" ht="14.25" customHeight="1">
      <c r="A293" s="20"/>
      <c r="B293" s="21"/>
      <c r="C293" s="22"/>
      <c r="D293" s="22"/>
      <c r="E293" s="22"/>
      <c r="G293" s="22"/>
      <c r="H293" s="22"/>
      <c r="I293" s="22"/>
      <c r="K293" s="22"/>
      <c r="L293" s="22"/>
      <c r="M293" s="22"/>
      <c r="O293" s="22"/>
      <c r="P293" s="22"/>
      <c r="Q293" s="22"/>
      <c r="S293" s="22"/>
      <c r="T293" s="22"/>
      <c r="U293" s="22"/>
      <c r="W293" s="22"/>
      <c r="X293" s="22"/>
      <c r="Y293" s="22"/>
      <c r="AA293" s="22"/>
      <c r="AB293" s="22"/>
      <c r="AC293" s="22"/>
      <c r="AE293" s="24"/>
      <c r="AF293" s="24"/>
      <c r="AG293" s="24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6"/>
      <c r="AW293" s="24"/>
      <c r="AX293" s="20"/>
      <c r="AY293" s="21"/>
      <c r="AZ293" s="22"/>
      <c r="BA293" s="22"/>
      <c r="BB293" s="22"/>
      <c r="BD293" s="22"/>
      <c r="BE293" s="22"/>
      <c r="BF293" s="22"/>
      <c r="BH293" s="22"/>
      <c r="BI293" s="22"/>
      <c r="BJ293" s="22"/>
      <c r="BL293" s="22"/>
      <c r="BM293" s="22"/>
      <c r="BN293" s="22"/>
      <c r="BP293" s="22"/>
      <c r="BQ293" s="22"/>
      <c r="BR293" s="22"/>
      <c r="BT293" s="22"/>
      <c r="BU293" s="22"/>
      <c r="BV293" s="22"/>
      <c r="BX293" s="22"/>
      <c r="BY293" s="22"/>
      <c r="BZ293" s="22"/>
      <c r="CB293" s="24"/>
      <c r="CC293" s="24"/>
      <c r="CD293" s="24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6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/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/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24"/>
      <c r="GQ293" s="24"/>
      <c r="GR293" s="24"/>
    </row>
    <row r="294" spans="1:200" s="23" customFormat="1" ht="14.25" customHeight="1">
      <c r="A294" s="20"/>
      <c r="B294" s="21"/>
      <c r="C294" s="22"/>
      <c r="D294" s="22"/>
      <c r="E294" s="22"/>
      <c r="G294" s="22"/>
      <c r="H294" s="22"/>
      <c r="I294" s="22"/>
      <c r="K294" s="22"/>
      <c r="L294" s="22"/>
      <c r="M294" s="22"/>
      <c r="O294" s="22"/>
      <c r="P294" s="22"/>
      <c r="Q294" s="22"/>
      <c r="S294" s="22"/>
      <c r="T294" s="22"/>
      <c r="U294" s="22"/>
      <c r="W294" s="22"/>
      <c r="X294" s="22"/>
      <c r="Y294" s="22"/>
      <c r="AA294" s="22"/>
      <c r="AB294" s="22"/>
      <c r="AC294" s="22"/>
      <c r="AE294" s="24"/>
      <c r="AF294" s="24"/>
      <c r="AG294" s="24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6"/>
      <c r="AW294" s="24"/>
      <c r="AX294" s="20"/>
      <c r="AY294" s="21"/>
      <c r="AZ294" s="22"/>
      <c r="BA294" s="22"/>
      <c r="BB294" s="22"/>
      <c r="BD294" s="22"/>
      <c r="BE294" s="22"/>
      <c r="BF294" s="22"/>
      <c r="BH294" s="22"/>
      <c r="BI294" s="22"/>
      <c r="BJ294" s="22"/>
      <c r="BL294" s="22"/>
      <c r="BM294" s="22"/>
      <c r="BN294" s="22"/>
      <c r="BP294" s="22"/>
      <c r="BQ294" s="22"/>
      <c r="BR294" s="22"/>
      <c r="BT294" s="22"/>
      <c r="BU294" s="22"/>
      <c r="BV294" s="22"/>
      <c r="BX294" s="22"/>
      <c r="BY294" s="22"/>
      <c r="BZ294" s="22"/>
      <c r="CB294" s="24"/>
      <c r="CC294" s="24"/>
      <c r="CD294" s="24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6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  <c r="FZ294" s="24"/>
      <c r="GA294" s="24"/>
      <c r="GB294" s="24"/>
      <c r="GC294" s="24"/>
      <c r="GD294" s="24"/>
      <c r="GE294" s="24"/>
      <c r="GF294" s="24"/>
      <c r="GG294" s="24"/>
      <c r="GH294" s="24"/>
      <c r="GI294" s="24"/>
      <c r="GJ294" s="24"/>
      <c r="GK294" s="24"/>
      <c r="GL294" s="24"/>
      <c r="GM294" s="24"/>
      <c r="GN294" s="24"/>
      <c r="GO294" s="24"/>
      <c r="GP294" s="24"/>
      <c r="GQ294" s="24"/>
      <c r="GR294" s="24"/>
    </row>
    <row r="295" spans="1:200" s="23" customFormat="1" ht="14.25" customHeight="1">
      <c r="A295" s="20"/>
      <c r="B295" s="21"/>
      <c r="C295" s="22"/>
      <c r="D295" s="22"/>
      <c r="E295" s="22"/>
      <c r="G295" s="22"/>
      <c r="H295" s="22"/>
      <c r="I295" s="22"/>
      <c r="K295" s="22"/>
      <c r="L295" s="22"/>
      <c r="M295" s="22"/>
      <c r="O295" s="22"/>
      <c r="P295" s="22"/>
      <c r="Q295" s="22"/>
      <c r="S295" s="22"/>
      <c r="T295" s="22"/>
      <c r="U295" s="22"/>
      <c r="W295" s="22"/>
      <c r="X295" s="22"/>
      <c r="Y295" s="22"/>
      <c r="AA295" s="22"/>
      <c r="AB295" s="22"/>
      <c r="AC295" s="22"/>
      <c r="AE295" s="24"/>
      <c r="AF295" s="24"/>
      <c r="AG295" s="24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6"/>
      <c r="AW295" s="24"/>
      <c r="AX295" s="20"/>
      <c r="AY295" s="21"/>
      <c r="AZ295" s="22"/>
      <c r="BA295" s="22"/>
      <c r="BB295" s="22"/>
      <c r="BD295" s="22"/>
      <c r="BE295" s="22"/>
      <c r="BF295" s="22"/>
      <c r="BH295" s="22"/>
      <c r="BI295" s="22"/>
      <c r="BJ295" s="22"/>
      <c r="BL295" s="22"/>
      <c r="BM295" s="22"/>
      <c r="BN295" s="22"/>
      <c r="BP295" s="22"/>
      <c r="BQ295" s="22"/>
      <c r="BR295" s="22"/>
      <c r="BT295" s="22"/>
      <c r="BU295" s="22"/>
      <c r="BV295" s="22"/>
      <c r="BX295" s="22"/>
      <c r="BY295" s="22"/>
      <c r="BZ295" s="22"/>
      <c r="CB295" s="24"/>
      <c r="CC295" s="24"/>
      <c r="CD295" s="24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6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/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  <c r="FZ295" s="24"/>
      <c r="GA295" s="24"/>
      <c r="GB295" s="24"/>
      <c r="GC295" s="24"/>
      <c r="GD295" s="24"/>
      <c r="GE295" s="24"/>
      <c r="GF295" s="24"/>
      <c r="GG295" s="24"/>
      <c r="GH295" s="24"/>
      <c r="GI295" s="24"/>
      <c r="GJ295" s="24"/>
      <c r="GK295" s="24"/>
      <c r="GL295" s="24"/>
      <c r="GM295" s="24"/>
      <c r="GN295" s="24"/>
      <c r="GO295" s="24"/>
      <c r="GP295" s="24"/>
      <c r="GQ295" s="24"/>
      <c r="GR295" s="24"/>
    </row>
    <row r="296" spans="1:200" s="23" customFormat="1" ht="14.25" customHeight="1">
      <c r="A296" s="20"/>
      <c r="B296" s="21"/>
      <c r="C296" s="22"/>
      <c r="D296" s="22"/>
      <c r="E296" s="22"/>
      <c r="G296" s="22"/>
      <c r="H296" s="22"/>
      <c r="I296" s="22"/>
      <c r="K296" s="22"/>
      <c r="L296" s="22"/>
      <c r="M296" s="22"/>
      <c r="O296" s="22"/>
      <c r="P296" s="22"/>
      <c r="Q296" s="22"/>
      <c r="S296" s="22"/>
      <c r="T296" s="22"/>
      <c r="U296" s="22"/>
      <c r="W296" s="22"/>
      <c r="X296" s="22"/>
      <c r="Y296" s="22"/>
      <c r="AA296" s="22"/>
      <c r="AB296" s="22"/>
      <c r="AC296" s="22"/>
      <c r="AE296" s="24"/>
      <c r="AF296" s="24"/>
      <c r="AG296" s="24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6"/>
      <c r="AW296" s="24"/>
      <c r="AX296" s="20"/>
      <c r="AY296" s="21"/>
      <c r="AZ296" s="22"/>
      <c r="BA296" s="22"/>
      <c r="BB296" s="22"/>
      <c r="BD296" s="22"/>
      <c r="BE296" s="22"/>
      <c r="BF296" s="22"/>
      <c r="BH296" s="22"/>
      <c r="BI296" s="22"/>
      <c r="BJ296" s="22"/>
      <c r="BL296" s="22"/>
      <c r="BM296" s="22"/>
      <c r="BN296" s="22"/>
      <c r="BP296" s="22"/>
      <c r="BQ296" s="22"/>
      <c r="BR296" s="22"/>
      <c r="BT296" s="22"/>
      <c r="BU296" s="22"/>
      <c r="BV296" s="22"/>
      <c r="BX296" s="22"/>
      <c r="BY296" s="22"/>
      <c r="BZ296" s="22"/>
      <c r="CB296" s="24"/>
      <c r="CC296" s="24"/>
      <c r="CD296" s="24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6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/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  <c r="FZ296" s="24"/>
      <c r="GA296" s="24"/>
      <c r="GB296" s="24"/>
      <c r="GC296" s="24"/>
      <c r="GD296" s="24"/>
      <c r="GE296" s="24"/>
      <c r="GF296" s="24"/>
      <c r="GG296" s="24"/>
      <c r="GH296" s="24"/>
      <c r="GI296" s="24"/>
      <c r="GJ296" s="24"/>
      <c r="GK296" s="24"/>
      <c r="GL296" s="24"/>
      <c r="GM296" s="24"/>
      <c r="GN296" s="24"/>
      <c r="GO296" s="24"/>
      <c r="GP296" s="24"/>
      <c r="GQ296" s="24"/>
      <c r="GR296" s="24"/>
    </row>
    <row r="297" spans="1:200" s="23" customFormat="1" ht="14.25" customHeight="1">
      <c r="A297" s="20"/>
      <c r="B297" s="21"/>
      <c r="C297" s="22"/>
      <c r="D297" s="22"/>
      <c r="E297" s="22"/>
      <c r="G297" s="22"/>
      <c r="H297" s="22"/>
      <c r="I297" s="22"/>
      <c r="K297" s="22"/>
      <c r="L297" s="22"/>
      <c r="M297" s="22"/>
      <c r="O297" s="22"/>
      <c r="P297" s="22"/>
      <c r="Q297" s="22"/>
      <c r="S297" s="22"/>
      <c r="T297" s="22"/>
      <c r="U297" s="22"/>
      <c r="W297" s="22"/>
      <c r="X297" s="22"/>
      <c r="Y297" s="22"/>
      <c r="AA297" s="22"/>
      <c r="AB297" s="22"/>
      <c r="AC297" s="22"/>
      <c r="AE297" s="24"/>
      <c r="AF297" s="24"/>
      <c r="AG297" s="24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6"/>
      <c r="AW297" s="24"/>
      <c r="AX297" s="20"/>
      <c r="AY297" s="21"/>
      <c r="AZ297" s="22"/>
      <c r="BA297" s="22"/>
      <c r="BB297" s="22"/>
      <c r="BD297" s="22"/>
      <c r="BE297" s="22"/>
      <c r="BF297" s="22"/>
      <c r="BH297" s="22"/>
      <c r="BI297" s="22"/>
      <c r="BJ297" s="22"/>
      <c r="BL297" s="22"/>
      <c r="BM297" s="22"/>
      <c r="BN297" s="22"/>
      <c r="BP297" s="22"/>
      <c r="BQ297" s="22"/>
      <c r="BR297" s="22"/>
      <c r="BT297" s="22"/>
      <c r="BU297" s="22"/>
      <c r="BV297" s="22"/>
      <c r="BX297" s="22"/>
      <c r="BY297" s="22"/>
      <c r="BZ297" s="22"/>
      <c r="CB297" s="24"/>
      <c r="CC297" s="24"/>
      <c r="CD297" s="24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6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  <c r="EH297" s="24"/>
      <c r="EI297" s="24"/>
      <c r="EJ297" s="24"/>
      <c r="EK297" s="24"/>
      <c r="EL297" s="24"/>
      <c r="EM297" s="24"/>
      <c r="EN297" s="24"/>
      <c r="EO297" s="24"/>
      <c r="EP297" s="24"/>
      <c r="EQ297" s="24"/>
      <c r="ER297" s="24"/>
      <c r="ES297" s="24"/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  <c r="FZ297" s="24"/>
      <c r="GA297" s="24"/>
      <c r="GB297" s="24"/>
      <c r="GC297" s="24"/>
      <c r="GD297" s="24"/>
      <c r="GE297" s="24"/>
      <c r="GF297" s="24"/>
      <c r="GG297" s="24"/>
      <c r="GH297" s="24"/>
      <c r="GI297" s="24"/>
      <c r="GJ297" s="24"/>
      <c r="GK297" s="24"/>
      <c r="GL297" s="24"/>
      <c r="GM297" s="24"/>
      <c r="GN297" s="24"/>
      <c r="GO297" s="24"/>
      <c r="GP297" s="24"/>
      <c r="GQ297" s="24"/>
      <c r="GR297" s="24"/>
    </row>
    <row r="298" spans="1:200" s="23" customFormat="1" ht="14.25" customHeight="1">
      <c r="A298" s="20"/>
      <c r="B298" s="21"/>
      <c r="C298" s="22"/>
      <c r="D298" s="22"/>
      <c r="E298" s="22"/>
      <c r="G298" s="22"/>
      <c r="H298" s="22"/>
      <c r="I298" s="22"/>
      <c r="K298" s="22"/>
      <c r="L298" s="22"/>
      <c r="M298" s="22"/>
      <c r="O298" s="22"/>
      <c r="P298" s="22"/>
      <c r="Q298" s="22"/>
      <c r="S298" s="22"/>
      <c r="T298" s="22"/>
      <c r="U298" s="22"/>
      <c r="W298" s="22"/>
      <c r="X298" s="22"/>
      <c r="Y298" s="22"/>
      <c r="AA298" s="22"/>
      <c r="AB298" s="22"/>
      <c r="AC298" s="22"/>
      <c r="AE298" s="24"/>
      <c r="AF298" s="24"/>
      <c r="AG298" s="24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6"/>
      <c r="AW298" s="24"/>
      <c r="AX298" s="20"/>
      <c r="AY298" s="21"/>
      <c r="AZ298" s="22"/>
      <c r="BA298" s="22"/>
      <c r="BB298" s="22"/>
      <c r="BD298" s="22"/>
      <c r="BE298" s="22"/>
      <c r="BF298" s="22"/>
      <c r="BH298" s="22"/>
      <c r="BI298" s="22"/>
      <c r="BJ298" s="22"/>
      <c r="BL298" s="22"/>
      <c r="BM298" s="22"/>
      <c r="BN298" s="22"/>
      <c r="BP298" s="22"/>
      <c r="BQ298" s="22"/>
      <c r="BR298" s="22"/>
      <c r="BT298" s="22"/>
      <c r="BU298" s="22"/>
      <c r="BV298" s="22"/>
      <c r="BX298" s="22"/>
      <c r="BY298" s="22"/>
      <c r="BZ298" s="22"/>
      <c r="CB298" s="24"/>
      <c r="CC298" s="24"/>
      <c r="CD298" s="24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6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4"/>
      <c r="GM298" s="24"/>
      <c r="GN298" s="24"/>
      <c r="GO298" s="24"/>
      <c r="GP298" s="24"/>
      <c r="GQ298" s="24"/>
      <c r="GR298" s="24"/>
    </row>
    <row r="299" spans="1:200" s="23" customFormat="1" ht="14.25" customHeight="1">
      <c r="A299" s="20"/>
      <c r="B299" s="21"/>
      <c r="C299" s="22"/>
      <c r="D299" s="22"/>
      <c r="E299" s="22"/>
      <c r="G299" s="22"/>
      <c r="H299" s="22"/>
      <c r="I299" s="22"/>
      <c r="K299" s="22"/>
      <c r="L299" s="22"/>
      <c r="M299" s="22"/>
      <c r="O299" s="22"/>
      <c r="P299" s="22"/>
      <c r="Q299" s="22"/>
      <c r="S299" s="22"/>
      <c r="T299" s="22"/>
      <c r="U299" s="22"/>
      <c r="W299" s="22"/>
      <c r="X299" s="22"/>
      <c r="Y299" s="22"/>
      <c r="AA299" s="22"/>
      <c r="AB299" s="22"/>
      <c r="AC299" s="22"/>
      <c r="AE299" s="24"/>
      <c r="AF299" s="24"/>
      <c r="AG299" s="24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6"/>
      <c r="AW299" s="24"/>
      <c r="AX299" s="20"/>
      <c r="AY299" s="21"/>
      <c r="AZ299" s="22"/>
      <c r="BA299" s="22"/>
      <c r="BB299" s="22"/>
      <c r="BD299" s="22"/>
      <c r="BE299" s="22"/>
      <c r="BF299" s="22"/>
      <c r="BH299" s="22"/>
      <c r="BI299" s="22"/>
      <c r="BJ299" s="22"/>
      <c r="BL299" s="22"/>
      <c r="BM299" s="22"/>
      <c r="BN299" s="22"/>
      <c r="BP299" s="22"/>
      <c r="BQ299" s="22"/>
      <c r="BR299" s="22"/>
      <c r="BT299" s="22"/>
      <c r="BU299" s="22"/>
      <c r="BV299" s="22"/>
      <c r="BX299" s="22"/>
      <c r="BY299" s="22"/>
      <c r="BZ299" s="22"/>
      <c r="CB299" s="24"/>
      <c r="CC299" s="24"/>
      <c r="CD299" s="24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6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/>
      <c r="EK299" s="24"/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/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  <c r="FZ299" s="24"/>
      <c r="GA299" s="24"/>
      <c r="GB299" s="24"/>
      <c r="GC299" s="24"/>
      <c r="GD299" s="24"/>
      <c r="GE299" s="24"/>
      <c r="GF299" s="24"/>
      <c r="GG299" s="24"/>
      <c r="GH299" s="24"/>
      <c r="GI299" s="24"/>
      <c r="GJ299" s="24"/>
      <c r="GK299" s="24"/>
      <c r="GL299" s="24"/>
      <c r="GM299" s="24"/>
      <c r="GN299" s="24"/>
      <c r="GO299" s="24"/>
      <c r="GP299" s="24"/>
      <c r="GQ299" s="24"/>
      <c r="GR299" s="24"/>
    </row>
    <row r="300" spans="1:200" s="23" customFormat="1" ht="14.25" customHeight="1">
      <c r="A300" s="20"/>
      <c r="B300" s="21"/>
      <c r="C300" s="22"/>
      <c r="D300" s="22"/>
      <c r="E300" s="22"/>
      <c r="G300" s="22"/>
      <c r="H300" s="22"/>
      <c r="I300" s="22"/>
      <c r="K300" s="22"/>
      <c r="L300" s="22"/>
      <c r="M300" s="22"/>
      <c r="O300" s="22"/>
      <c r="P300" s="22"/>
      <c r="Q300" s="22"/>
      <c r="S300" s="22"/>
      <c r="T300" s="22"/>
      <c r="U300" s="22"/>
      <c r="W300" s="22"/>
      <c r="X300" s="22"/>
      <c r="Y300" s="22"/>
      <c r="AA300" s="22"/>
      <c r="AB300" s="22"/>
      <c r="AC300" s="22"/>
      <c r="AE300" s="24"/>
      <c r="AF300" s="24"/>
      <c r="AG300" s="24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6"/>
      <c r="AW300" s="24"/>
      <c r="AX300" s="20"/>
      <c r="AY300" s="21"/>
      <c r="AZ300" s="22"/>
      <c r="BA300" s="22"/>
      <c r="BB300" s="22"/>
      <c r="BD300" s="22"/>
      <c r="BE300" s="22"/>
      <c r="BF300" s="22"/>
      <c r="BH300" s="22"/>
      <c r="BI300" s="22"/>
      <c r="BJ300" s="22"/>
      <c r="BL300" s="22"/>
      <c r="BM300" s="22"/>
      <c r="BN300" s="22"/>
      <c r="BP300" s="22"/>
      <c r="BQ300" s="22"/>
      <c r="BR300" s="22"/>
      <c r="BT300" s="22"/>
      <c r="BU300" s="22"/>
      <c r="BV300" s="22"/>
      <c r="BX300" s="22"/>
      <c r="BY300" s="22"/>
      <c r="BZ300" s="22"/>
      <c r="CB300" s="24"/>
      <c r="CC300" s="24"/>
      <c r="CD300" s="24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6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  <c r="FZ300" s="24"/>
      <c r="GA300" s="24"/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24"/>
      <c r="GQ300" s="24"/>
      <c r="GR300" s="24"/>
    </row>
    <row r="301" spans="1:200" s="23" customFormat="1" ht="14.25" customHeight="1">
      <c r="A301" s="20"/>
      <c r="B301" s="21"/>
      <c r="C301" s="22"/>
      <c r="D301" s="22"/>
      <c r="E301" s="22"/>
      <c r="G301" s="22"/>
      <c r="H301" s="22"/>
      <c r="I301" s="22"/>
      <c r="K301" s="22"/>
      <c r="L301" s="22"/>
      <c r="M301" s="22"/>
      <c r="O301" s="22"/>
      <c r="P301" s="22"/>
      <c r="Q301" s="22"/>
      <c r="S301" s="22"/>
      <c r="T301" s="22"/>
      <c r="U301" s="22"/>
      <c r="W301" s="22"/>
      <c r="X301" s="22"/>
      <c r="Y301" s="22"/>
      <c r="AA301" s="22"/>
      <c r="AB301" s="22"/>
      <c r="AC301" s="22"/>
      <c r="AE301" s="24"/>
      <c r="AF301" s="24"/>
      <c r="AG301" s="24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6"/>
      <c r="AW301" s="24"/>
      <c r="AX301" s="20"/>
      <c r="AY301" s="21"/>
      <c r="AZ301" s="22"/>
      <c r="BA301" s="22"/>
      <c r="BB301" s="22"/>
      <c r="BD301" s="22"/>
      <c r="BE301" s="22"/>
      <c r="BF301" s="22"/>
      <c r="BH301" s="22"/>
      <c r="BI301" s="22"/>
      <c r="BJ301" s="22"/>
      <c r="BL301" s="22"/>
      <c r="BM301" s="22"/>
      <c r="BN301" s="22"/>
      <c r="BP301" s="22"/>
      <c r="BQ301" s="22"/>
      <c r="BR301" s="22"/>
      <c r="BT301" s="22"/>
      <c r="BU301" s="22"/>
      <c r="BV301" s="22"/>
      <c r="BX301" s="22"/>
      <c r="BY301" s="22"/>
      <c r="BZ301" s="22"/>
      <c r="CB301" s="24"/>
      <c r="CC301" s="24"/>
      <c r="CD301" s="24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6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4"/>
      <c r="GJ301" s="24"/>
      <c r="GK301" s="24"/>
      <c r="GL301" s="24"/>
      <c r="GM301" s="24"/>
      <c r="GN301" s="24"/>
      <c r="GO301" s="24"/>
      <c r="GP301" s="24"/>
      <c r="GQ301" s="24"/>
      <c r="GR301" s="24"/>
    </row>
    <row r="302" spans="1:200" s="23" customFormat="1" ht="14.25" customHeight="1">
      <c r="A302" s="20"/>
      <c r="B302" s="21"/>
      <c r="C302" s="22"/>
      <c r="D302" s="22"/>
      <c r="E302" s="22"/>
      <c r="G302" s="22"/>
      <c r="H302" s="22"/>
      <c r="I302" s="22"/>
      <c r="K302" s="22"/>
      <c r="L302" s="22"/>
      <c r="M302" s="22"/>
      <c r="O302" s="22"/>
      <c r="P302" s="22"/>
      <c r="Q302" s="22"/>
      <c r="S302" s="22"/>
      <c r="T302" s="22"/>
      <c r="U302" s="22"/>
      <c r="W302" s="22"/>
      <c r="X302" s="22"/>
      <c r="Y302" s="22"/>
      <c r="AA302" s="22"/>
      <c r="AB302" s="22"/>
      <c r="AC302" s="22"/>
      <c r="AE302" s="24"/>
      <c r="AF302" s="24"/>
      <c r="AG302" s="24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6"/>
      <c r="AW302" s="24"/>
      <c r="AX302" s="20"/>
      <c r="AY302" s="21"/>
      <c r="AZ302" s="22"/>
      <c r="BA302" s="22"/>
      <c r="BB302" s="22"/>
      <c r="BD302" s="22"/>
      <c r="BE302" s="22"/>
      <c r="BF302" s="22"/>
      <c r="BH302" s="22"/>
      <c r="BI302" s="22"/>
      <c r="BJ302" s="22"/>
      <c r="BL302" s="22"/>
      <c r="BM302" s="22"/>
      <c r="BN302" s="22"/>
      <c r="BP302" s="22"/>
      <c r="BQ302" s="22"/>
      <c r="BR302" s="22"/>
      <c r="BT302" s="22"/>
      <c r="BU302" s="22"/>
      <c r="BV302" s="22"/>
      <c r="BX302" s="22"/>
      <c r="BY302" s="22"/>
      <c r="BZ302" s="22"/>
      <c r="CB302" s="24"/>
      <c r="CC302" s="24"/>
      <c r="CD302" s="24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6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/>
      <c r="GK302" s="24"/>
      <c r="GL302" s="24"/>
      <c r="GM302" s="24"/>
      <c r="GN302" s="24"/>
      <c r="GO302" s="24"/>
      <c r="GP302" s="24"/>
      <c r="GQ302" s="24"/>
      <c r="GR302" s="24"/>
    </row>
    <row r="303" spans="1:200" s="23" customFormat="1" ht="14.25" customHeight="1">
      <c r="A303" s="20"/>
      <c r="B303" s="21"/>
      <c r="C303" s="22"/>
      <c r="D303" s="22"/>
      <c r="E303" s="22"/>
      <c r="G303" s="22"/>
      <c r="H303" s="22"/>
      <c r="I303" s="22"/>
      <c r="K303" s="22"/>
      <c r="L303" s="22"/>
      <c r="M303" s="22"/>
      <c r="O303" s="22"/>
      <c r="P303" s="22"/>
      <c r="Q303" s="22"/>
      <c r="S303" s="22"/>
      <c r="T303" s="22"/>
      <c r="U303" s="22"/>
      <c r="W303" s="22"/>
      <c r="X303" s="22"/>
      <c r="Y303" s="22"/>
      <c r="AA303" s="22"/>
      <c r="AB303" s="22"/>
      <c r="AC303" s="22"/>
      <c r="AE303" s="24"/>
      <c r="AF303" s="24"/>
      <c r="AG303" s="24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6"/>
      <c r="AW303" s="24"/>
      <c r="AX303" s="20"/>
      <c r="AY303" s="21"/>
      <c r="AZ303" s="22"/>
      <c r="BA303" s="22"/>
      <c r="BB303" s="22"/>
      <c r="BD303" s="22"/>
      <c r="BE303" s="22"/>
      <c r="BF303" s="22"/>
      <c r="BH303" s="22"/>
      <c r="BI303" s="22"/>
      <c r="BJ303" s="22"/>
      <c r="BL303" s="22"/>
      <c r="BM303" s="22"/>
      <c r="BN303" s="22"/>
      <c r="BP303" s="22"/>
      <c r="BQ303" s="22"/>
      <c r="BR303" s="22"/>
      <c r="BT303" s="22"/>
      <c r="BU303" s="22"/>
      <c r="BV303" s="22"/>
      <c r="BX303" s="22"/>
      <c r="BY303" s="22"/>
      <c r="BZ303" s="22"/>
      <c r="CB303" s="24"/>
      <c r="CC303" s="24"/>
      <c r="CD303" s="24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6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24"/>
      <c r="GQ303" s="24"/>
      <c r="GR303" s="24"/>
    </row>
    <row r="304" spans="1:200" s="23" customFormat="1" ht="14.25" customHeight="1">
      <c r="A304" s="20"/>
      <c r="B304" s="21"/>
      <c r="C304" s="22"/>
      <c r="D304" s="22"/>
      <c r="E304" s="22"/>
      <c r="G304" s="22"/>
      <c r="H304" s="22"/>
      <c r="I304" s="22"/>
      <c r="K304" s="22"/>
      <c r="L304" s="22"/>
      <c r="M304" s="22"/>
      <c r="O304" s="22"/>
      <c r="P304" s="22"/>
      <c r="Q304" s="22"/>
      <c r="S304" s="22"/>
      <c r="T304" s="22"/>
      <c r="U304" s="22"/>
      <c r="W304" s="22"/>
      <c r="X304" s="22"/>
      <c r="Y304" s="22"/>
      <c r="AA304" s="22"/>
      <c r="AB304" s="22"/>
      <c r="AC304" s="22"/>
      <c r="AE304" s="24"/>
      <c r="AF304" s="24"/>
      <c r="AG304" s="24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6"/>
      <c r="AW304" s="24"/>
      <c r="AX304" s="20"/>
      <c r="AY304" s="21"/>
      <c r="AZ304" s="22"/>
      <c r="BA304" s="22"/>
      <c r="BB304" s="22"/>
      <c r="BD304" s="22"/>
      <c r="BE304" s="22"/>
      <c r="BF304" s="22"/>
      <c r="BH304" s="22"/>
      <c r="BI304" s="22"/>
      <c r="BJ304" s="22"/>
      <c r="BL304" s="22"/>
      <c r="BM304" s="22"/>
      <c r="BN304" s="22"/>
      <c r="BP304" s="22"/>
      <c r="BQ304" s="22"/>
      <c r="BR304" s="22"/>
      <c r="BT304" s="22"/>
      <c r="BU304" s="22"/>
      <c r="BV304" s="22"/>
      <c r="BX304" s="22"/>
      <c r="BY304" s="22"/>
      <c r="BZ304" s="22"/>
      <c r="CB304" s="24"/>
      <c r="CC304" s="24"/>
      <c r="CD304" s="24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6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24"/>
      <c r="GQ304" s="24"/>
      <c r="GR304" s="24"/>
    </row>
    <row r="305" spans="1:200" s="23" customFormat="1" ht="14.25" customHeight="1">
      <c r="A305" s="20"/>
      <c r="B305" s="21"/>
      <c r="C305" s="22"/>
      <c r="D305" s="22"/>
      <c r="E305" s="22"/>
      <c r="G305" s="22"/>
      <c r="H305" s="22"/>
      <c r="I305" s="22"/>
      <c r="K305" s="22"/>
      <c r="L305" s="22"/>
      <c r="M305" s="22"/>
      <c r="O305" s="22"/>
      <c r="P305" s="22"/>
      <c r="Q305" s="22"/>
      <c r="S305" s="22"/>
      <c r="T305" s="22"/>
      <c r="U305" s="22"/>
      <c r="W305" s="22"/>
      <c r="X305" s="22"/>
      <c r="Y305" s="22"/>
      <c r="AA305" s="22"/>
      <c r="AB305" s="22"/>
      <c r="AC305" s="22"/>
      <c r="AE305" s="24"/>
      <c r="AF305" s="24"/>
      <c r="AG305" s="24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6"/>
      <c r="AW305" s="24"/>
      <c r="AX305" s="20"/>
      <c r="AY305" s="21"/>
      <c r="AZ305" s="22"/>
      <c r="BA305" s="22"/>
      <c r="BB305" s="22"/>
      <c r="BD305" s="22"/>
      <c r="BE305" s="22"/>
      <c r="BF305" s="22"/>
      <c r="BH305" s="22"/>
      <c r="BI305" s="22"/>
      <c r="BJ305" s="22"/>
      <c r="BL305" s="22"/>
      <c r="BM305" s="22"/>
      <c r="BN305" s="22"/>
      <c r="BP305" s="22"/>
      <c r="BQ305" s="22"/>
      <c r="BR305" s="22"/>
      <c r="BT305" s="22"/>
      <c r="BU305" s="22"/>
      <c r="BV305" s="22"/>
      <c r="BX305" s="22"/>
      <c r="BY305" s="22"/>
      <c r="BZ305" s="22"/>
      <c r="CB305" s="24"/>
      <c r="CC305" s="24"/>
      <c r="CD305" s="24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6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/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24"/>
      <c r="GQ305" s="24"/>
      <c r="GR305" s="24"/>
    </row>
    <row r="306" spans="1:200" s="23" customFormat="1" ht="14.25" customHeight="1">
      <c r="A306" s="20"/>
      <c r="B306" s="21"/>
      <c r="C306" s="22"/>
      <c r="D306" s="22"/>
      <c r="E306" s="22"/>
      <c r="G306" s="22"/>
      <c r="H306" s="22"/>
      <c r="I306" s="22"/>
      <c r="K306" s="22"/>
      <c r="L306" s="22"/>
      <c r="M306" s="22"/>
      <c r="O306" s="22"/>
      <c r="P306" s="22"/>
      <c r="Q306" s="22"/>
      <c r="S306" s="22"/>
      <c r="T306" s="22"/>
      <c r="U306" s="22"/>
      <c r="W306" s="22"/>
      <c r="X306" s="22"/>
      <c r="Y306" s="22"/>
      <c r="AA306" s="22"/>
      <c r="AB306" s="22"/>
      <c r="AC306" s="22"/>
      <c r="AE306" s="24"/>
      <c r="AF306" s="24"/>
      <c r="AG306" s="24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6"/>
      <c r="AW306" s="24"/>
      <c r="AX306" s="20"/>
      <c r="AY306" s="21"/>
      <c r="AZ306" s="22"/>
      <c r="BA306" s="22"/>
      <c r="BB306" s="22"/>
      <c r="BD306" s="22"/>
      <c r="BE306" s="22"/>
      <c r="BF306" s="22"/>
      <c r="BH306" s="22"/>
      <c r="BI306" s="22"/>
      <c r="BJ306" s="22"/>
      <c r="BL306" s="22"/>
      <c r="BM306" s="22"/>
      <c r="BN306" s="22"/>
      <c r="BP306" s="22"/>
      <c r="BQ306" s="22"/>
      <c r="BR306" s="22"/>
      <c r="BT306" s="22"/>
      <c r="BU306" s="22"/>
      <c r="BV306" s="22"/>
      <c r="BX306" s="22"/>
      <c r="BY306" s="22"/>
      <c r="BZ306" s="22"/>
      <c r="CB306" s="24"/>
      <c r="CC306" s="24"/>
      <c r="CD306" s="24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6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/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24"/>
      <c r="GQ306" s="24"/>
      <c r="GR306" s="24"/>
    </row>
    <row r="307" spans="1:200" s="23" customFormat="1" ht="14.25" customHeight="1">
      <c r="A307" s="20"/>
      <c r="B307" s="21"/>
      <c r="C307" s="22"/>
      <c r="D307" s="22"/>
      <c r="E307" s="22"/>
      <c r="G307" s="22"/>
      <c r="H307" s="22"/>
      <c r="I307" s="22"/>
      <c r="K307" s="22"/>
      <c r="L307" s="22"/>
      <c r="M307" s="22"/>
      <c r="O307" s="22"/>
      <c r="P307" s="22"/>
      <c r="Q307" s="22"/>
      <c r="S307" s="22"/>
      <c r="T307" s="22"/>
      <c r="U307" s="22"/>
      <c r="W307" s="22"/>
      <c r="X307" s="22"/>
      <c r="Y307" s="22"/>
      <c r="AA307" s="22"/>
      <c r="AB307" s="22"/>
      <c r="AC307" s="22"/>
      <c r="AE307" s="24"/>
      <c r="AF307" s="24"/>
      <c r="AG307" s="24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6"/>
      <c r="AW307" s="24"/>
      <c r="AX307" s="20"/>
      <c r="AY307" s="21"/>
      <c r="AZ307" s="22"/>
      <c r="BA307" s="22"/>
      <c r="BB307" s="22"/>
      <c r="BD307" s="22"/>
      <c r="BE307" s="22"/>
      <c r="BF307" s="22"/>
      <c r="BH307" s="22"/>
      <c r="BI307" s="22"/>
      <c r="BJ307" s="22"/>
      <c r="BL307" s="22"/>
      <c r="BM307" s="22"/>
      <c r="BN307" s="22"/>
      <c r="BP307" s="22"/>
      <c r="BQ307" s="22"/>
      <c r="BR307" s="22"/>
      <c r="BT307" s="22"/>
      <c r="BU307" s="22"/>
      <c r="BV307" s="22"/>
      <c r="BX307" s="22"/>
      <c r="BY307" s="22"/>
      <c r="BZ307" s="22"/>
      <c r="CB307" s="24"/>
      <c r="CC307" s="24"/>
      <c r="CD307" s="24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6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24"/>
      <c r="GQ307" s="24"/>
      <c r="GR307" s="24"/>
    </row>
    <row r="308" spans="1:200" s="23" customFormat="1" ht="14.25" customHeight="1">
      <c r="A308" s="20"/>
      <c r="B308" s="21"/>
      <c r="C308" s="22"/>
      <c r="D308" s="22"/>
      <c r="E308" s="22"/>
      <c r="G308" s="22"/>
      <c r="H308" s="22"/>
      <c r="I308" s="22"/>
      <c r="K308" s="22"/>
      <c r="L308" s="22"/>
      <c r="M308" s="22"/>
      <c r="O308" s="22"/>
      <c r="P308" s="22"/>
      <c r="Q308" s="22"/>
      <c r="S308" s="22"/>
      <c r="T308" s="22"/>
      <c r="U308" s="22"/>
      <c r="W308" s="22"/>
      <c r="X308" s="22"/>
      <c r="Y308" s="22"/>
      <c r="AA308" s="22"/>
      <c r="AB308" s="22"/>
      <c r="AC308" s="22"/>
      <c r="AE308" s="24"/>
      <c r="AF308" s="24"/>
      <c r="AG308" s="24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6"/>
      <c r="AW308" s="24"/>
      <c r="AX308" s="20"/>
      <c r="AY308" s="21"/>
      <c r="AZ308" s="22"/>
      <c r="BA308" s="22"/>
      <c r="BB308" s="22"/>
      <c r="BD308" s="22"/>
      <c r="BE308" s="22"/>
      <c r="BF308" s="22"/>
      <c r="BH308" s="22"/>
      <c r="BI308" s="22"/>
      <c r="BJ308" s="22"/>
      <c r="BL308" s="22"/>
      <c r="BM308" s="22"/>
      <c r="BN308" s="22"/>
      <c r="BP308" s="22"/>
      <c r="BQ308" s="22"/>
      <c r="BR308" s="22"/>
      <c r="BT308" s="22"/>
      <c r="BU308" s="22"/>
      <c r="BV308" s="22"/>
      <c r="BX308" s="22"/>
      <c r="BY308" s="22"/>
      <c r="BZ308" s="22"/>
      <c r="CB308" s="24"/>
      <c r="CC308" s="24"/>
      <c r="CD308" s="24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6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24"/>
      <c r="GQ308" s="24"/>
      <c r="GR308" s="24"/>
    </row>
    <row r="309" spans="1:200" s="23" customFormat="1" ht="14.25" customHeight="1">
      <c r="A309" s="20"/>
      <c r="B309" s="21"/>
      <c r="C309" s="22"/>
      <c r="D309" s="22"/>
      <c r="E309" s="22"/>
      <c r="G309" s="22"/>
      <c r="H309" s="22"/>
      <c r="I309" s="22"/>
      <c r="K309" s="22"/>
      <c r="L309" s="22"/>
      <c r="M309" s="22"/>
      <c r="O309" s="22"/>
      <c r="P309" s="22"/>
      <c r="Q309" s="22"/>
      <c r="S309" s="22"/>
      <c r="T309" s="22"/>
      <c r="U309" s="22"/>
      <c r="W309" s="22"/>
      <c r="X309" s="22"/>
      <c r="Y309" s="22"/>
      <c r="AA309" s="22"/>
      <c r="AB309" s="22"/>
      <c r="AC309" s="22"/>
      <c r="AE309" s="24"/>
      <c r="AF309" s="24"/>
      <c r="AG309" s="24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6"/>
      <c r="AW309" s="24"/>
      <c r="AX309" s="20"/>
      <c r="AY309" s="21"/>
      <c r="AZ309" s="22"/>
      <c r="BA309" s="22"/>
      <c r="BB309" s="22"/>
      <c r="BD309" s="22"/>
      <c r="BE309" s="22"/>
      <c r="BF309" s="22"/>
      <c r="BH309" s="22"/>
      <c r="BI309" s="22"/>
      <c r="BJ309" s="22"/>
      <c r="BL309" s="22"/>
      <c r="BM309" s="22"/>
      <c r="BN309" s="22"/>
      <c r="BP309" s="22"/>
      <c r="BQ309" s="22"/>
      <c r="BR309" s="22"/>
      <c r="BT309" s="22"/>
      <c r="BU309" s="22"/>
      <c r="BV309" s="22"/>
      <c r="BX309" s="22"/>
      <c r="BY309" s="22"/>
      <c r="BZ309" s="22"/>
      <c r="CB309" s="24"/>
      <c r="CC309" s="24"/>
      <c r="CD309" s="24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6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/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24"/>
      <c r="GQ309" s="24"/>
      <c r="GR309" s="24"/>
    </row>
    <row r="310" spans="1:200" s="23" customFormat="1" ht="14.25" customHeight="1">
      <c r="A310" s="20"/>
      <c r="B310" s="21"/>
      <c r="C310" s="22"/>
      <c r="D310" s="22"/>
      <c r="E310" s="22"/>
      <c r="G310" s="22"/>
      <c r="H310" s="22"/>
      <c r="I310" s="22"/>
      <c r="K310" s="22"/>
      <c r="L310" s="22"/>
      <c r="M310" s="22"/>
      <c r="O310" s="22"/>
      <c r="P310" s="22"/>
      <c r="Q310" s="22"/>
      <c r="S310" s="22"/>
      <c r="T310" s="22"/>
      <c r="U310" s="22"/>
      <c r="W310" s="22"/>
      <c r="X310" s="22"/>
      <c r="Y310" s="22"/>
      <c r="AA310" s="22"/>
      <c r="AB310" s="22"/>
      <c r="AC310" s="22"/>
      <c r="AE310" s="24"/>
      <c r="AF310" s="24"/>
      <c r="AG310" s="24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6"/>
      <c r="AW310" s="24"/>
      <c r="AX310" s="20"/>
      <c r="AY310" s="21"/>
      <c r="AZ310" s="22"/>
      <c r="BA310" s="22"/>
      <c r="BB310" s="22"/>
      <c r="BD310" s="22"/>
      <c r="BE310" s="22"/>
      <c r="BF310" s="22"/>
      <c r="BH310" s="22"/>
      <c r="BI310" s="22"/>
      <c r="BJ310" s="22"/>
      <c r="BL310" s="22"/>
      <c r="BM310" s="22"/>
      <c r="BN310" s="22"/>
      <c r="BP310" s="22"/>
      <c r="BQ310" s="22"/>
      <c r="BR310" s="22"/>
      <c r="BT310" s="22"/>
      <c r="BU310" s="22"/>
      <c r="BV310" s="22"/>
      <c r="BX310" s="22"/>
      <c r="BY310" s="22"/>
      <c r="BZ310" s="22"/>
      <c r="CB310" s="24"/>
      <c r="CC310" s="24"/>
      <c r="CD310" s="24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6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24"/>
      <c r="GQ310" s="24"/>
      <c r="GR310" s="24"/>
    </row>
    <row r="311" spans="1:200" s="23" customFormat="1" ht="14.25" customHeight="1">
      <c r="A311" s="20"/>
      <c r="B311" s="21"/>
      <c r="C311" s="22"/>
      <c r="D311" s="22"/>
      <c r="E311" s="22"/>
      <c r="G311" s="22"/>
      <c r="H311" s="22"/>
      <c r="I311" s="22"/>
      <c r="K311" s="22"/>
      <c r="L311" s="22"/>
      <c r="M311" s="22"/>
      <c r="O311" s="22"/>
      <c r="P311" s="22"/>
      <c r="Q311" s="22"/>
      <c r="S311" s="22"/>
      <c r="T311" s="22"/>
      <c r="U311" s="22"/>
      <c r="W311" s="22"/>
      <c r="X311" s="22"/>
      <c r="Y311" s="22"/>
      <c r="AA311" s="22"/>
      <c r="AB311" s="22"/>
      <c r="AC311" s="22"/>
      <c r="AE311" s="24"/>
      <c r="AF311" s="24"/>
      <c r="AG311" s="24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6"/>
      <c r="AW311" s="24"/>
      <c r="AX311" s="20"/>
      <c r="AY311" s="21"/>
      <c r="AZ311" s="22"/>
      <c r="BA311" s="22"/>
      <c r="BB311" s="22"/>
      <c r="BD311" s="22"/>
      <c r="BE311" s="22"/>
      <c r="BF311" s="22"/>
      <c r="BH311" s="22"/>
      <c r="BI311" s="22"/>
      <c r="BJ311" s="22"/>
      <c r="BL311" s="22"/>
      <c r="BM311" s="22"/>
      <c r="BN311" s="22"/>
      <c r="BP311" s="22"/>
      <c r="BQ311" s="22"/>
      <c r="BR311" s="22"/>
      <c r="BT311" s="22"/>
      <c r="BU311" s="22"/>
      <c r="BV311" s="22"/>
      <c r="BX311" s="22"/>
      <c r="BY311" s="22"/>
      <c r="BZ311" s="22"/>
      <c r="CB311" s="24"/>
      <c r="CC311" s="24"/>
      <c r="CD311" s="24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6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24"/>
      <c r="GQ311" s="24"/>
      <c r="GR311" s="24"/>
    </row>
    <row r="312" spans="1:200" s="23" customFormat="1" ht="14.25" customHeight="1">
      <c r="A312" s="20"/>
      <c r="B312" s="21"/>
      <c r="C312" s="22"/>
      <c r="D312" s="22"/>
      <c r="E312" s="22"/>
      <c r="G312" s="22"/>
      <c r="H312" s="22"/>
      <c r="I312" s="22"/>
      <c r="K312" s="22"/>
      <c r="L312" s="22"/>
      <c r="M312" s="22"/>
      <c r="O312" s="22"/>
      <c r="P312" s="22"/>
      <c r="Q312" s="22"/>
      <c r="S312" s="22"/>
      <c r="T312" s="22"/>
      <c r="U312" s="22"/>
      <c r="W312" s="22"/>
      <c r="X312" s="22"/>
      <c r="Y312" s="22"/>
      <c r="AA312" s="22"/>
      <c r="AB312" s="22"/>
      <c r="AC312" s="22"/>
      <c r="AE312" s="24"/>
      <c r="AF312" s="24"/>
      <c r="AG312" s="24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6"/>
      <c r="AW312" s="24"/>
      <c r="AX312" s="20"/>
      <c r="AY312" s="21"/>
      <c r="AZ312" s="22"/>
      <c r="BA312" s="22"/>
      <c r="BB312" s="22"/>
      <c r="BD312" s="22"/>
      <c r="BE312" s="22"/>
      <c r="BF312" s="22"/>
      <c r="BH312" s="22"/>
      <c r="BI312" s="22"/>
      <c r="BJ312" s="22"/>
      <c r="BL312" s="22"/>
      <c r="BM312" s="22"/>
      <c r="BN312" s="22"/>
      <c r="BP312" s="22"/>
      <c r="BQ312" s="22"/>
      <c r="BR312" s="22"/>
      <c r="BT312" s="22"/>
      <c r="BU312" s="22"/>
      <c r="BV312" s="22"/>
      <c r="BX312" s="22"/>
      <c r="BY312" s="22"/>
      <c r="BZ312" s="22"/>
      <c r="CB312" s="24"/>
      <c r="CC312" s="24"/>
      <c r="CD312" s="24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6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/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24"/>
      <c r="GQ312" s="24"/>
      <c r="GR312" s="24"/>
    </row>
    <row r="313" spans="1:200" s="23" customFormat="1" ht="14.25" customHeight="1">
      <c r="A313" s="20"/>
      <c r="B313" s="21"/>
      <c r="C313" s="22"/>
      <c r="D313" s="22"/>
      <c r="E313" s="22"/>
      <c r="G313" s="22"/>
      <c r="H313" s="22"/>
      <c r="I313" s="22"/>
      <c r="K313" s="22"/>
      <c r="L313" s="22"/>
      <c r="M313" s="22"/>
      <c r="O313" s="22"/>
      <c r="P313" s="22"/>
      <c r="Q313" s="22"/>
      <c r="S313" s="22"/>
      <c r="T313" s="22"/>
      <c r="U313" s="22"/>
      <c r="W313" s="22"/>
      <c r="X313" s="22"/>
      <c r="Y313" s="22"/>
      <c r="AA313" s="22"/>
      <c r="AB313" s="22"/>
      <c r="AC313" s="22"/>
      <c r="AE313" s="24"/>
      <c r="AF313" s="24"/>
      <c r="AG313" s="24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6"/>
      <c r="AW313" s="24"/>
      <c r="AX313" s="20"/>
      <c r="AY313" s="21"/>
      <c r="AZ313" s="22"/>
      <c r="BA313" s="22"/>
      <c r="BB313" s="22"/>
      <c r="BD313" s="22"/>
      <c r="BE313" s="22"/>
      <c r="BF313" s="22"/>
      <c r="BH313" s="22"/>
      <c r="BI313" s="22"/>
      <c r="BJ313" s="22"/>
      <c r="BL313" s="22"/>
      <c r="BM313" s="22"/>
      <c r="BN313" s="22"/>
      <c r="BP313" s="22"/>
      <c r="BQ313" s="22"/>
      <c r="BR313" s="22"/>
      <c r="BT313" s="22"/>
      <c r="BU313" s="22"/>
      <c r="BV313" s="22"/>
      <c r="BX313" s="22"/>
      <c r="BY313" s="22"/>
      <c r="BZ313" s="22"/>
      <c r="CB313" s="24"/>
      <c r="CC313" s="24"/>
      <c r="CD313" s="24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6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24"/>
      <c r="GQ313" s="24"/>
      <c r="GR313" s="24"/>
    </row>
    <row r="314" spans="1:200" s="23" customFormat="1" ht="14.25" customHeight="1">
      <c r="A314" s="20"/>
      <c r="B314" s="21"/>
      <c r="C314" s="22"/>
      <c r="D314" s="22"/>
      <c r="E314" s="22"/>
      <c r="G314" s="22"/>
      <c r="H314" s="22"/>
      <c r="I314" s="22"/>
      <c r="K314" s="22"/>
      <c r="L314" s="22"/>
      <c r="M314" s="22"/>
      <c r="O314" s="22"/>
      <c r="P314" s="22"/>
      <c r="Q314" s="22"/>
      <c r="S314" s="22"/>
      <c r="T314" s="22"/>
      <c r="U314" s="22"/>
      <c r="W314" s="22"/>
      <c r="X314" s="22"/>
      <c r="Y314" s="22"/>
      <c r="AA314" s="22"/>
      <c r="AB314" s="22"/>
      <c r="AC314" s="22"/>
      <c r="AE314" s="24"/>
      <c r="AF314" s="24"/>
      <c r="AG314" s="24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6"/>
      <c r="AW314" s="24"/>
      <c r="AX314" s="20"/>
      <c r="AY314" s="21"/>
      <c r="AZ314" s="22"/>
      <c r="BA314" s="22"/>
      <c r="BB314" s="22"/>
      <c r="BD314" s="22"/>
      <c r="BE314" s="22"/>
      <c r="BF314" s="22"/>
      <c r="BH314" s="22"/>
      <c r="BI314" s="22"/>
      <c r="BJ314" s="22"/>
      <c r="BL314" s="22"/>
      <c r="BM314" s="22"/>
      <c r="BN314" s="22"/>
      <c r="BP314" s="22"/>
      <c r="BQ314" s="22"/>
      <c r="BR314" s="22"/>
      <c r="BT314" s="22"/>
      <c r="BU314" s="22"/>
      <c r="BV314" s="22"/>
      <c r="BX314" s="22"/>
      <c r="BY314" s="22"/>
      <c r="BZ314" s="22"/>
      <c r="CB314" s="24"/>
      <c r="CC314" s="24"/>
      <c r="CD314" s="24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6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24"/>
      <c r="GQ314" s="24"/>
      <c r="GR314" s="24"/>
    </row>
    <row r="315" spans="1:200" s="23" customFormat="1" ht="14.25" customHeight="1">
      <c r="A315" s="20"/>
      <c r="B315" s="21"/>
      <c r="C315" s="22"/>
      <c r="D315" s="22"/>
      <c r="E315" s="22"/>
      <c r="G315" s="22"/>
      <c r="H315" s="22"/>
      <c r="I315" s="22"/>
      <c r="K315" s="22"/>
      <c r="L315" s="22"/>
      <c r="M315" s="22"/>
      <c r="O315" s="22"/>
      <c r="P315" s="22"/>
      <c r="Q315" s="22"/>
      <c r="S315" s="22"/>
      <c r="T315" s="22"/>
      <c r="U315" s="22"/>
      <c r="W315" s="22"/>
      <c r="X315" s="22"/>
      <c r="Y315" s="22"/>
      <c r="AA315" s="22"/>
      <c r="AB315" s="22"/>
      <c r="AC315" s="22"/>
      <c r="AE315" s="24"/>
      <c r="AF315" s="24"/>
      <c r="AG315" s="24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6"/>
      <c r="AW315" s="24"/>
      <c r="AX315" s="20"/>
      <c r="AY315" s="21"/>
      <c r="AZ315" s="22"/>
      <c r="BA315" s="22"/>
      <c r="BB315" s="22"/>
      <c r="BD315" s="22"/>
      <c r="BE315" s="22"/>
      <c r="BF315" s="22"/>
      <c r="BH315" s="22"/>
      <c r="BI315" s="22"/>
      <c r="BJ315" s="22"/>
      <c r="BL315" s="22"/>
      <c r="BM315" s="22"/>
      <c r="BN315" s="22"/>
      <c r="BP315" s="22"/>
      <c r="BQ315" s="22"/>
      <c r="BR315" s="22"/>
      <c r="BT315" s="22"/>
      <c r="BU315" s="22"/>
      <c r="BV315" s="22"/>
      <c r="BX315" s="22"/>
      <c r="BY315" s="22"/>
      <c r="BZ315" s="22"/>
      <c r="CB315" s="24"/>
      <c r="CC315" s="24"/>
      <c r="CD315" s="24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6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24"/>
      <c r="GQ315" s="24"/>
      <c r="GR315" s="24"/>
    </row>
    <row r="316" spans="1:200" s="23" customFormat="1" ht="14.25" customHeight="1">
      <c r="A316" s="20"/>
      <c r="B316" s="21"/>
      <c r="C316" s="22"/>
      <c r="D316" s="22"/>
      <c r="E316" s="22"/>
      <c r="G316" s="22"/>
      <c r="H316" s="22"/>
      <c r="I316" s="22"/>
      <c r="K316" s="22"/>
      <c r="L316" s="22"/>
      <c r="M316" s="22"/>
      <c r="O316" s="22"/>
      <c r="P316" s="22"/>
      <c r="Q316" s="22"/>
      <c r="S316" s="22"/>
      <c r="T316" s="22"/>
      <c r="U316" s="22"/>
      <c r="W316" s="22"/>
      <c r="X316" s="22"/>
      <c r="Y316" s="22"/>
      <c r="AA316" s="22"/>
      <c r="AB316" s="22"/>
      <c r="AC316" s="22"/>
      <c r="AE316" s="24"/>
      <c r="AF316" s="24"/>
      <c r="AG316" s="24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6"/>
      <c r="AW316" s="24"/>
      <c r="AX316" s="20"/>
      <c r="AY316" s="21"/>
      <c r="AZ316" s="22"/>
      <c r="BA316" s="22"/>
      <c r="BB316" s="22"/>
      <c r="BD316" s="22"/>
      <c r="BE316" s="22"/>
      <c r="BF316" s="22"/>
      <c r="BH316" s="22"/>
      <c r="BI316" s="22"/>
      <c r="BJ316" s="22"/>
      <c r="BL316" s="22"/>
      <c r="BM316" s="22"/>
      <c r="BN316" s="22"/>
      <c r="BP316" s="22"/>
      <c r="BQ316" s="22"/>
      <c r="BR316" s="22"/>
      <c r="BT316" s="22"/>
      <c r="BU316" s="22"/>
      <c r="BV316" s="22"/>
      <c r="BX316" s="22"/>
      <c r="BY316" s="22"/>
      <c r="BZ316" s="22"/>
      <c r="CB316" s="24"/>
      <c r="CC316" s="24"/>
      <c r="CD316" s="24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6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  <c r="FZ316" s="24"/>
      <c r="GA316" s="24"/>
      <c r="GB316" s="24"/>
      <c r="GC316" s="24"/>
      <c r="GD316" s="24"/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24"/>
      <c r="GQ316" s="24"/>
      <c r="GR316" s="24"/>
    </row>
    <row r="317" spans="1:200" s="23" customFormat="1" ht="14.25" customHeight="1">
      <c r="A317" s="20"/>
      <c r="B317" s="21"/>
      <c r="C317" s="22"/>
      <c r="D317" s="22"/>
      <c r="E317" s="22"/>
      <c r="G317" s="22"/>
      <c r="H317" s="22"/>
      <c r="I317" s="22"/>
      <c r="K317" s="22"/>
      <c r="L317" s="22"/>
      <c r="M317" s="22"/>
      <c r="O317" s="22"/>
      <c r="P317" s="22"/>
      <c r="Q317" s="22"/>
      <c r="S317" s="22"/>
      <c r="T317" s="22"/>
      <c r="U317" s="22"/>
      <c r="W317" s="22"/>
      <c r="X317" s="22"/>
      <c r="Y317" s="22"/>
      <c r="AA317" s="22"/>
      <c r="AB317" s="22"/>
      <c r="AC317" s="22"/>
      <c r="AE317" s="24"/>
      <c r="AF317" s="24"/>
      <c r="AG317" s="24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6"/>
      <c r="AW317" s="24"/>
      <c r="AX317" s="20"/>
      <c r="AY317" s="21"/>
      <c r="AZ317" s="22"/>
      <c r="BA317" s="22"/>
      <c r="BB317" s="22"/>
      <c r="BD317" s="22"/>
      <c r="BE317" s="22"/>
      <c r="BF317" s="22"/>
      <c r="BH317" s="22"/>
      <c r="BI317" s="22"/>
      <c r="BJ317" s="22"/>
      <c r="BL317" s="22"/>
      <c r="BM317" s="22"/>
      <c r="BN317" s="22"/>
      <c r="BP317" s="22"/>
      <c r="BQ317" s="22"/>
      <c r="BR317" s="22"/>
      <c r="BT317" s="22"/>
      <c r="BU317" s="22"/>
      <c r="BV317" s="22"/>
      <c r="BX317" s="22"/>
      <c r="BY317" s="22"/>
      <c r="BZ317" s="22"/>
      <c r="CB317" s="24"/>
      <c r="CC317" s="24"/>
      <c r="CD317" s="24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6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/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4"/>
      <c r="GQ317" s="24"/>
      <c r="GR317" s="24"/>
    </row>
    <row r="318" spans="1:200" s="23" customFormat="1" ht="14.25" customHeight="1">
      <c r="A318" s="20"/>
      <c r="B318" s="21"/>
      <c r="C318" s="22"/>
      <c r="D318" s="22"/>
      <c r="E318" s="22"/>
      <c r="G318" s="22"/>
      <c r="H318" s="22"/>
      <c r="I318" s="22"/>
      <c r="K318" s="22"/>
      <c r="L318" s="22"/>
      <c r="M318" s="22"/>
      <c r="O318" s="22"/>
      <c r="P318" s="22"/>
      <c r="Q318" s="22"/>
      <c r="S318" s="22"/>
      <c r="T318" s="22"/>
      <c r="U318" s="22"/>
      <c r="W318" s="22"/>
      <c r="X318" s="22"/>
      <c r="Y318" s="22"/>
      <c r="AA318" s="22"/>
      <c r="AB318" s="22"/>
      <c r="AC318" s="22"/>
      <c r="AE318" s="24"/>
      <c r="AF318" s="24"/>
      <c r="AG318" s="24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6"/>
      <c r="AW318" s="24"/>
      <c r="AX318" s="20"/>
      <c r="AY318" s="21"/>
      <c r="AZ318" s="22"/>
      <c r="BA318" s="22"/>
      <c r="BB318" s="22"/>
      <c r="BD318" s="22"/>
      <c r="BE318" s="22"/>
      <c r="BF318" s="22"/>
      <c r="BH318" s="22"/>
      <c r="BI318" s="22"/>
      <c r="BJ318" s="22"/>
      <c r="BL318" s="22"/>
      <c r="BM318" s="22"/>
      <c r="BN318" s="22"/>
      <c r="BP318" s="22"/>
      <c r="BQ318" s="22"/>
      <c r="BR318" s="22"/>
      <c r="BT318" s="22"/>
      <c r="BU318" s="22"/>
      <c r="BV318" s="22"/>
      <c r="BX318" s="22"/>
      <c r="BY318" s="22"/>
      <c r="BZ318" s="22"/>
      <c r="CB318" s="24"/>
      <c r="CC318" s="24"/>
      <c r="CD318" s="24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6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24"/>
      <c r="GQ318" s="24"/>
      <c r="GR318" s="24"/>
    </row>
    <row r="319" spans="1:200" s="23" customFormat="1" ht="14.25" customHeight="1">
      <c r="A319" s="20"/>
      <c r="B319" s="21"/>
      <c r="C319" s="22"/>
      <c r="D319" s="22"/>
      <c r="E319" s="22"/>
      <c r="G319" s="22"/>
      <c r="H319" s="22"/>
      <c r="I319" s="22"/>
      <c r="K319" s="22"/>
      <c r="L319" s="22"/>
      <c r="M319" s="22"/>
      <c r="O319" s="22"/>
      <c r="P319" s="22"/>
      <c r="Q319" s="22"/>
      <c r="S319" s="22"/>
      <c r="T319" s="22"/>
      <c r="U319" s="22"/>
      <c r="W319" s="22"/>
      <c r="X319" s="22"/>
      <c r="Y319" s="22"/>
      <c r="AA319" s="22"/>
      <c r="AB319" s="22"/>
      <c r="AC319" s="22"/>
      <c r="AE319" s="24"/>
      <c r="AF319" s="24"/>
      <c r="AG319" s="24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6"/>
      <c r="AW319" s="24"/>
      <c r="AX319" s="20"/>
      <c r="AY319" s="21"/>
      <c r="AZ319" s="22"/>
      <c r="BA319" s="22"/>
      <c r="BB319" s="22"/>
      <c r="BD319" s="22"/>
      <c r="BE319" s="22"/>
      <c r="BF319" s="22"/>
      <c r="BH319" s="22"/>
      <c r="BI319" s="22"/>
      <c r="BJ319" s="22"/>
      <c r="BL319" s="22"/>
      <c r="BM319" s="22"/>
      <c r="BN319" s="22"/>
      <c r="BP319" s="22"/>
      <c r="BQ319" s="22"/>
      <c r="BR319" s="22"/>
      <c r="BT319" s="22"/>
      <c r="BU319" s="22"/>
      <c r="BV319" s="22"/>
      <c r="BX319" s="22"/>
      <c r="BY319" s="22"/>
      <c r="BZ319" s="22"/>
      <c r="CB319" s="24"/>
      <c r="CC319" s="24"/>
      <c r="CD319" s="24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6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24"/>
      <c r="GQ319" s="24"/>
      <c r="GR319" s="24"/>
    </row>
    <row r="320" spans="1:200" s="23" customFormat="1" ht="14.25" customHeight="1">
      <c r="A320" s="20"/>
      <c r="B320" s="21"/>
      <c r="C320" s="22"/>
      <c r="D320" s="22"/>
      <c r="E320" s="22"/>
      <c r="G320" s="22"/>
      <c r="H320" s="22"/>
      <c r="I320" s="22"/>
      <c r="K320" s="22"/>
      <c r="L320" s="22"/>
      <c r="M320" s="22"/>
      <c r="O320" s="22"/>
      <c r="P320" s="22"/>
      <c r="Q320" s="22"/>
      <c r="S320" s="22"/>
      <c r="T320" s="22"/>
      <c r="U320" s="22"/>
      <c r="W320" s="22"/>
      <c r="X320" s="22"/>
      <c r="Y320" s="22"/>
      <c r="AA320" s="22"/>
      <c r="AB320" s="22"/>
      <c r="AC320" s="22"/>
      <c r="AE320" s="24"/>
      <c r="AF320" s="24"/>
      <c r="AG320" s="24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6"/>
      <c r="AW320" s="24"/>
      <c r="AX320" s="20"/>
      <c r="AY320" s="21"/>
      <c r="AZ320" s="22"/>
      <c r="BA320" s="22"/>
      <c r="BB320" s="22"/>
      <c r="BD320" s="22"/>
      <c r="BE320" s="22"/>
      <c r="BF320" s="22"/>
      <c r="BH320" s="22"/>
      <c r="BI320" s="22"/>
      <c r="BJ320" s="22"/>
      <c r="BL320" s="22"/>
      <c r="BM320" s="22"/>
      <c r="BN320" s="22"/>
      <c r="BP320" s="22"/>
      <c r="BQ320" s="22"/>
      <c r="BR320" s="22"/>
      <c r="BT320" s="22"/>
      <c r="BU320" s="22"/>
      <c r="BV320" s="22"/>
      <c r="BX320" s="22"/>
      <c r="BY320" s="22"/>
      <c r="BZ320" s="22"/>
      <c r="CB320" s="24"/>
      <c r="CC320" s="24"/>
      <c r="CD320" s="24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6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24"/>
      <c r="GQ320" s="24"/>
      <c r="GR320" s="24"/>
    </row>
    <row r="321" spans="1:200" s="23" customFormat="1" ht="14.25" customHeight="1">
      <c r="A321" s="20"/>
      <c r="B321" s="21"/>
      <c r="C321" s="22"/>
      <c r="D321" s="22"/>
      <c r="E321" s="22"/>
      <c r="G321" s="22"/>
      <c r="H321" s="22"/>
      <c r="I321" s="22"/>
      <c r="K321" s="22"/>
      <c r="L321" s="22"/>
      <c r="M321" s="22"/>
      <c r="O321" s="22"/>
      <c r="P321" s="22"/>
      <c r="Q321" s="22"/>
      <c r="S321" s="22"/>
      <c r="T321" s="22"/>
      <c r="U321" s="22"/>
      <c r="W321" s="22"/>
      <c r="X321" s="22"/>
      <c r="Y321" s="22"/>
      <c r="AA321" s="22"/>
      <c r="AB321" s="22"/>
      <c r="AC321" s="22"/>
      <c r="AE321" s="24"/>
      <c r="AF321" s="24"/>
      <c r="AG321" s="24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6"/>
      <c r="AW321" s="24"/>
      <c r="AX321" s="20"/>
      <c r="AY321" s="21"/>
      <c r="AZ321" s="22"/>
      <c r="BA321" s="22"/>
      <c r="BB321" s="22"/>
      <c r="BD321" s="22"/>
      <c r="BE321" s="22"/>
      <c r="BF321" s="22"/>
      <c r="BH321" s="22"/>
      <c r="BI321" s="22"/>
      <c r="BJ321" s="22"/>
      <c r="BL321" s="22"/>
      <c r="BM321" s="22"/>
      <c r="BN321" s="22"/>
      <c r="BP321" s="22"/>
      <c r="BQ321" s="22"/>
      <c r="BR321" s="22"/>
      <c r="BT321" s="22"/>
      <c r="BU321" s="22"/>
      <c r="BV321" s="22"/>
      <c r="BX321" s="22"/>
      <c r="BY321" s="22"/>
      <c r="BZ321" s="22"/>
      <c r="CB321" s="24"/>
      <c r="CC321" s="24"/>
      <c r="CD321" s="24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6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/>
      <c r="GE321" s="24"/>
      <c r="GF321" s="24"/>
      <c r="GG321" s="24"/>
      <c r="GH321" s="24"/>
      <c r="GI321" s="24"/>
      <c r="GJ321" s="24"/>
      <c r="GK321" s="24"/>
      <c r="GL321" s="24"/>
      <c r="GM321" s="24"/>
      <c r="GN321" s="24"/>
      <c r="GO321" s="24"/>
      <c r="GP321" s="24"/>
      <c r="GQ321" s="24"/>
      <c r="GR321" s="24"/>
    </row>
    <row r="322" spans="1:200" s="23" customFormat="1" ht="14.25" customHeight="1">
      <c r="A322" s="20"/>
      <c r="B322" s="21"/>
      <c r="C322" s="22"/>
      <c r="D322" s="22"/>
      <c r="E322" s="22"/>
      <c r="G322" s="22"/>
      <c r="H322" s="22"/>
      <c r="I322" s="22"/>
      <c r="K322" s="22"/>
      <c r="L322" s="22"/>
      <c r="M322" s="22"/>
      <c r="O322" s="22"/>
      <c r="P322" s="22"/>
      <c r="Q322" s="22"/>
      <c r="S322" s="22"/>
      <c r="T322" s="22"/>
      <c r="U322" s="22"/>
      <c r="W322" s="22"/>
      <c r="X322" s="22"/>
      <c r="Y322" s="22"/>
      <c r="AA322" s="22"/>
      <c r="AB322" s="22"/>
      <c r="AC322" s="22"/>
      <c r="AE322" s="24"/>
      <c r="AF322" s="24"/>
      <c r="AG322" s="24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6"/>
      <c r="AW322" s="24"/>
      <c r="AX322" s="20"/>
      <c r="AY322" s="21"/>
      <c r="AZ322" s="22"/>
      <c r="BA322" s="22"/>
      <c r="BB322" s="22"/>
      <c r="BD322" s="22"/>
      <c r="BE322" s="22"/>
      <c r="BF322" s="22"/>
      <c r="BH322" s="22"/>
      <c r="BI322" s="22"/>
      <c r="BJ322" s="22"/>
      <c r="BL322" s="22"/>
      <c r="BM322" s="22"/>
      <c r="BN322" s="22"/>
      <c r="BP322" s="22"/>
      <c r="BQ322" s="22"/>
      <c r="BR322" s="22"/>
      <c r="BT322" s="22"/>
      <c r="BU322" s="22"/>
      <c r="BV322" s="22"/>
      <c r="BX322" s="22"/>
      <c r="BY322" s="22"/>
      <c r="BZ322" s="22"/>
      <c r="CB322" s="24"/>
      <c r="CC322" s="24"/>
      <c r="CD322" s="24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6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24"/>
      <c r="GQ322" s="24"/>
      <c r="GR322" s="24"/>
    </row>
    <row r="323" spans="1:200" s="23" customFormat="1" ht="14.25" customHeight="1">
      <c r="A323" s="20"/>
      <c r="B323" s="21"/>
      <c r="C323" s="22"/>
      <c r="D323" s="22"/>
      <c r="E323" s="22"/>
      <c r="G323" s="22"/>
      <c r="H323" s="22"/>
      <c r="I323" s="22"/>
      <c r="K323" s="22"/>
      <c r="L323" s="22"/>
      <c r="M323" s="22"/>
      <c r="O323" s="22"/>
      <c r="P323" s="22"/>
      <c r="Q323" s="22"/>
      <c r="S323" s="22"/>
      <c r="T323" s="22"/>
      <c r="U323" s="22"/>
      <c r="W323" s="22"/>
      <c r="X323" s="22"/>
      <c r="Y323" s="22"/>
      <c r="AA323" s="22"/>
      <c r="AB323" s="22"/>
      <c r="AC323" s="22"/>
      <c r="AE323" s="24"/>
      <c r="AF323" s="24"/>
      <c r="AG323" s="24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6"/>
      <c r="AW323" s="24"/>
      <c r="AX323" s="20"/>
      <c r="AY323" s="21"/>
      <c r="AZ323" s="22"/>
      <c r="BA323" s="22"/>
      <c r="BB323" s="22"/>
      <c r="BD323" s="22"/>
      <c r="BE323" s="22"/>
      <c r="BF323" s="22"/>
      <c r="BH323" s="22"/>
      <c r="BI323" s="22"/>
      <c r="BJ323" s="22"/>
      <c r="BL323" s="22"/>
      <c r="BM323" s="22"/>
      <c r="BN323" s="22"/>
      <c r="BP323" s="22"/>
      <c r="BQ323" s="22"/>
      <c r="BR323" s="22"/>
      <c r="BT323" s="22"/>
      <c r="BU323" s="22"/>
      <c r="BV323" s="22"/>
      <c r="BX323" s="22"/>
      <c r="BY323" s="22"/>
      <c r="BZ323" s="22"/>
      <c r="CB323" s="24"/>
      <c r="CC323" s="24"/>
      <c r="CD323" s="24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6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24"/>
      <c r="GQ323" s="24"/>
      <c r="GR323" s="24"/>
    </row>
    <row r="324" spans="1:200" s="23" customFormat="1" ht="14.25" customHeight="1">
      <c r="A324" s="20"/>
      <c r="B324" s="21"/>
      <c r="C324" s="22"/>
      <c r="D324" s="22"/>
      <c r="E324" s="22"/>
      <c r="G324" s="22"/>
      <c r="H324" s="22"/>
      <c r="I324" s="22"/>
      <c r="K324" s="22"/>
      <c r="L324" s="22"/>
      <c r="M324" s="22"/>
      <c r="O324" s="22"/>
      <c r="P324" s="22"/>
      <c r="Q324" s="22"/>
      <c r="S324" s="22"/>
      <c r="T324" s="22"/>
      <c r="U324" s="22"/>
      <c r="W324" s="22"/>
      <c r="X324" s="22"/>
      <c r="Y324" s="22"/>
      <c r="AA324" s="22"/>
      <c r="AB324" s="22"/>
      <c r="AC324" s="22"/>
      <c r="AE324" s="24"/>
      <c r="AF324" s="24"/>
      <c r="AG324" s="24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6"/>
      <c r="AW324" s="24"/>
      <c r="AX324" s="20"/>
      <c r="AY324" s="21"/>
      <c r="AZ324" s="22"/>
      <c r="BA324" s="22"/>
      <c r="BB324" s="22"/>
      <c r="BD324" s="22"/>
      <c r="BE324" s="22"/>
      <c r="BF324" s="22"/>
      <c r="BH324" s="22"/>
      <c r="BI324" s="22"/>
      <c r="BJ324" s="22"/>
      <c r="BL324" s="22"/>
      <c r="BM324" s="22"/>
      <c r="BN324" s="22"/>
      <c r="BP324" s="22"/>
      <c r="BQ324" s="22"/>
      <c r="BR324" s="22"/>
      <c r="BT324" s="22"/>
      <c r="BU324" s="22"/>
      <c r="BV324" s="22"/>
      <c r="BX324" s="22"/>
      <c r="BY324" s="22"/>
      <c r="BZ324" s="22"/>
      <c r="CB324" s="24"/>
      <c r="CC324" s="24"/>
      <c r="CD324" s="24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6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</row>
    <row r="325" spans="1:200" s="23" customFormat="1" ht="14.25" customHeight="1">
      <c r="A325" s="20"/>
      <c r="B325" s="21"/>
      <c r="C325" s="22"/>
      <c r="D325" s="22"/>
      <c r="E325" s="22"/>
      <c r="G325" s="22"/>
      <c r="H325" s="22"/>
      <c r="I325" s="22"/>
      <c r="K325" s="22"/>
      <c r="L325" s="22"/>
      <c r="M325" s="22"/>
      <c r="O325" s="22"/>
      <c r="P325" s="22"/>
      <c r="Q325" s="22"/>
      <c r="S325" s="22"/>
      <c r="T325" s="22"/>
      <c r="U325" s="22"/>
      <c r="W325" s="22"/>
      <c r="X325" s="22"/>
      <c r="Y325" s="22"/>
      <c r="AA325" s="22"/>
      <c r="AB325" s="22"/>
      <c r="AC325" s="22"/>
      <c r="AE325" s="24"/>
      <c r="AF325" s="24"/>
      <c r="AG325" s="24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6"/>
      <c r="AW325" s="24"/>
      <c r="AX325" s="20"/>
      <c r="AY325" s="21"/>
      <c r="AZ325" s="22"/>
      <c r="BA325" s="22"/>
      <c r="BB325" s="22"/>
      <c r="BD325" s="22"/>
      <c r="BE325" s="22"/>
      <c r="BF325" s="22"/>
      <c r="BH325" s="22"/>
      <c r="BI325" s="22"/>
      <c r="BJ325" s="22"/>
      <c r="BL325" s="22"/>
      <c r="BM325" s="22"/>
      <c r="BN325" s="22"/>
      <c r="BP325" s="22"/>
      <c r="BQ325" s="22"/>
      <c r="BR325" s="22"/>
      <c r="BT325" s="22"/>
      <c r="BU325" s="22"/>
      <c r="BV325" s="22"/>
      <c r="BX325" s="22"/>
      <c r="BY325" s="22"/>
      <c r="BZ325" s="22"/>
      <c r="CB325" s="24"/>
      <c r="CC325" s="24"/>
      <c r="CD325" s="24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6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24"/>
      <c r="GQ325" s="24"/>
      <c r="GR325" s="24"/>
    </row>
    <row r="326" spans="1:200" s="23" customFormat="1" ht="14.25" customHeight="1">
      <c r="A326" s="20"/>
      <c r="B326" s="21"/>
      <c r="C326" s="22"/>
      <c r="D326" s="22"/>
      <c r="E326" s="22"/>
      <c r="G326" s="22"/>
      <c r="H326" s="22"/>
      <c r="I326" s="22"/>
      <c r="K326" s="22"/>
      <c r="L326" s="22"/>
      <c r="M326" s="22"/>
      <c r="O326" s="22"/>
      <c r="P326" s="22"/>
      <c r="Q326" s="22"/>
      <c r="S326" s="22"/>
      <c r="T326" s="22"/>
      <c r="U326" s="22"/>
      <c r="W326" s="22"/>
      <c r="X326" s="22"/>
      <c r="Y326" s="22"/>
      <c r="AA326" s="22"/>
      <c r="AB326" s="22"/>
      <c r="AC326" s="22"/>
      <c r="AE326" s="24"/>
      <c r="AF326" s="24"/>
      <c r="AG326" s="24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6"/>
      <c r="AW326" s="24"/>
      <c r="AX326" s="20"/>
      <c r="AY326" s="21"/>
      <c r="AZ326" s="22"/>
      <c r="BA326" s="22"/>
      <c r="BB326" s="22"/>
      <c r="BD326" s="22"/>
      <c r="BE326" s="22"/>
      <c r="BF326" s="22"/>
      <c r="BH326" s="22"/>
      <c r="BI326" s="22"/>
      <c r="BJ326" s="22"/>
      <c r="BL326" s="22"/>
      <c r="BM326" s="22"/>
      <c r="BN326" s="22"/>
      <c r="BP326" s="22"/>
      <c r="BQ326" s="22"/>
      <c r="BR326" s="22"/>
      <c r="BT326" s="22"/>
      <c r="BU326" s="22"/>
      <c r="BV326" s="22"/>
      <c r="BX326" s="22"/>
      <c r="BY326" s="22"/>
      <c r="BZ326" s="22"/>
      <c r="CB326" s="24"/>
      <c r="CC326" s="24"/>
      <c r="CD326" s="24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6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24"/>
      <c r="GQ326" s="24"/>
      <c r="GR326" s="24"/>
    </row>
    <row r="327" spans="1:200" s="23" customFormat="1" ht="14.25" customHeight="1">
      <c r="A327" s="20"/>
      <c r="B327" s="21"/>
      <c r="C327" s="22"/>
      <c r="D327" s="22"/>
      <c r="E327" s="22"/>
      <c r="G327" s="22"/>
      <c r="H327" s="22"/>
      <c r="I327" s="22"/>
      <c r="K327" s="22"/>
      <c r="L327" s="22"/>
      <c r="M327" s="22"/>
      <c r="O327" s="22"/>
      <c r="P327" s="22"/>
      <c r="Q327" s="22"/>
      <c r="S327" s="22"/>
      <c r="T327" s="22"/>
      <c r="U327" s="22"/>
      <c r="W327" s="22"/>
      <c r="X327" s="22"/>
      <c r="Y327" s="22"/>
      <c r="AA327" s="22"/>
      <c r="AB327" s="22"/>
      <c r="AC327" s="22"/>
      <c r="AE327" s="24"/>
      <c r="AF327" s="24"/>
      <c r="AG327" s="24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6"/>
      <c r="AW327" s="24"/>
      <c r="AX327" s="20"/>
      <c r="AY327" s="21"/>
      <c r="AZ327" s="22"/>
      <c r="BA327" s="22"/>
      <c r="BB327" s="22"/>
      <c r="BD327" s="22"/>
      <c r="BE327" s="22"/>
      <c r="BF327" s="22"/>
      <c r="BH327" s="22"/>
      <c r="BI327" s="22"/>
      <c r="BJ327" s="22"/>
      <c r="BL327" s="22"/>
      <c r="BM327" s="22"/>
      <c r="BN327" s="22"/>
      <c r="BP327" s="22"/>
      <c r="BQ327" s="22"/>
      <c r="BR327" s="22"/>
      <c r="BT327" s="22"/>
      <c r="BU327" s="22"/>
      <c r="BV327" s="22"/>
      <c r="BX327" s="22"/>
      <c r="BY327" s="22"/>
      <c r="BZ327" s="22"/>
      <c r="CB327" s="24"/>
      <c r="CC327" s="24"/>
      <c r="CD327" s="24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6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4"/>
      <c r="GQ327" s="24"/>
      <c r="GR327" s="24"/>
    </row>
    <row r="328" spans="1:200" s="23" customFormat="1" ht="14.25" customHeight="1">
      <c r="A328" s="20"/>
      <c r="B328" s="21"/>
      <c r="C328" s="22"/>
      <c r="D328" s="22"/>
      <c r="E328" s="22"/>
      <c r="G328" s="22"/>
      <c r="H328" s="22"/>
      <c r="I328" s="22"/>
      <c r="K328" s="22"/>
      <c r="L328" s="22"/>
      <c r="M328" s="22"/>
      <c r="O328" s="22"/>
      <c r="P328" s="22"/>
      <c r="Q328" s="22"/>
      <c r="S328" s="22"/>
      <c r="T328" s="22"/>
      <c r="U328" s="22"/>
      <c r="W328" s="22"/>
      <c r="X328" s="22"/>
      <c r="Y328" s="22"/>
      <c r="AA328" s="22"/>
      <c r="AB328" s="22"/>
      <c r="AC328" s="22"/>
      <c r="AE328" s="24"/>
      <c r="AF328" s="24"/>
      <c r="AG328" s="24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6"/>
      <c r="AW328" s="24"/>
      <c r="AX328" s="20"/>
      <c r="AY328" s="21"/>
      <c r="AZ328" s="22"/>
      <c r="BA328" s="22"/>
      <c r="BB328" s="22"/>
      <c r="BD328" s="22"/>
      <c r="BE328" s="22"/>
      <c r="BF328" s="22"/>
      <c r="BH328" s="22"/>
      <c r="BI328" s="22"/>
      <c r="BJ328" s="22"/>
      <c r="BL328" s="22"/>
      <c r="BM328" s="22"/>
      <c r="BN328" s="22"/>
      <c r="BP328" s="22"/>
      <c r="BQ328" s="22"/>
      <c r="BR328" s="22"/>
      <c r="BT328" s="22"/>
      <c r="BU328" s="22"/>
      <c r="BV328" s="22"/>
      <c r="BX328" s="22"/>
      <c r="BY328" s="22"/>
      <c r="BZ328" s="22"/>
      <c r="CB328" s="24"/>
      <c r="CC328" s="24"/>
      <c r="CD328" s="24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6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/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24"/>
      <c r="GQ328" s="24"/>
      <c r="GR328" s="24"/>
    </row>
    <row r="329" spans="1:200" s="23" customFormat="1" ht="14.25" customHeight="1">
      <c r="A329" s="20"/>
      <c r="B329" s="21"/>
      <c r="C329" s="22"/>
      <c r="D329" s="22"/>
      <c r="E329" s="22"/>
      <c r="G329" s="22"/>
      <c r="H329" s="22"/>
      <c r="I329" s="22"/>
      <c r="K329" s="22"/>
      <c r="L329" s="22"/>
      <c r="M329" s="22"/>
      <c r="O329" s="22"/>
      <c r="P329" s="22"/>
      <c r="Q329" s="22"/>
      <c r="S329" s="22"/>
      <c r="T329" s="22"/>
      <c r="U329" s="22"/>
      <c r="W329" s="22"/>
      <c r="X329" s="22"/>
      <c r="Y329" s="22"/>
      <c r="AA329" s="22"/>
      <c r="AB329" s="22"/>
      <c r="AC329" s="22"/>
      <c r="AE329" s="24"/>
      <c r="AF329" s="24"/>
      <c r="AG329" s="24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6"/>
      <c r="AW329" s="24"/>
      <c r="AX329" s="20"/>
      <c r="AY329" s="21"/>
      <c r="AZ329" s="22"/>
      <c r="BA329" s="22"/>
      <c r="BB329" s="22"/>
      <c r="BD329" s="22"/>
      <c r="BE329" s="22"/>
      <c r="BF329" s="22"/>
      <c r="BH329" s="22"/>
      <c r="BI329" s="22"/>
      <c r="BJ329" s="22"/>
      <c r="BL329" s="22"/>
      <c r="BM329" s="22"/>
      <c r="BN329" s="22"/>
      <c r="BP329" s="22"/>
      <c r="BQ329" s="22"/>
      <c r="BR329" s="22"/>
      <c r="BT329" s="22"/>
      <c r="BU329" s="22"/>
      <c r="BV329" s="22"/>
      <c r="BX329" s="22"/>
      <c r="BY329" s="22"/>
      <c r="BZ329" s="22"/>
      <c r="CB329" s="24"/>
      <c r="CC329" s="24"/>
      <c r="CD329" s="24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6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24"/>
      <c r="GQ329" s="24"/>
      <c r="GR329" s="24"/>
    </row>
    <row r="330" spans="1:200" s="23" customFormat="1" ht="14.25" customHeight="1">
      <c r="A330" s="20"/>
      <c r="B330" s="21"/>
      <c r="C330" s="22"/>
      <c r="D330" s="22"/>
      <c r="E330" s="22"/>
      <c r="G330" s="22"/>
      <c r="H330" s="22"/>
      <c r="I330" s="22"/>
      <c r="K330" s="22"/>
      <c r="L330" s="22"/>
      <c r="M330" s="22"/>
      <c r="O330" s="22"/>
      <c r="P330" s="22"/>
      <c r="Q330" s="22"/>
      <c r="S330" s="22"/>
      <c r="T330" s="22"/>
      <c r="U330" s="22"/>
      <c r="W330" s="22"/>
      <c r="X330" s="22"/>
      <c r="Y330" s="22"/>
      <c r="AA330" s="22"/>
      <c r="AB330" s="22"/>
      <c r="AC330" s="22"/>
      <c r="AE330" s="24"/>
      <c r="AF330" s="24"/>
      <c r="AG330" s="24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6"/>
      <c r="AW330" s="24"/>
      <c r="AX330" s="20"/>
      <c r="AY330" s="21"/>
      <c r="AZ330" s="22"/>
      <c r="BA330" s="22"/>
      <c r="BB330" s="22"/>
      <c r="BD330" s="22"/>
      <c r="BE330" s="22"/>
      <c r="BF330" s="22"/>
      <c r="BH330" s="22"/>
      <c r="BI330" s="22"/>
      <c r="BJ330" s="22"/>
      <c r="BL330" s="22"/>
      <c r="BM330" s="22"/>
      <c r="BN330" s="22"/>
      <c r="BP330" s="22"/>
      <c r="BQ330" s="22"/>
      <c r="BR330" s="22"/>
      <c r="BT330" s="22"/>
      <c r="BU330" s="22"/>
      <c r="BV330" s="22"/>
      <c r="BX330" s="22"/>
      <c r="BY330" s="22"/>
      <c r="BZ330" s="22"/>
      <c r="CB330" s="24"/>
      <c r="CC330" s="24"/>
      <c r="CD330" s="24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6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  <c r="FZ330" s="24"/>
      <c r="GA330" s="24"/>
      <c r="GB330" s="24"/>
      <c r="GC330" s="24"/>
      <c r="GD330" s="24"/>
      <c r="GE330" s="24"/>
      <c r="GF330" s="24"/>
      <c r="GG330" s="24"/>
      <c r="GH330" s="24"/>
      <c r="GI330" s="24"/>
      <c r="GJ330" s="24"/>
      <c r="GK330" s="24"/>
      <c r="GL330" s="24"/>
      <c r="GM330" s="24"/>
      <c r="GN330" s="24"/>
      <c r="GO330" s="24"/>
      <c r="GP330" s="24"/>
      <c r="GQ330" s="24"/>
      <c r="GR330" s="24"/>
    </row>
    <row r="331" spans="1:200" s="23" customFormat="1" ht="14.25" customHeight="1">
      <c r="A331" s="20"/>
      <c r="B331" s="21"/>
      <c r="C331" s="22"/>
      <c r="D331" s="22"/>
      <c r="E331" s="22"/>
      <c r="G331" s="22"/>
      <c r="H331" s="22"/>
      <c r="I331" s="22"/>
      <c r="K331" s="22"/>
      <c r="L331" s="22"/>
      <c r="M331" s="22"/>
      <c r="O331" s="22"/>
      <c r="P331" s="22"/>
      <c r="Q331" s="22"/>
      <c r="S331" s="22"/>
      <c r="T331" s="22"/>
      <c r="U331" s="22"/>
      <c r="W331" s="22"/>
      <c r="X331" s="22"/>
      <c r="Y331" s="22"/>
      <c r="AA331" s="22"/>
      <c r="AB331" s="22"/>
      <c r="AC331" s="22"/>
      <c r="AE331" s="24"/>
      <c r="AF331" s="24"/>
      <c r="AG331" s="24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6"/>
      <c r="AW331" s="24"/>
      <c r="AX331" s="20"/>
      <c r="AY331" s="21"/>
      <c r="AZ331" s="22"/>
      <c r="BA331" s="22"/>
      <c r="BB331" s="22"/>
      <c r="BD331" s="22"/>
      <c r="BE331" s="22"/>
      <c r="BF331" s="22"/>
      <c r="BH331" s="22"/>
      <c r="BI331" s="22"/>
      <c r="BJ331" s="22"/>
      <c r="BL331" s="22"/>
      <c r="BM331" s="22"/>
      <c r="BN331" s="22"/>
      <c r="BP331" s="22"/>
      <c r="BQ331" s="22"/>
      <c r="BR331" s="22"/>
      <c r="BT331" s="22"/>
      <c r="BU331" s="22"/>
      <c r="BV331" s="22"/>
      <c r="BX331" s="22"/>
      <c r="BY331" s="22"/>
      <c r="BZ331" s="22"/>
      <c r="CB331" s="24"/>
      <c r="CC331" s="24"/>
      <c r="CD331" s="24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6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/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4"/>
      <c r="GJ331" s="24"/>
      <c r="GK331" s="24"/>
      <c r="GL331" s="24"/>
      <c r="GM331" s="24"/>
      <c r="GN331" s="24"/>
      <c r="GO331" s="24"/>
      <c r="GP331" s="24"/>
      <c r="GQ331" s="24"/>
      <c r="GR331" s="24"/>
    </row>
    <row r="332" spans="1:200" s="23" customFormat="1" ht="14.25" customHeight="1">
      <c r="A332" s="20"/>
      <c r="B332" s="21"/>
      <c r="C332" s="22"/>
      <c r="D332" s="22"/>
      <c r="E332" s="22"/>
      <c r="G332" s="22"/>
      <c r="H332" s="22"/>
      <c r="I332" s="22"/>
      <c r="K332" s="22"/>
      <c r="L332" s="22"/>
      <c r="M332" s="22"/>
      <c r="O332" s="22"/>
      <c r="P332" s="22"/>
      <c r="Q332" s="22"/>
      <c r="S332" s="22"/>
      <c r="T332" s="22"/>
      <c r="U332" s="22"/>
      <c r="W332" s="22"/>
      <c r="X332" s="22"/>
      <c r="Y332" s="22"/>
      <c r="AA332" s="22"/>
      <c r="AB332" s="22"/>
      <c r="AC332" s="22"/>
      <c r="AE332" s="24"/>
      <c r="AF332" s="24"/>
      <c r="AG332" s="24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6"/>
      <c r="AW332" s="24"/>
      <c r="AX332" s="20"/>
      <c r="AY332" s="21"/>
      <c r="AZ332" s="22"/>
      <c r="BA332" s="22"/>
      <c r="BB332" s="22"/>
      <c r="BD332" s="22"/>
      <c r="BE332" s="22"/>
      <c r="BF332" s="22"/>
      <c r="BH332" s="22"/>
      <c r="BI332" s="22"/>
      <c r="BJ332" s="22"/>
      <c r="BL332" s="22"/>
      <c r="BM332" s="22"/>
      <c r="BN332" s="22"/>
      <c r="BP332" s="22"/>
      <c r="BQ332" s="22"/>
      <c r="BR332" s="22"/>
      <c r="BT332" s="22"/>
      <c r="BU332" s="22"/>
      <c r="BV332" s="22"/>
      <c r="BX332" s="22"/>
      <c r="BY332" s="22"/>
      <c r="BZ332" s="22"/>
      <c r="CB332" s="24"/>
      <c r="CC332" s="24"/>
      <c r="CD332" s="24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6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/>
      <c r="GD332" s="24"/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24"/>
      <c r="GQ332" s="24"/>
      <c r="GR332" s="24"/>
    </row>
    <row r="333" spans="1:200" s="23" customFormat="1" ht="14.25" customHeight="1">
      <c r="A333" s="20"/>
      <c r="B333" s="21"/>
      <c r="C333" s="22"/>
      <c r="D333" s="22"/>
      <c r="E333" s="22"/>
      <c r="G333" s="22"/>
      <c r="H333" s="22"/>
      <c r="I333" s="22"/>
      <c r="K333" s="22"/>
      <c r="L333" s="22"/>
      <c r="M333" s="22"/>
      <c r="O333" s="22"/>
      <c r="P333" s="22"/>
      <c r="Q333" s="22"/>
      <c r="S333" s="22"/>
      <c r="T333" s="22"/>
      <c r="U333" s="22"/>
      <c r="W333" s="22"/>
      <c r="X333" s="22"/>
      <c r="Y333" s="22"/>
      <c r="AA333" s="22"/>
      <c r="AB333" s="22"/>
      <c r="AC333" s="22"/>
      <c r="AE333" s="24"/>
      <c r="AF333" s="24"/>
      <c r="AG333" s="24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6"/>
      <c r="AW333" s="24"/>
      <c r="AX333" s="20"/>
      <c r="AY333" s="21"/>
      <c r="AZ333" s="22"/>
      <c r="BA333" s="22"/>
      <c r="BB333" s="22"/>
      <c r="BD333" s="22"/>
      <c r="BE333" s="22"/>
      <c r="BF333" s="22"/>
      <c r="BH333" s="22"/>
      <c r="BI333" s="22"/>
      <c r="BJ333" s="22"/>
      <c r="BL333" s="22"/>
      <c r="BM333" s="22"/>
      <c r="BN333" s="22"/>
      <c r="BP333" s="22"/>
      <c r="BQ333" s="22"/>
      <c r="BR333" s="22"/>
      <c r="BT333" s="22"/>
      <c r="BU333" s="22"/>
      <c r="BV333" s="22"/>
      <c r="BX333" s="22"/>
      <c r="BY333" s="22"/>
      <c r="BZ333" s="22"/>
      <c r="CB333" s="24"/>
      <c r="CC333" s="24"/>
      <c r="CD333" s="24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6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  <c r="FZ333" s="24"/>
      <c r="GA333" s="24"/>
      <c r="GB333" s="24"/>
      <c r="GC333" s="24"/>
      <c r="GD333" s="24"/>
      <c r="GE333" s="24"/>
      <c r="GF333" s="24"/>
      <c r="GG333" s="24"/>
      <c r="GH333" s="24"/>
      <c r="GI333" s="24"/>
      <c r="GJ333" s="24"/>
      <c r="GK333" s="24"/>
      <c r="GL333" s="24"/>
      <c r="GM333" s="24"/>
      <c r="GN333" s="24"/>
      <c r="GO333" s="24"/>
      <c r="GP333" s="24"/>
      <c r="GQ333" s="24"/>
      <c r="GR333" s="24"/>
    </row>
    <row r="334" spans="1:200" s="23" customFormat="1" ht="14.25" customHeight="1">
      <c r="A334" s="20"/>
      <c r="B334" s="21"/>
      <c r="C334" s="22"/>
      <c r="D334" s="22"/>
      <c r="E334" s="22"/>
      <c r="G334" s="22"/>
      <c r="H334" s="22"/>
      <c r="I334" s="22"/>
      <c r="K334" s="22"/>
      <c r="L334" s="22"/>
      <c r="M334" s="22"/>
      <c r="O334" s="22"/>
      <c r="P334" s="22"/>
      <c r="Q334" s="22"/>
      <c r="S334" s="22"/>
      <c r="T334" s="22"/>
      <c r="U334" s="22"/>
      <c r="W334" s="22"/>
      <c r="X334" s="22"/>
      <c r="Y334" s="22"/>
      <c r="AA334" s="22"/>
      <c r="AB334" s="22"/>
      <c r="AC334" s="22"/>
      <c r="AE334" s="24"/>
      <c r="AF334" s="24"/>
      <c r="AG334" s="24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6"/>
      <c r="AW334" s="24"/>
      <c r="AX334" s="20"/>
      <c r="AY334" s="21"/>
      <c r="AZ334" s="22"/>
      <c r="BA334" s="22"/>
      <c r="BB334" s="22"/>
      <c r="BD334" s="22"/>
      <c r="BE334" s="22"/>
      <c r="BF334" s="22"/>
      <c r="BH334" s="22"/>
      <c r="BI334" s="22"/>
      <c r="BJ334" s="22"/>
      <c r="BL334" s="22"/>
      <c r="BM334" s="22"/>
      <c r="BN334" s="22"/>
      <c r="BP334" s="22"/>
      <c r="BQ334" s="22"/>
      <c r="BR334" s="22"/>
      <c r="BT334" s="22"/>
      <c r="BU334" s="22"/>
      <c r="BV334" s="22"/>
      <c r="BX334" s="22"/>
      <c r="BY334" s="22"/>
      <c r="BZ334" s="22"/>
      <c r="CB334" s="24"/>
      <c r="CC334" s="24"/>
      <c r="CD334" s="24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6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/>
      <c r="FT334" s="24"/>
      <c r="FU334" s="24"/>
      <c r="FV334" s="24"/>
      <c r="FW334" s="24"/>
      <c r="FX334" s="24"/>
      <c r="FY334" s="24"/>
      <c r="FZ334" s="24"/>
      <c r="GA334" s="24"/>
      <c r="GB334" s="24"/>
      <c r="GC334" s="24"/>
      <c r="GD334" s="24"/>
      <c r="GE334" s="24"/>
      <c r="GF334" s="24"/>
      <c r="GG334" s="24"/>
      <c r="GH334" s="24"/>
      <c r="GI334" s="24"/>
      <c r="GJ334" s="24"/>
      <c r="GK334" s="24"/>
      <c r="GL334" s="24"/>
      <c r="GM334" s="24"/>
      <c r="GN334" s="24"/>
      <c r="GO334" s="24"/>
      <c r="GP334" s="24"/>
      <c r="GQ334" s="24"/>
      <c r="GR334" s="24"/>
    </row>
    <row r="335" spans="1:200" s="23" customFormat="1" ht="14.25" customHeight="1">
      <c r="A335" s="20"/>
      <c r="B335" s="21"/>
      <c r="C335" s="22"/>
      <c r="D335" s="22"/>
      <c r="E335" s="22"/>
      <c r="G335" s="22"/>
      <c r="H335" s="22"/>
      <c r="I335" s="22"/>
      <c r="K335" s="22"/>
      <c r="L335" s="22"/>
      <c r="M335" s="22"/>
      <c r="O335" s="22"/>
      <c r="P335" s="22"/>
      <c r="Q335" s="22"/>
      <c r="S335" s="22"/>
      <c r="T335" s="22"/>
      <c r="U335" s="22"/>
      <c r="W335" s="22"/>
      <c r="X335" s="22"/>
      <c r="Y335" s="22"/>
      <c r="AA335" s="22"/>
      <c r="AB335" s="22"/>
      <c r="AC335" s="22"/>
      <c r="AE335" s="24"/>
      <c r="AF335" s="24"/>
      <c r="AG335" s="24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6"/>
      <c r="AW335" s="24"/>
      <c r="AX335" s="20"/>
      <c r="AY335" s="21"/>
      <c r="AZ335" s="22"/>
      <c r="BA335" s="22"/>
      <c r="BB335" s="22"/>
      <c r="BD335" s="22"/>
      <c r="BE335" s="22"/>
      <c r="BF335" s="22"/>
      <c r="BH335" s="22"/>
      <c r="BI335" s="22"/>
      <c r="BJ335" s="22"/>
      <c r="BL335" s="22"/>
      <c r="BM335" s="22"/>
      <c r="BN335" s="22"/>
      <c r="BP335" s="22"/>
      <c r="BQ335" s="22"/>
      <c r="BR335" s="22"/>
      <c r="BT335" s="22"/>
      <c r="BU335" s="22"/>
      <c r="BV335" s="22"/>
      <c r="BX335" s="22"/>
      <c r="BY335" s="22"/>
      <c r="BZ335" s="22"/>
      <c r="CB335" s="24"/>
      <c r="CC335" s="24"/>
      <c r="CD335" s="24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6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/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/>
      <c r="FN335" s="24"/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  <c r="FZ335" s="24"/>
      <c r="GA335" s="24"/>
      <c r="GB335" s="24"/>
      <c r="GC335" s="24"/>
      <c r="GD335" s="24"/>
      <c r="GE335" s="24"/>
      <c r="GF335" s="24"/>
      <c r="GG335" s="24"/>
      <c r="GH335" s="24"/>
      <c r="GI335" s="24"/>
      <c r="GJ335" s="24"/>
      <c r="GK335" s="24"/>
      <c r="GL335" s="24"/>
      <c r="GM335" s="24"/>
      <c r="GN335" s="24"/>
      <c r="GO335" s="24"/>
      <c r="GP335" s="24"/>
      <c r="GQ335" s="24"/>
      <c r="GR335" s="24"/>
    </row>
    <row r="336" spans="1:200" s="23" customFormat="1" ht="14.25" customHeight="1">
      <c r="A336" s="20"/>
      <c r="B336" s="21"/>
      <c r="C336" s="22"/>
      <c r="D336" s="22"/>
      <c r="E336" s="22"/>
      <c r="G336" s="22"/>
      <c r="H336" s="22"/>
      <c r="I336" s="22"/>
      <c r="K336" s="22"/>
      <c r="L336" s="22"/>
      <c r="M336" s="22"/>
      <c r="O336" s="22"/>
      <c r="P336" s="22"/>
      <c r="Q336" s="22"/>
      <c r="S336" s="22"/>
      <c r="T336" s="22"/>
      <c r="U336" s="22"/>
      <c r="W336" s="22"/>
      <c r="X336" s="22"/>
      <c r="Y336" s="22"/>
      <c r="AA336" s="22"/>
      <c r="AB336" s="22"/>
      <c r="AC336" s="22"/>
      <c r="AE336" s="24"/>
      <c r="AF336" s="24"/>
      <c r="AG336" s="24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6"/>
      <c r="AW336" s="24"/>
      <c r="AX336" s="20"/>
      <c r="AY336" s="21"/>
      <c r="AZ336" s="22"/>
      <c r="BA336" s="22"/>
      <c r="BB336" s="22"/>
      <c r="BD336" s="22"/>
      <c r="BE336" s="22"/>
      <c r="BF336" s="22"/>
      <c r="BH336" s="22"/>
      <c r="BI336" s="22"/>
      <c r="BJ336" s="22"/>
      <c r="BL336" s="22"/>
      <c r="BM336" s="22"/>
      <c r="BN336" s="22"/>
      <c r="BP336" s="22"/>
      <c r="BQ336" s="22"/>
      <c r="BR336" s="22"/>
      <c r="BT336" s="22"/>
      <c r="BU336" s="22"/>
      <c r="BV336" s="22"/>
      <c r="BX336" s="22"/>
      <c r="BY336" s="22"/>
      <c r="BZ336" s="22"/>
      <c r="CB336" s="24"/>
      <c r="CC336" s="24"/>
      <c r="CD336" s="24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6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4"/>
      <c r="EP336" s="24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4"/>
      <c r="FC336" s="24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/>
      <c r="FU336" s="24"/>
      <c r="FV336" s="24"/>
      <c r="FW336" s="24"/>
      <c r="FX336" s="24"/>
      <c r="FY336" s="24"/>
      <c r="FZ336" s="24"/>
      <c r="GA336" s="24"/>
      <c r="GB336" s="24"/>
      <c r="GC336" s="24"/>
      <c r="GD336" s="24"/>
      <c r="GE336" s="24"/>
      <c r="GF336" s="24"/>
      <c r="GG336" s="24"/>
      <c r="GH336" s="24"/>
      <c r="GI336" s="24"/>
      <c r="GJ336" s="24"/>
      <c r="GK336" s="24"/>
      <c r="GL336" s="24"/>
      <c r="GM336" s="24"/>
      <c r="GN336" s="24"/>
      <c r="GO336" s="24"/>
      <c r="GP336" s="24"/>
      <c r="GQ336" s="24"/>
      <c r="GR336" s="24"/>
    </row>
    <row r="337" spans="1:220" s="23" customFormat="1" ht="14.25" customHeight="1">
      <c r="A337" s="20"/>
      <c r="B337" s="21"/>
      <c r="C337" s="22"/>
      <c r="D337" s="22"/>
      <c r="E337" s="22"/>
      <c r="G337" s="22"/>
      <c r="H337" s="22"/>
      <c r="I337" s="22"/>
      <c r="K337" s="22"/>
      <c r="L337" s="22"/>
      <c r="M337" s="22"/>
      <c r="O337" s="22"/>
      <c r="P337" s="22"/>
      <c r="Q337" s="22"/>
      <c r="S337" s="22"/>
      <c r="T337" s="22"/>
      <c r="U337" s="22"/>
      <c r="W337" s="22"/>
      <c r="X337" s="22"/>
      <c r="Y337" s="22"/>
      <c r="AA337" s="22"/>
      <c r="AB337" s="22"/>
      <c r="AC337" s="22"/>
      <c r="AE337" s="24"/>
      <c r="AF337" s="24"/>
      <c r="AG337" s="24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6"/>
      <c r="AW337" s="24"/>
      <c r="AX337" s="20"/>
      <c r="AY337" s="21"/>
      <c r="AZ337" s="22"/>
      <c r="BA337" s="22"/>
      <c r="BB337" s="22"/>
      <c r="BD337" s="22"/>
      <c r="BE337" s="22"/>
      <c r="BF337" s="22"/>
      <c r="BH337" s="22"/>
      <c r="BI337" s="22"/>
      <c r="BJ337" s="22"/>
      <c r="BL337" s="22"/>
      <c r="BM337" s="22"/>
      <c r="BN337" s="22"/>
      <c r="BP337" s="22"/>
      <c r="BQ337" s="22"/>
      <c r="BR337" s="22"/>
      <c r="BT337" s="22"/>
      <c r="BU337" s="22"/>
      <c r="BV337" s="22"/>
      <c r="BX337" s="22"/>
      <c r="BY337" s="22"/>
      <c r="BZ337" s="22"/>
      <c r="CB337" s="24"/>
      <c r="CC337" s="24"/>
      <c r="CD337" s="24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6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  <c r="FZ337" s="24"/>
      <c r="GA337" s="24"/>
      <c r="GB337" s="24"/>
      <c r="GC337" s="24"/>
      <c r="GD337" s="24"/>
      <c r="GE337" s="24"/>
      <c r="GF337" s="24"/>
      <c r="GG337" s="24"/>
      <c r="GH337" s="24"/>
      <c r="GI337" s="24"/>
      <c r="GJ337" s="24"/>
      <c r="GK337" s="24"/>
      <c r="GL337" s="24"/>
      <c r="GM337" s="24"/>
      <c r="GN337" s="24"/>
      <c r="GO337" s="24"/>
      <c r="GP337" s="24"/>
      <c r="GQ337" s="24"/>
      <c r="GR337" s="24"/>
    </row>
    <row r="338" spans="1:220" s="23" customFormat="1" ht="14.25" customHeight="1">
      <c r="A338" s="20"/>
      <c r="B338" s="21"/>
      <c r="C338" s="22"/>
      <c r="D338" s="22"/>
      <c r="E338" s="22"/>
      <c r="G338" s="22"/>
      <c r="H338" s="22"/>
      <c r="I338" s="22"/>
      <c r="K338" s="22"/>
      <c r="L338" s="22"/>
      <c r="M338" s="22"/>
      <c r="O338" s="22"/>
      <c r="P338" s="22"/>
      <c r="Q338" s="22"/>
      <c r="S338" s="22"/>
      <c r="T338" s="22"/>
      <c r="U338" s="22"/>
      <c r="W338" s="22"/>
      <c r="X338" s="22"/>
      <c r="Y338" s="22"/>
      <c r="AA338" s="22"/>
      <c r="AB338" s="22"/>
      <c r="AC338" s="22"/>
      <c r="AE338" s="24"/>
      <c r="AF338" s="24"/>
      <c r="AG338" s="24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6"/>
      <c r="AW338" s="24"/>
      <c r="AX338" s="20"/>
      <c r="AY338" s="21"/>
      <c r="AZ338" s="22"/>
      <c r="BA338" s="22"/>
      <c r="BB338" s="22"/>
      <c r="BD338" s="22"/>
      <c r="BE338" s="22"/>
      <c r="BF338" s="22"/>
      <c r="BH338" s="22"/>
      <c r="BI338" s="22"/>
      <c r="BJ338" s="22"/>
      <c r="BL338" s="22"/>
      <c r="BM338" s="22"/>
      <c r="BN338" s="22"/>
      <c r="BP338" s="22"/>
      <c r="BQ338" s="22"/>
      <c r="BR338" s="22"/>
      <c r="BT338" s="22"/>
      <c r="BU338" s="22"/>
      <c r="BV338" s="22"/>
      <c r="BX338" s="22"/>
      <c r="BY338" s="22"/>
      <c r="BZ338" s="22"/>
      <c r="CB338" s="24"/>
      <c r="CC338" s="24"/>
      <c r="CD338" s="24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6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4"/>
      <c r="EP338" s="24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  <c r="FZ338" s="24"/>
      <c r="GA338" s="24"/>
      <c r="GB338" s="24"/>
      <c r="GC338" s="24"/>
      <c r="GD338" s="24"/>
      <c r="GE338" s="24"/>
      <c r="GF338" s="24"/>
      <c r="GG338" s="24"/>
      <c r="GH338" s="24"/>
      <c r="GI338" s="24"/>
      <c r="GJ338" s="24"/>
      <c r="GK338" s="24"/>
      <c r="GL338" s="24"/>
      <c r="GM338" s="24"/>
      <c r="GN338" s="24"/>
      <c r="GO338" s="24"/>
      <c r="GP338" s="24"/>
      <c r="GQ338" s="24"/>
      <c r="GR338" s="24"/>
    </row>
    <row r="339" spans="1:220" s="23" customFormat="1" ht="14.25" customHeight="1">
      <c r="A339" s="20"/>
      <c r="B339" s="21"/>
      <c r="C339" s="22"/>
      <c r="D339" s="22"/>
      <c r="E339" s="22"/>
      <c r="G339" s="22"/>
      <c r="H339" s="22"/>
      <c r="I339" s="22"/>
      <c r="K339" s="22"/>
      <c r="L339" s="22"/>
      <c r="M339" s="22"/>
      <c r="O339" s="22"/>
      <c r="P339" s="22"/>
      <c r="Q339" s="22"/>
      <c r="S339" s="22"/>
      <c r="T339" s="22"/>
      <c r="U339" s="22"/>
      <c r="W339" s="22"/>
      <c r="X339" s="22"/>
      <c r="Y339" s="22"/>
      <c r="AA339" s="22"/>
      <c r="AB339" s="22"/>
      <c r="AC339" s="22"/>
      <c r="AE339" s="24"/>
      <c r="AF339" s="24"/>
      <c r="AG339" s="24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6"/>
      <c r="AW339" s="24"/>
      <c r="AX339" s="20"/>
      <c r="AY339" s="21"/>
      <c r="AZ339" s="22"/>
      <c r="BA339" s="22"/>
      <c r="BB339" s="22"/>
      <c r="BD339" s="22"/>
      <c r="BE339" s="22"/>
      <c r="BF339" s="22"/>
      <c r="BH339" s="22"/>
      <c r="BI339" s="22"/>
      <c r="BJ339" s="22"/>
      <c r="BL339" s="22"/>
      <c r="BM339" s="22"/>
      <c r="BN339" s="22"/>
      <c r="BP339" s="22"/>
      <c r="BQ339" s="22"/>
      <c r="BR339" s="22"/>
      <c r="BT339" s="22"/>
      <c r="BU339" s="22"/>
      <c r="BV339" s="22"/>
      <c r="BX339" s="22"/>
      <c r="BY339" s="22"/>
      <c r="BZ339" s="22"/>
      <c r="CB339" s="24"/>
      <c r="CC339" s="24"/>
      <c r="CD339" s="24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6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/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/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  <c r="FZ339" s="24"/>
      <c r="GA339" s="24"/>
      <c r="GB339" s="24"/>
      <c r="GC339" s="24"/>
      <c r="GD339" s="24"/>
      <c r="GE339" s="24"/>
      <c r="GF339" s="24"/>
      <c r="GG339" s="24"/>
      <c r="GH339" s="24"/>
      <c r="GI339" s="24"/>
      <c r="GJ339" s="24"/>
      <c r="GK339" s="24"/>
      <c r="GL339" s="24"/>
      <c r="GM339" s="24"/>
      <c r="GN339" s="24"/>
      <c r="GO339" s="24"/>
      <c r="GP339" s="24"/>
      <c r="GQ339" s="24"/>
      <c r="GR339" s="24"/>
    </row>
    <row r="340" spans="1:220" s="23" customFormat="1" ht="14.25" customHeight="1">
      <c r="A340" s="20"/>
      <c r="B340" s="21"/>
      <c r="C340" s="22"/>
      <c r="D340" s="22"/>
      <c r="E340" s="22"/>
      <c r="G340" s="22"/>
      <c r="H340" s="22"/>
      <c r="I340" s="22"/>
      <c r="K340" s="22"/>
      <c r="L340" s="22"/>
      <c r="M340" s="22"/>
      <c r="O340" s="22"/>
      <c r="P340" s="22"/>
      <c r="Q340" s="22"/>
      <c r="S340" s="22"/>
      <c r="T340" s="22"/>
      <c r="U340" s="22"/>
      <c r="W340" s="22"/>
      <c r="X340" s="22"/>
      <c r="Y340" s="22"/>
      <c r="AA340" s="22"/>
      <c r="AB340" s="22"/>
      <c r="AC340" s="22"/>
      <c r="AE340" s="24"/>
      <c r="AF340" s="24"/>
      <c r="AG340" s="24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6"/>
      <c r="AW340" s="24"/>
      <c r="AX340" s="20"/>
      <c r="AY340" s="21"/>
      <c r="AZ340" s="22"/>
      <c r="BA340" s="22"/>
      <c r="BB340" s="22"/>
      <c r="BD340" s="22"/>
      <c r="BE340" s="22"/>
      <c r="BF340" s="22"/>
      <c r="BH340" s="22"/>
      <c r="BI340" s="22"/>
      <c r="BJ340" s="22"/>
      <c r="BL340" s="22"/>
      <c r="BM340" s="22"/>
      <c r="BN340" s="22"/>
      <c r="BP340" s="22"/>
      <c r="BQ340" s="22"/>
      <c r="BR340" s="22"/>
      <c r="BT340" s="22"/>
      <c r="BU340" s="22"/>
      <c r="BV340" s="22"/>
      <c r="BX340" s="22"/>
      <c r="BY340" s="22"/>
      <c r="BZ340" s="22"/>
      <c r="CB340" s="24"/>
      <c r="CC340" s="24"/>
      <c r="CD340" s="24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6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/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  <c r="FZ340" s="24"/>
      <c r="GA340" s="24"/>
      <c r="GB340" s="24"/>
      <c r="GC340" s="24"/>
      <c r="GD340" s="24"/>
      <c r="GE340" s="24"/>
      <c r="GF340" s="24"/>
      <c r="GG340" s="24"/>
      <c r="GH340" s="24"/>
      <c r="GI340" s="24"/>
      <c r="GJ340" s="24"/>
      <c r="GK340" s="24"/>
      <c r="GL340" s="24"/>
      <c r="GM340" s="24"/>
      <c r="GN340" s="24"/>
      <c r="GO340" s="24"/>
      <c r="GP340" s="24"/>
      <c r="GQ340" s="24"/>
      <c r="GR340" s="24"/>
    </row>
    <row r="341" spans="1:220" s="23" customFormat="1" ht="14.25" customHeight="1">
      <c r="A341" s="20"/>
      <c r="B341" s="21"/>
      <c r="C341" s="22"/>
      <c r="D341" s="22"/>
      <c r="E341" s="22"/>
      <c r="G341" s="22"/>
      <c r="H341" s="22"/>
      <c r="I341" s="22"/>
      <c r="K341" s="22"/>
      <c r="L341" s="22"/>
      <c r="M341" s="22"/>
      <c r="O341" s="22"/>
      <c r="P341" s="22"/>
      <c r="Q341" s="22"/>
      <c r="S341" s="22"/>
      <c r="T341" s="22"/>
      <c r="U341" s="22"/>
      <c r="W341" s="22"/>
      <c r="X341" s="22"/>
      <c r="Y341" s="22"/>
      <c r="AA341" s="22"/>
      <c r="AB341" s="22"/>
      <c r="AC341" s="22"/>
      <c r="AE341" s="24"/>
      <c r="AF341" s="24"/>
      <c r="AG341" s="24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6"/>
      <c r="AW341" s="24"/>
      <c r="AX341" s="20"/>
      <c r="AY341" s="21"/>
      <c r="AZ341" s="22"/>
      <c r="BA341" s="22"/>
      <c r="BB341" s="22"/>
      <c r="BD341" s="22"/>
      <c r="BE341" s="22"/>
      <c r="BF341" s="22"/>
      <c r="BH341" s="22"/>
      <c r="BI341" s="22"/>
      <c r="BJ341" s="22"/>
      <c r="BL341" s="22"/>
      <c r="BM341" s="22"/>
      <c r="BN341" s="22"/>
      <c r="BP341" s="22"/>
      <c r="BQ341" s="22"/>
      <c r="BR341" s="22"/>
      <c r="BT341" s="22"/>
      <c r="BU341" s="22"/>
      <c r="BV341" s="22"/>
      <c r="BX341" s="22"/>
      <c r="BY341" s="22"/>
      <c r="BZ341" s="22"/>
      <c r="CB341" s="24"/>
      <c r="CC341" s="24"/>
      <c r="CD341" s="24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6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  <c r="FZ341" s="24"/>
      <c r="GA341" s="24"/>
      <c r="GB341" s="24"/>
      <c r="GC341" s="24"/>
      <c r="GD341" s="24"/>
      <c r="GE341" s="24"/>
      <c r="GF341" s="24"/>
      <c r="GG341" s="24"/>
      <c r="GH341" s="24"/>
      <c r="GI341" s="24"/>
      <c r="GJ341" s="24"/>
      <c r="GK341" s="24"/>
      <c r="GL341" s="24"/>
      <c r="GM341" s="24"/>
      <c r="GN341" s="24"/>
      <c r="GO341" s="24"/>
      <c r="GP341" s="24"/>
      <c r="GQ341" s="24"/>
      <c r="GR341" s="24"/>
    </row>
    <row r="342" spans="1:220" s="23" customFormat="1" ht="14.25" customHeight="1">
      <c r="A342" s="20"/>
      <c r="B342" s="21"/>
      <c r="C342" s="22"/>
      <c r="D342" s="22"/>
      <c r="E342" s="22"/>
      <c r="G342" s="22"/>
      <c r="H342" s="22"/>
      <c r="I342" s="22"/>
      <c r="K342" s="22"/>
      <c r="L342" s="22"/>
      <c r="M342" s="22"/>
      <c r="O342" s="22"/>
      <c r="P342" s="22"/>
      <c r="Q342" s="22"/>
      <c r="S342" s="22"/>
      <c r="T342" s="22"/>
      <c r="U342" s="22"/>
      <c r="W342" s="22"/>
      <c r="X342" s="22"/>
      <c r="Y342" s="22"/>
      <c r="AA342" s="22"/>
      <c r="AB342" s="22"/>
      <c r="AC342" s="22"/>
      <c r="AE342" s="24"/>
      <c r="AF342" s="24"/>
      <c r="AG342" s="24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6"/>
      <c r="AW342" s="24"/>
      <c r="AX342" s="20"/>
      <c r="AY342" s="21"/>
      <c r="AZ342" s="22"/>
      <c r="BA342" s="22"/>
      <c r="BB342" s="22"/>
      <c r="BD342" s="22"/>
      <c r="BE342" s="22"/>
      <c r="BF342" s="22"/>
      <c r="BH342" s="22"/>
      <c r="BI342" s="22"/>
      <c r="BJ342" s="22"/>
      <c r="BL342" s="22"/>
      <c r="BM342" s="22"/>
      <c r="BN342" s="22"/>
      <c r="BP342" s="22"/>
      <c r="BQ342" s="22"/>
      <c r="BR342" s="22"/>
      <c r="BT342" s="22"/>
      <c r="BU342" s="22"/>
      <c r="BV342" s="22"/>
      <c r="BX342" s="22"/>
      <c r="BY342" s="22"/>
      <c r="BZ342" s="22"/>
      <c r="CB342" s="24"/>
      <c r="CC342" s="24"/>
      <c r="CD342" s="24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6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24"/>
      <c r="GQ342" s="24"/>
      <c r="GR342" s="24"/>
    </row>
    <row r="343" spans="1:220" s="23" customFormat="1" ht="14.25" customHeight="1">
      <c r="A343" s="20"/>
      <c r="B343" s="21"/>
      <c r="C343" s="22"/>
      <c r="D343" s="22"/>
      <c r="E343" s="22"/>
      <c r="G343" s="22"/>
      <c r="H343" s="22"/>
      <c r="I343" s="22"/>
      <c r="K343" s="22"/>
      <c r="L343" s="22"/>
      <c r="M343" s="22"/>
      <c r="O343" s="22"/>
      <c r="P343" s="22"/>
      <c r="Q343" s="22"/>
      <c r="S343" s="22"/>
      <c r="T343" s="22"/>
      <c r="U343" s="22"/>
      <c r="W343" s="22"/>
      <c r="X343" s="22"/>
      <c r="Y343" s="22"/>
      <c r="AA343" s="22"/>
      <c r="AB343" s="22"/>
      <c r="AC343" s="22"/>
      <c r="AE343" s="24"/>
      <c r="AF343" s="24"/>
      <c r="AG343" s="24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6"/>
      <c r="AW343" s="24"/>
      <c r="AX343" s="20"/>
      <c r="AY343" s="21"/>
      <c r="AZ343" s="22"/>
      <c r="BA343" s="22"/>
      <c r="BB343" s="22"/>
      <c r="BD343" s="22"/>
      <c r="BE343" s="22"/>
      <c r="BF343" s="22"/>
      <c r="BH343" s="22"/>
      <c r="BI343" s="22"/>
      <c r="BJ343" s="22"/>
      <c r="BL343" s="22"/>
      <c r="BM343" s="22"/>
      <c r="BN343" s="22"/>
      <c r="BP343" s="22"/>
      <c r="BQ343" s="22"/>
      <c r="BR343" s="22"/>
      <c r="BT343" s="22"/>
      <c r="BU343" s="22"/>
      <c r="BV343" s="22"/>
      <c r="BX343" s="22"/>
      <c r="BY343" s="22"/>
      <c r="BZ343" s="22"/>
      <c r="CB343" s="24"/>
      <c r="CC343" s="24"/>
      <c r="CD343" s="24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6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  <c r="EH343" s="24"/>
      <c r="EI343" s="24"/>
      <c r="EJ343" s="24"/>
      <c r="EK343" s="24"/>
      <c r="EL343" s="24"/>
      <c r="EM343" s="24"/>
      <c r="EN343" s="24"/>
      <c r="EO343" s="24"/>
      <c r="EP343" s="24"/>
      <c r="EQ343" s="24"/>
      <c r="ER343" s="24"/>
      <c r="ES343" s="24"/>
      <c r="ET343" s="24"/>
      <c r="EU343" s="24"/>
      <c r="EV343" s="24"/>
      <c r="EW343" s="24"/>
      <c r="EX343" s="24"/>
      <c r="EY343" s="24"/>
      <c r="EZ343" s="24"/>
      <c r="FA343" s="24"/>
      <c r="FB343" s="24"/>
      <c r="FC343" s="24"/>
      <c r="FD343" s="24"/>
      <c r="FE343" s="24"/>
      <c r="FF343" s="24"/>
      <c r="FG343" s="24"/>
      <c r="FH343" s="24"/>
      <c r="FI343" s="24"/>
      <c r="FJ343" s="24"/>
      <c r="FK343" s="24"/>
      <c r="FL343" s="24"/>
      <c r="FM343" s="24"/>
      <c r="FN343" s="24"/>
      <c r="FO343" s="24"/>
      <c r="FP343" s="24"/>
      <c r="FQ343" s="24"/>
      <c r="FR343" s="24"/>
      <c r="FS343" s="24"/>
      <c r="FT343" s="24"/>
      <c r="FU343" s="24"/>
      <c r="FV343" s="24"/>
      <c r="FW343" s="24"/>
      <c r="FX343" s="24"/>
      <c r="FY343" s="24"/>
      <c r="FZ343" s="24"/>
      <c r="GA343" s="24"/>
      <c r="GB343" s="24"/>
      <c r="GC343" s="24"/>
      <c r="GD343" s="24"/>
      <c r="GE343" s="24"/>
      <c r="GF343" s="24"/>
      <c r="GG343" s="24"/>
      <c r="GH343" s="24"/>
      <c r="GI343" s="24"/>
      <c r="GJ343" s="24"/>
      <c r="GK343" s="24"/>
      <c r="GL343" s="24"/>
      <c r="GM343" s="24"/>
      <c r="GN343" s="24"/>
      <c r="GO343" s="24"/>
      <c r="GP343" s="24"/>
      <c r="GQ343" s="24"/>
      <c r="GR343" s="24"/>
    </row>
    <row r="344" spans="1:220" s="23" customFormat="1" ht="14.25" customHeight="1">
      <c r="A344" s="20"/>
      <c r="B344" s="21"/>
      <c r="C344" s="22"/>
      <c r="D344" s="22"/>
      <c r="E344" s="22"/>
      <c r="G344" s="22"/>
      <c r="H344" s="22"/>
      <c r="I344" s="22"/>
      <c r="K344" s="22"/>
      <c r="L344" s="22"/>
      <c r="M344" s="22"/>
      <c r="O344" s="22"/>
      <c r="P344" s="22"/>
      <c r="Q344" s="22"/>
      <c r="S344" s="22"/>
      <c r="T344" s="22"/>
      <c r="U344" s="22"/>
      <c r="W344" s="22"/>
      <c r="X344" s="22"/>
      <c r="Y344" s="22"/>
      <c r="AA344" s="22"/>
      <c r="AB344" s="22"/>
      <c r="AC344" s="22"/>
      <c r="AE344" s="24"/>
      <c r="AF344" s="24"/>
      <c r="AG344" s="24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6"/>
      <c r="AW344" s="24"/>
      <c r="AX344" s="20"/>
      <c r="AY344" s="21"/>
      <c r="AZ344" s="22"/>
      <c r="BA344" s="22"/>
      <c r="BB344" s="22"/>
      <c r="BD344" s="22"/>
      <c r="BE344" s="22"/>
      <c r="BF344" s="22"/>
      <c r="BH344" s="22"/>
      <c r="BI344" s="22"/>
      <c r="BJ344" s="22"/>
      <c r="BL344" s="22"/>
      <c r="BM344" s="22"/>
      <c r="BN344" s="22"/>
      <c r="BP344" s="22"/>
      <c r="BQ344" s="22"/>
      <c r="BR344" s="22"/>
      <c r="BT344" s="22"/>
      <c r="BU344" s="22"/>
      <c r="BV344" s="22"/>
      <c r="BX344" s="22"/>
      <c r="BY344" s="22"/>
      <c r="BZ344" s="22"/>
      <c r="CB344" s="24"/>
      <c r="CC344" s="24"/>
      <c r="CD344" s="24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6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4"/>
      <c r="EC344" s="24"/>
      <c r="ED344" s="24"/>
      <c r="EE344" s="24"/>
      <c r="EF344" s="24"/>
      <c r="EG344" s="24"/>
      <c r="EH344" s="24"/>
      <c r="EI344" s="24"/>
      <c r="EJ344" s="24"/>
      <c r="EK344" s="24"/>
      <c r="EL344" s="24"/>
      <c r="EM344" s="24"/>
      <c r="EN344" s="24"/>
      <c r="EO344" s="24"/>
      <c r="EP344" s="24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4"/>
      <c r="FC344" s="24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4"/>
      <c r="FP344" s="24"/>
      <c r="FQ344" s="24"/>
      <c r="FR344" s="24"/>
      <c r="FS344" s="24"/>
      <c r="FT344" s="24"/>
      <c r="FU344" s="24"/>
      <c r="FV344" s="24"/>
      <c r="FW344" s="24"/>
      <c r="FX344" s="24"/>
      <c r="FY344" s="24"/>
      <c r="FZ344" s="24"/>
      <c r="GA344" s="24"/>
      <c r="GB344" s="24"/>
      <c r="GC344" s="24"/>
      <c r="GD344" s="24"/>
      <c r="GE344" s="24"/>
      <c r="GF344" s="24"/>
      <c r="GG344" s="24"/>
      <c r="GH344" s="24"/>
      <c r="GI344" s="24"/>
      <c r="GJ344" s="24"/>
      <c r="GK344" s="24"/>
      <c r="GL344" s="24"/>
      <c r="GM344" s="24"/>
      <c r="GN344" s="24"/>
      <c r="GO344" s="24"/>
      <c r="GP344" s="24"/>
      <c r="GQ344" s="24"/>
      <c r="GR344" s="24"/>
    </row>
    <row r="345" spans="1:220" s="23" customFormat="1" ht="14.25" customHeight="1">
      <c r="A345" s="20"/>
      <c r="B345" s="21"/>
      <c r="C345" s="22"/>
      <c r="D345" s="22"/>
      <c r="E345" s="22"/>
      <c r="G345" s="22"/>
      <c r="H345" s="22"/>
      <c r="I345" s="22"/>
      <c r="K345" s="22"/>
      <c r="L345" s="22"/>
      <c r="M345" s="22"/>
      <c r="O345" s="22"/>
      <c r="P345" s="22"/>
      <c r="Q345" s="22"/>
      <c r="S345" s="22"/>
      <c r="T345" s="22"/>
      <c r="U345" s="22"/>
      <c r="W345" s="22"/>
      <c r="X345" s="22"/>
      <c r="Y345" s="22"/>
      <c r="AA345" s="22"/>
      <c r="AB345" s="22"/>
      <c r="AC345" s="22"/>
      <c r="AE345" s="24"/>
      <c r="AF345" s="24"/>
      <c r="AG345" s="24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6"/>
      <c r="AW345" s="24"/>
      <c r="AX345" s="20"/>
      <c r="AY345" s="21"/>
      <c r="AZ345" s="22"/>
      <c r="BA345" s="22"/>
      <c r="BB345" s="22"/>
      <c r="BD345" s="22"/>
      <c r="BE345" s="22"/>
      <c r="BF345" s="22"/>
      <c r="BH345" s="22"/>
      <c r="BI345" s="22"/>
      <c r="BJ345" s="22"/>
      <c r="BL345" s="22"/>
      <c r="BM345" s="22"/>
      <c r="BN345" s="22"/>
      <c r="BP345" s="22"/>
      <c r="BQ345" s="22"/>
      <c r="BR345" s="22"/>
      <c r="BT345" s="22"/>
      <c r="BU345" s="22"/>
      <c r="BV345" s="22"/>
      <c r="BX345" s="22"/>
      <c r="BY345" s="22"/>
      <c r="BZ345" s="22"/>
      <c r="CB345" s="24"/>
      <c r="CC345" s="24"/>
      <c r="CD345" s="24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6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  <c r="EH345" s="24"/>
      <c r="EI345" s="24"/>
      <c r="EJ345" s="24"/>
      <c r="EK345" s="24"/>
      <c r="EL345" s="24"/>
      <c r="EM345" s="24"/>
      <c r="EN345" s="24"/>
      <c r="EO345" s="24"/>
      <c r="EP345" s="24"/>
      <c r="EQ345" s="24"/>
      <c r="ER345" s="24"/>
      <c r="ES345" s="24"/>
      <c r="ET345" s="24"/>
      <c r="EU345" s="24"/>
      <c r="EV345" s="24"/>
      <c r="EW345" s="24"/>
      <c r="EX345" s="24"/>
      <c r="EY345" s="24"/>
      <c r="EZ345" s="24"/>
      <c r="FA345" s="24"/>
      <c r="FB345" s="24"/>
      <c r="FC345" s="24"/>
      <c r="FD345" s="24"/>
      <c r="FE345" s="24"/>
      <c r="FF345" s="24"/>
      <c r="FG345" s="24"/>
      <c r="FH345" s="24"/>
      <c r="FI345" s="24"/>
      <c r="FJ345" s="24"/>
      <c r="FK345" s="24"/>
      <c r="FL345" s="24"/>
      <c r="FM345" s="24"/>
      <c r="FN345" s="24"/>
      <c r="FO345" s="24"/>
      <c r="FP345" s="24"/>
      <c r="FQ345" s="24"/>
      <c r="FR345" s="24"/>
      <c r="FS345" s="24"/>
      <c r="FT345" s="24"/>
      <c r="FU345" s="24"/>
      <c r="FV345" s="24"/>
      <c r="FW345" s="24"/>
      <c r="FX345" s="24"/>
      <c r="FY345" s="24"/>
      <c r="FZ345" s="24"/>
      <c r="GA345" s="24"/>
      <c r="GB345" s="24"/>
      <c r="GC345" s="24"/>
      <c r="GD345" s="24"/>
      <c r="GE345" s="24"/>
      <c r="GF345" s="24"/>
      <c r="GG345" s="24"/>
      <c r="GH345" s="24"/>
      <c r="GI345" s="24"/>
      <c r="GJ345" s="24"/>
      <c r="GK345" s="24"/>
      <c r="GL345" s="24"/>
      <c r="GM345" s="24"/>
      <c r="GN345" s="24"/>
      <c r="GO345" s="24"/>
      <c r="GP345" s="24"/>
      <c r="GQ345" s="24"/>
      <c r="GR345" s="24"/>
    </row>
    <row r="346" spans="1:220" s="23" customFormat="1" ht="14.25" customHeight="1">
      <c r="A346" s="20"/>
      <c r="B346" s="21"/>
      <c r="C346" s="22"/>
      <c r="D346" s="22"/>
      <c r="E346" s="22"/>
      <c r="G346" s="22"/>
      <c r="H346" s="22"/>
      <c r="I346" s="22"/>
      <c r="K346" s="22"/>
      <c r="L346" s="22"/>
      <c r="M346" s="22"/>
      <c r="O346" s="22"/>
      <c r="P346" s="22"/>
      <c r="Q346" s="22"/>
      <c r="S346" s="22"/>
      <c r="T346" s="22"/>
      <c r="U346" s="22"/>
      <c r="W346" s="22"/>
      <c r="X346" s="22"/>
      <c r="Y346" s="22"/>
      <c r="AA346" s="22"/>
      <c r="AB346" s="22"/>
      <c r="AC346" s="22"/>
      <c r="AE346" s="24"/>
      <c r="AF346" s="24"/>
      <c r="AG346" s="24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6"/>
      <c r="AW346" s="24"/>
      <c r="AX346" s="20"/>
      <c r="AY346" s="21"/>
      <c r="AZ346" s="22"/>
      <c r="BA346" s="22"/>
      <c r="BB346" s="22"/>
      <c r="BD346" s="22"/>
      <c r="BE346" s="22"/>
      <c r="BF346" s="22"/>
      <c r="BH346" s="22"/>
      <c r="BI346" s="22"/>
      <c r="BJ346" s="22"/>
      <c r="BL346" s="22"/>
      <c r="BM346" s="22"/>
      <c r="BN346" s="22"/>
      <c r="BP346" s="22"/>
      <c r="BQ346" s="22"/>
      <c r="BR346" s="22"/>
      <c r="BT346" s="22"/>
      <c r="BU346" s="22"/>
      <c r="BV346" s="22"/>
      <c r="BX346" s="22"/>
      <c r="BY346" s="22"/>
      <c r="BZ346" s="22"/>
      <c r="CB346" s="24"/>
      <c r="CC346" s="24"/>
      <c r="CD346" s="24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6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4"/>
      <c r="EP346" s="24"/>
      <c r="EQ346" s="24"/>
      <c r="ER346" s="24"/>
      <c r="ES346" s="24"/>
      <c r="ET346" s="24"/>
      <c r="EU346" s="24"/>
      <c r="EV346" s="24"/>
      <c r="EW346" s="24"/>
      <c r="EX346" s="24"/>
      <c r="EY346" s="24"/>
      <c r="EZ346" s="24"/>
      <c r="FA346" s="24"/>
      <c r="FB346" s="24"/>
      <c r="FC346" s="24"/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4"/>
      <c r="FP346" s="24"/>
      <c r="FQ346" s="24"/>
      <c r="FR346" s="24"/>
      <c r="FS346" s="24"/>
      <c r="FT346" s="24"/>
      <c r="FU346" s="24"/>
      <c r="FV346" s="24"/>
      <c r="FW346" s="24"/>
      <c r="FX346" s="24"/>
      <c r="FY346" s="24"/>
      <c r="FZ346" s="24"/>
      <c r="GA346" s="24"/>
      <c r="GB346" s="24"/>
      <c r="GC346" s="24"/>
      <c r="GD346" s="24"/>
      <c r="GE346" s="24"/>
      <c r="GF346" s="24"/>
      <c r="GG346" s="24"/>
      <c r="GH346" s="24"/>
      <c r="GI346" s="24"/>
      <c r="GJ346" s="24"/>
      <c r="GK346" s="24"/>
      <c r="GL346" s="24"/>
      <c r="GM346" s="24"/>
      <c r="GN346" s="24"/>
      <c r="GO346" s="24"/>
      <c r="GP346" s="24"/>
      <c r="GQ346" s="24"/>
      <c r="GR346" s="24"/>
    </row>
    <row r="347" spans="1:220" s="23" customFormat="1" ht="14.25" customHeight="1">
      <c r="A347" s="20"/>
      <c r="B347" s="21"/>
      <c r="C347" s="22"/>
      <c r="D347" s="22"/>
      <c r="E347" s="22"/>
      <c r="G347" s="22"/>
      <c r="H347" s="22"/>
      <c r="I347" s="22"/>
      <c r="K347" s="22"/>
      <c r="L347" s="22"/>
      <c r="M347" s="22"/>
      <c r="O347" s="22"/>
      <c r="P347" s="22"/>
      <c r="Q347" s="22"/>
      <c r="S347" s="22"/>
      <c r="T347" s="22"/>
      <c r="U347" s="22"/>
      <c r="W347" s="22"/>
      <c r="X347" s="22"/>
      <c r="Y347" s="22"/>
      <c r="AA347" s="22"/>
      <c r="AB347" s="22"/>
      <c r="AC347" s="22"/>
      <c r="AE347" s="24"/>
      <c r="AF347" s="24"/>
      <c r="AG347" s="24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6"/>
      <c r="AW347" s="24"/>
      <c r="AX347" s="20"/>
      <c r="AY347" s="21"/>
      <c r="AZ347" s="22"/>
      <c r="BA347" s="22"/>
      <c r="BB347" s="22"/>
      <c r="BD347" s="22"/>
      <c r="BE347" s="22"/>
      <c r="BF347" s="22"/>
      <c r="BH347" s="22"/>
      <c r="BI347" s="22"/>
      <c r="BJ347" s="22"/>
      <c r="BL347" s="22"/>
      <c r="BM347" s="22"/>
      <c r="BN347" s="22"/>
      <c r="BP347" s="22"/>
      <c r="BQ347" s="22"/>
      <c r="BR347" s="22"/>
      <c r="BT347" s="22"/>
      <c r="BU347" s="22"/>
      <c r="BV347" s="22"/>
      <c r="BX347" s="22"/>
      <c r="BY347" s="22"/>
      <c r="BZ347" s="22"/>
      <c r="CB347" s="24"/>
      <c r="CC347" s="24"/>
      <c r="CD347" s="24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6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4"/>
      <c r="EF347" s="24"/>
      <c r="EG347" s="24"/>
      <c r="EH347" s="24"/>
      <c r="EI347" s="24"/>
      <c r="EJ347" s="24"/>
      <c r="EK347" s="24"/>
      <c r="EL347" s="24"/>
      <c r="EM347" s="24"/>
      <c r="EN347" s="24"/>
      <c r="EO347" s="24"/>
      <c r="EP347" s="24"/>
      <c r="EQ347" s="24"/>
      <c r="ER347" s="24"/>
      <c r="ES347" s="24"/>
      <c r="ET347" s="24"/>
      <c r="EU347" s="24"/>
      <c r="EV347" s="24"/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4"/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  <c r="FZ347" s="24"/>
      <c r="GA347" s="24"/>
      <c r="GB347" s="24"/>
      <c r="GC347" s="24"/>
      <c r="GD347" s="24"/>
      <c r="GE347" s="24"/>
      <c r="GF347" s="24"/>
      <c r="GG347" s="24"/>
      <c r="GH347" s="24"/>
      <c r="GI347" s="24"/>
      <c r="GJ347" s="24"/>
      <c r="GK347" s="24"/>
      <c r="GL347" s="24"/>
      <c r="GM347" s="24"/>
      <c r="GN347" s="24"/>
      <c r="GO347" s="24"/>
      <c r="GP347" s="24"/>
      <c r="GQ347" s="24"/>
      <c r="GR347" s="24"/>
    </row>
    <row r="348" spans="1:220" s="23" customFormat="1" ht="14.25" customHeight="1">
      <c r="A348" s="20"/>
      <c r="B348" s="21"/>
      <c r="C348" s="22"/>
      <c r="D348" s="22"/>
      <c r="E348" s="22"/>
      <c r="G348" s="22"/>
      <c r="H348" s="22"/>
      <c r="I348" s="22"/>
      <c r="K348" s="22"/>
      <c r="L348" s="22"/>
      <c r="M348" s="22"/>
      <c r="O348" s="22"/>
      <c r="P348" s="22"/>
      <c r="Q348" s="22"/>
      <c r="S348" s="22"/>
      <c r="T348" s="22"/>
      <c r="U348" s="22"/>
      <c r="W348" s="22"/>
      <c r="X348" s="22"/>
      <c r="Y348" s="22"/>
      <c r="AA348" s="22"/>
      <c r="AB348" s="22"/>
      <c r="AC348" s="22"/>
      <c r="AE348" s="24"/>
      <c r="AF348" s="24"/>
      <c r="AG348" s="24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6"/>
      <c r="AW348" s="24"/>
      <c r="AX348" s="20"/>
      <c r="AY348" s="21"/>
      <c r="AZ348" s="22"/>
      <c r="BA348" s="22"/>
      <c r="BB348" s="22"/>
      <c r="BD348" s="22"/>
      <c r="BE348" s="22"/>
      <c r="BF348" s="22"/>
      <c r="BH348" s="22"/>
      <c r="BI348" s="22"/>
      <c r="BJ348" s="22"/>
      <c r="BL348" s="22"/>
      <c r="BM348" s="22"/>
      <c r="BN348" s="22"/>
      <c r="BP348" s="22"/>
      <c r="BQ348" s="22"/>
      <c r="BR348" s="22"/>
      <c r="BT348" s="22"/>
      <c r="BU348" s="22"/>
      <c r="BV348" s="22"/>
      <c r="BX348" s="22"/>
      <c r="BY348" s="22"/>
      <c r="BZ348" s="22"/>
      <c r="CB348" s="24"/>
      <c r="CC348" s="24"/>
      <c r="CD348" s="24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6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24"/>
      <c r="DJ348" s="24"/>
      <c r="DK348" s="24"/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4"/>
      <c r="EP348" s="24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4"/>
      <c r="FC348" s="24"/>
      <c r="FD348" s="24"/>
      <c r="FE348" s="24"/>
      <c r="FF348" s="24"/>
      <c r="FG348" s="24"/>
      <c r="FH348" s="24"/>
      <c r="FI348" s="24"/>
      <c r="FJ348" s="24"/>
      <c r="FK348" s="24"/>
      <c r="FL348" s="24"/>
      <c r="FM348" s="24"/>
      <c r="FN348" s="24"/>
      <c r="FO348" s="24"/>
      <c r="FP348" s="24"/>
      <c r="FQ348" s="24"/>
      <c r="FR348" s="24"/>
      <c r="FS348" s="24"/>
      <c r="FT348" s="24"/>
      <c r="FU348" s="24"/>
      <c r="FV348" s="24"/>
      <c r="FW348" s="24"/>
      <c r="FX348" s="24"/>
      <c r="FY348" s="24"/>
      <c r="FZ348" s="24"/>
      <c r="GA348" s="24"/>
      <c r="GB348" s="24"/>
      <c r="GC348" s="24"/>
      <c r="GD348" s="24"/>
      <c r="GE348" s="24"/>
      <c r="GF348" s="24"/>
      <c r="GG348" s="24"/>
      <c r="GH348" s="24"/>
      <c r="GI348" s="24"/>
      <c r="GJ348" s="24"/>
      <c r="GK348" s="24"/>
      <c r="GL348" s="24"/>
      <c r="GM348" s="24"/>
      <c r="GN348" s="24"/>
      <c r="GO348" s="24"/>
      <c r="GP348" s="24"/>
      <c r="GQ348" s="24"/>
      <c r="GR348" s="24"/>
    </row>
    <row r="349" spans="1:220" s="23" customFormat="1" ht="14.25" customHeight="1">
      <c r="A349" s="20"/>
      <c r="B349" s="21"/>
      <c r="C349" s="22"/>
      <c r="D349" s="22"/>
      <c r="E349" s="22"/>
      <c r="G349" s="22"/>
      <c r="H349" s="22"/>
      <c r="I349" s="22"/>
      <c r="K349" s="22"/>
      <c r="L349" s="22"/>
      <c r="M349" s="22"/>
      <c r="O349" s="22"/>
      <c r="P349" s="22"/>
      <c r="Q349" s="22"/>
      <c r="S349" s="22"/>
      <c r="T349" s="22"/>
      <c r="U349" s="22"/>
      <c r="W349" s="22"/>
      <c r="X349" s="22"/>
      <c r="Y349" s="22"/>
      <c r="AA349" s="22"/>
      <c r="AB349" s="22"/>
      <c r="AC349" s="22"/>
      <c r="AE349" s="24"/>
      <c r="AF349" s="24"/>
      <c r="AG349" s="24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6"/>
      <c r="AW349" s="24"/>
      <c r="AX349" s="20"/>
      <c r="AY349" s="21"/>
      <c r="AZ349" s="22"/>
      <c r="BA349" s="22"/>
      <c r="BB349" s="22"/>
      <c r="BD349" s="22"/>
      <c r="BE349" s="22"/>
      <c r="BF349" s="22"/>
      <c r="BH349" s="22"/>
      <c r="BI349" s="22"/>
      <c r="BJ349" s="22"/>
      <c r="BL349" s="22"/>
      <c r="BM349" s="22"/>
      <c r="BN349" s="22"/>
      <c r="BP349" s="22"/>
      <c r="BQ349" s="22"/>
      <c r="BR349" s="22"/>
      <c r="BT349" s="22"/>
      <c r="BU349" s="22"/>
      <c r="BV349" s="22"/>
      <c r="BX349" s="22"/>
      <c r="BY349" s="22"/>
      <c r="BZ349" s="22"/>
      <c r="CB349" s="24"/>
      <c r="CC349" s="24"/>
      <c r="CD349" s="24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6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24"/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/>
      <c r="ED349" s="24"/>
      <c r="EE349" s="24"/>
      <c r="EF349" s="24"/>
      <c r="EG349" s="24"/>
      <c r="EH349" s="24"/>
      <c r="EI349" s="24"/>
      <c r="EJ349" s="24"/>
      <c r="EK349" s="24"/>
      <c r="EL349" s="24"/>
      <c r="EM349" s="24"/>
      <c r="EN349" s="24"/>
      <c r="EO349" s="24"/>
      <c r="EP349" s="24"/>
      <c r="EQ349" s="24"/>
      <c r="ER349" s="24"/>
      <c r="ES349" s="24"/>
      <c r="ET349" s="24"/>
      <c r="EU349" s="24"/>
      <c r="EV349" s="24"/>
      <c r="EW349" s="24"/>
      <c r="EX349" s="24"/>
      <c r="EY349" s="24"/>
      <c r="EZ349" s="24"/>
      <c r="FA349" s="24"/>
      <c r="FB349" s="24"/>
      <c r="FC349" s="24"/>
      <c r="FD349" s="24"/>
      <c r="FE349" s="24"/>
      <c r="FF349" s="24"/>
      <c r="FG349" s="24"/>
      <c r="FH349" s="24"/>
      <c r="FI349" s="24"/>
      <c r="FJ349" s="24"/>
      <c r="FK349" s="24"/>
      <c r="FL349" s="24"/>
      <c r="FM349" s="24"/>
      <c r="FN349" s="24"/>
      <c r="FO349" s="24"/>
      <c r="FP349" s="24"/>
      <c r="FQ349" s="24"/>
      <c r="FR349" s="24"/>
      <c r="FS349" s="24"/>
      <c r="FT349" s="24"/>
      <c r="FU349" s="24"/>
      <c r="FV349" s="24"/>
      <c r="FW349" s="24"/>
      <c r="FX349" s="24"/>
      <c r="FY349" s="24"/>
      <c r="FZ349" s="24"/>
      <c r="GA349" s="24"/>
      <c r="GB349" s="24"/>
      <c r="GC349" s="24"/>
      <c r="GD349" s="24"/>
      <c r="GE349" s="24"/>
      <c r="GF349" s="24"/>
      <c r="GG349" s="24"/>
      <c r="GH349" s="24"/>
      <c r="GI349" s="24"/>
      <c r="GJ349" s="24"/>
      <c r="GK349" s="24"/>
      <c r="GL349" s="24"/>
      <c r="GM349" s="24"/>
      <c r="GN349" s="24"/>
      <c r="GO349" s="24"/>
      <c r="GP349" s="24"/>
      <c r="GQ349" s="24"/>
      <c r="GR349" s="24"/>
    </row>
    <row r="350" spans="1:220" s="23" customFormat="1" ht="14.25" customHeight="1">
      <c r="A350" s="20"/>
      <c r="B350" s="21"/>
      <c r="C350" s="22"/>
      <c r="D350" s="22"/>
      <c r="E350" s="22"/>
      <c r="G350" s="22"/>
      <c r="H350" s="22"/>
      <c r="I350" s="22"/>
      <c r="K350" s="22"/>
      <c r="L350" s="22"/>
      <c r="M350" s="22"/>
      <c r="O350" s="22"/>
      <c r="P350" s="22"/>
      <c r="Q350" s="22"/>
      <c r="S350" s="22"/>
      <c r="T350" s="22"/>
      <c r="U350" s="22"/>
      <c r="W350" s="22"/>
      <c r="X350" s="22"/>
      <c r="Y350" s="22"/>
      <c r="AA350" s="22"/>
      <c r="AB350" s="22"/>
      <c r="AC350" s="22"/>
      <c r="AE350" s="24"/>
      <c r="AF350" s="24"/>
      <c r="AG350" s="24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6"/>
      <c r="AW350" s="24"/>
      <c r="AX350" s="20"/>
      <c r="AY350" s="21"/>
      <c r="AZ350" s="22"/>
      <c r="BA350" s="22"/>
      <c r="BB350" s="22"/>
      <c r="BD350" s="22"/>
      <c r="BE350" s="22"/>
      <c r="BF350" s="22"/>
      <c r="BH350" s="22"/>
      <c r="BI350" s="22"/>
      <c r="BJ350" s="22"/>
      <c r="BL350" s="22"/>
      <c r="BM350" s="22"/>
      <c r="BN350" s="22"/>
      <c r="BP350" s="22"/>
      <c r="BQ350" s="22"/>
      <c r="BR350" s="22"/>
      <c r="BT350" s="22"/>
      <c r="BU350" s="22"/>
      <c r="BV350" s="22"/>
      <c r="BX350" s="22"/>
      <c r="BY350" s="22"/>
      <c r="BZ350" s="22"/>
      <c r="CB350" s="24"/>
      <c r="CC350" s="24"/>
      <c r="CD350" s="24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6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4"/>
      <c r="EP350" s="24"/>
      <c r="EQ350" s="24"/>
      <c r="ER350" s="24"/>
      <c r="ES350" s="24"/>
      <c r="ET350" s="24"/>
      <c r="EU350" s="24"/>
      <c r="EV350" s="24"/>
      <c r="EW350" s="24"/>
      <c r="EX350" s="24"/>
      <c r="EY350" s="24"/>
      <c r="EZ350" s="24"/>
      <c r="FA350" s="24"/>
      <c r="FB350" s="24"/>
      <c r="FC350" s="24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4"/>
      <c r="FP350" s="24"/>
      <c r="FQ350" s="24"/>
      <c r="FR350" s="24"/>
      <c r="FS350" s="24"/>
      <c r="FT350" s="24"/>
      <c r="FU350" s="24"/>
      <c r="FV350" s="24"/>
      <c r="FW350" s="24"/>
      <c r="FX350" s="24"/>
      <c r="FY350" s="24"/>
      <c r="FZ350" s="24"/>
      <c r="GA350" s="24"/>
      <c r="GB350" s="24"/>
      <c r="GC350" s="24"/>
      <c r="GD350" s="24"/>
      <c r="GE350" s="24"/>
      <c r="GF350" s="24"/>
      <c r="GG350" s="24"/>
      <c r="GH350" s="24"/>
      <c r="GI350" s="24"/>
      <c r="GJ350" s="24"/>
      <c r="GK350" s="24"/>
      <c r="GL350" s="24"/>
      <c r="GM350" s="24"/>
      <c r="GN350" s="24"/>
      <c r="GO350" s="24"/>
      <c r="GP350" s="24"/>
      <c r="GQ350" s="24"/>
      <c r="GR350" s="24"/>
    </row>
    <row r="351" spans="1:220" s="23" customFormat="1" ht="14.25" customHeight="1">
      <c r="A351" s="20"/>
      <c r="B351" s="21"/>
      <c r="C351" s="22"/>
      <c r="D351" s="22"/>
      <c r="E351" s="22"/>
      <c r="G351" s="22"/>
      <c r="H351" s="22"/>
      <c r="I351" s="22"/>
      <c r="K351" s="22"/>
      <c r="L351" s="22"/>
      <c r="M351" s="22"/>
      <c r="O351" s="22"/>
      <c r="P351" s="22"/>
      <c r="Q351" s="22"/>
      <c r="S351" s="22"/>
      <c r="T351" s="22"/>
      <c r="U351" s="22"/>
      <c r="W351" s="22"/>
      <c r="X351" s="22"/>
      <c r="Y351" s="22"/>
      <c r="AA351" s="22"/>
      <c r="AB351" s="22"/>
      <c r="AC351" s="22"/>
      <c r="AE351" s="24"/>
      <c r="AF351" s="24"/>
      <c r="AG351" s="24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6"/>
      <c r="AW351" s="24"/>
      <c r="AX351" s="20"/>
      <c r="AY351" s="21"/>
      <c r="AZ351" s="22"/>
      <c r="BA351" s="22"/>
      <c r="BB351" s="22"/>
      <c r="BD351" s="22"/>
      <c r="BE351" s="22"/>
      <c r="BF351" s="22"/>
      <c r="BH351" s="22"/>
      <c r="BI351" s="22"/>
      <c r="BJ351" s="22"/>
      <c r="BL351" s="22"/>
      <c r="BM351" s="22"/>
      <c r="BN351" s="22"/>
      <c r="BP351" s="22"/>
      <c r="BQ351" s="22"/>
      <c r="BR351" s="22"/>
      <c r="BT351" s="22"/>
      <c r="BU351" s="22"/>
      <c r="BV351" s="22"/>
      <c r="BX351" s="22"/>
      <c r="BY351" s="22"/>
      <c r="BZ351" s="22"/>
      <c r="CB351" s="24"/>
      <c r="CC351" s="24"/>
      <c r="CD351" s="24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6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  <c r="EH351" s="24"/>
      <c r="EI351" s="24"/>
      <c r="EJ351" s="24"/>
      <c r="EK351" s="24"/>
      <c r="EL351" s="24"/>
      <c r="EM351" s="24"/>
      <c r="EN351" s="24"/>
      <c r="EO351" s="24"/>
      <c r="EP351" s="24"/>
      <c r="EQ351" s="24"/>
      <c r="ER351" s="24"/>
      <c r="ES351" s="24"/>
      <c r="ET351" s="24"/>
      <c r="EU351" s="24"/>
      <c r="EV351" s="24"/>
      <c r="EW351" s="24"/>
      <c r="EX351" s="24"/>
      <c r="EY351" s="24"/>
      <c r="EZ351" s="24"/>
      <c r="FA351" s="24"/>
      <c r="FB351" s="24"/>
      <c r="FC351" s="24"/>
      <c r="FD351" s="24"/>
      <c r="FE351" s="24"/>
      <c r="FF351" s="24"/>
      <c r="FG351" s="24"/>
      <c r="FH351" s="24"/>
      <c r="FI351" s="24"/>
      <c r="FJ351" s="24"/>
      <c r="FK351" s="24"/>
      <c r="FL351" s="24"/>
      <c r="FM351" s="24"/>
      <c r="FN351" s="24"/>
      <c r="FO351" s="24"/>
      <c r="FP351" s="24"/>
      <c r="FQ351" s="24"/>
      <c r="FR351" s="24"/>
      <c r="FS351" s="24"/>
      <c r="FT351" s="24"/>
      <c r="FU351" s="24"/>
      <c r="FV351" s="24"/>
      <c r="FW351" s="24"/>
      <c r="FX351" s="24"/>
      <c r="FY351" s="24"/>
      <c r="FZ351" s="24"/>
      <c r="GA351" s="24"/>
      <c r="GB351" s="24"/>
      <c r="GC351" s="24"/>
      <c r="GD351" s="24"/>
      <c r="GE351" s="24"/>
      <c r="GF351" s="24"/>
      <c r="GG351" s="24"/>
      <c r="GH351" s="24"/>
      <c r="GI351" s="24"/>
      <c r="GJ351" s="24"/>
      <c r="GK351" s="24"/>
      <c r="GL351" s="24"/>
      <c r="GM351" s="24"/>
      <c r="GN351" s="24"/>
      <c r="GO351" s="24"/>
      <c r="GP351" s="24"/>
      <c r="GQ351" s="24"/>
      <c r="GR351" s="24"/>
      <c r="GS351" s="24"/>
      <c r="GT351" s="24"/>
      <c r="GU351" s="24"/>
      <c r="GV351" s="24"/>
      <c r="GW351" s="24"/>
      <c r="GX351" s="24"/>
      <c r="GY351" s="24"/>
      <c r="GZ351" s="24"/>
      <c r="HA351" s="24"/>
      <c r="HB351" s="24"/>
      <c r="HC351" s="24"/>
      <c r="HD351" s="24"/>
      <c r="HE351" s="24"/>
      <c r="HF351" s="24"/>
      <c r="HG351" s="24"/>
      <c r="HH351" s="24"/>
      <c r="HI351" s="24"/>
      <c r="HJ351" s="24"/>
      <c r="HK351" s="24"/>
      <c r="HL351" s="24"/>
    </row>
    <row r="352" spans="1:220" s="23" customFormat="1" ht="14.25" customHeight="1">
      <c r="A352" s="20"/>
      <c r="B352" s="21"/>
      <c r="C352" s="22"/>
      <c r="D352" s="22"/>
      <c r="E352" s="22"/>
      <c r="G352" s="22"/>
      <c r="H352" s="22"/>
      <c r="I352" s="22"/>
      <c r="K352" s="22"/>
      <c r="L352" s="22"/>
      <c r="M352" s="22"/>
      <c r="O352" s="22"/>
      <c r="P352" s="22"/>
      <c r="Q352" s="22"/>
      <c r="S352" s="22"/>
      <c r="T352" s="22"/>
      <c r="U352" s="22"/>
      <c r="W352" s="22"/>
      <c r="X352" s="22"/>
      <c r="Y352" s="22"/>
      <c r="AA352" s="22"/>
      <c r="AB352" s="22"/>
      <c r="AC352" s="22"/>
      <c r="AE352" s="24"/>
      <c r="AF352" s="24"/>
      <c r="AG352" s="24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6"/>
      <c r="AW352" s="24"/>
      <c r="AX352" s="20"/>
      <c r="AY352" s="21"/>
      <c r="AZ352" s="22"/>
      <c r="BA352" s="22"/>
      <c r="BB352" s="22"/>
      <c r="BD352" s="22"/>
      <c r="BE352" s="22"/>
      <c r="BF352" s="22"/>
      <c r="BH352" s="22"/>
      <c r="BI352" s="22"/>
      <c r="BJ352" s="22"/>
      <c r="BL352" s="22"/>
      <c r="BM352" s="22"/>
      <c r="BN352" s="22"/>
      <c r="BP352" s="22"/>
      <c r="BQ352" s="22"/>
      <c r="BR352" s="22"/>
      <c r="BT352" s="22"/>
      <c r="BU352" s="22"/>
      <c r="BV352" s="22"/>
      <c r="BX352" s="22"/>
      <c r="BY352" s="22"/>
      <c r="BZ352" s="22"/>
      <c r="CB352" s="24"/>
      <c r="CC352" s="24"/>
      <c r="CD352" s="24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6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  <c r="FZ352" s="24"/>
      <c r="GA352" s="24"/>
      <c r="GB352" s="24"/>
      <c r="GC352" s="24"/>
      <c r="GD352" s="24"/>
      <c r="GE352" s="24"/>
      <c r="GF352" s="24"/>
      <c r="GG352" s="24"/>
      <c r="GH352" s="24"/>
      <c r="GI352" s="24"/>
      <c r="GJ352" s="24"/>
      <c r="GK352" s="24"/>
      <c r="GL352" s="24"/>
      <c r="GM352" s="24"/>
      <c r="GN352" s="24"/>
      <c r="GO352" s="24"/>
      <c r="GP352" s="24"/>
      <c r="GQ352" s="24"/>
      <c r="GR352" s="24"/>
      <c r="GS352" s="24"/>
      <c r="GT352" s="24"/>
      <c r="GU352" s="24"/>
      <c r="GV352" s="24"/>
      <c r="GW352" s="24"/>
      <c r="GX352" s="24"/>
      <c r="GY352" s="24"/>
      <c r="GZ352" s="24"/>
      <c r="HA352" s="24"/>
      <c r="HB352" s="24"/>
      <c r="HC352" s="24"/>
      <c r="HD352" s="24"/>
      <c r="HE352" s="24"/>
      <c r="HF352" s="24"/>
      <c r="HG352" s="24"/>
      <c r="HH352" s="24"/>
      <c r="HI352" s="24"/>
      <c r="HJ352" s="24"/>
      <c r="HK352" s="24"/>
      <c r="HL352" s="24"/>
    </row>
    <row r="353" spans="1:220" s="23" customFormat="1" ht="14.25" customHeight="1">
      <c r="A353" s="20"/>
      <c r="B353" s="21"/>
      <c r="C353" s="22"/>
      <c r="D353" s="22"/>
      <c r="E353" s="22"/>
      <c r="G353" s="22"/>
      <c r="H353" s="22"/>
      <c r="I353" s="22"/>
      <c r="K353" s="22"/>
      <c r="L353" s="22"/>
      <c r="M353" s="22"/>
      <c r="O353" s="22"/>
      <c r="P353" s="22"/>
      <c r="Q353" s="22"/>
      <c r="S353" s="22"/>
      <c r="T353" s="22"/>
      <c r="U353" s="22"/>
      <c r="W353" s="22"/>
      <c r="X353" s="22"/>
      <c r="Y353" s="22"/>
      <c r="AA353" s="22"/>
      <c r="AB353" s="22"/>
      <c r="AC353" s="22"/>
      <c r="AE353" s="24"/>
      <c r="AF353" s="24"/>
      <c r="AG353" s="24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6"/>
      <c r="AW353" s="24"/>
      <c r="AX353" s="20"/>
      <c r="AY353" s="21"/>
      <c r="AZ353" s="22"/>
      <c r="BA353" s="22"/>
      <c r="BB353" s="22"/>
      <c r="BD353" s="22"/>
      <c r="BE353" s="22"/>
      <c r="BF353" s="22"/>
      <c r="BH353" s="22"/>
      <c r="BI353" s="22"/>
      <c r="BJ353" s="22"/>
      <c r="BL353" s="22"/>
      <c r="BM353" s="22"/>
      <c r="BN353" s="22"/>
      <c r="BP353" s="22"/>
      <c r="BQ353" s="22"/>
      <c r="BR353" s="22"/>
      <c r="BT353" s="22"/>
      <c r="BU353" s="22"/>
      <c r="BV353" s="22"/>
      <c r="BX353" s="22"/>
      <c r="BY353" s="22"/>
      <c r="BZ353" s="22"/>
      <c r="CB353" s="24"/>
      <c r="CC353" s="24"/>
      <c r="CD353" s="24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6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  <c r="EH353" s="24"/>
      <c r="EI353" s="24"/>
      <c r="EJ353" s="24"/>
      <c r="EK353" s="24"/>
      <c r="EL353" s="24"/>
      <c r="EM353" s="24"/>
      <c r="EN353" s="24"/>
      <c r="EO353" s="24"/>
      <c r="EP353" s="24"/>
      <c r="EQ353" s="24"/>
      <c r="ER353" s="24"/>
      <c r="ES353" s="24"/>
      <c r="ET353" s="24"/>
      <c r="EU353" s="24"/>
      <c r="EV353" s="24"/>
      <c r="EW353" s="24"/>
      <c r="EX353" s="24"/>
      <c r="EY353" s="24"/>
      <c r="EZ353" s="24"/>
      <c r="FA353" s="24"/>
      <c r="FB353" s="24"/>
      <c r="FC353" s="24"/>
      <c r="FD353" s="24"/>
      <c r="FE353" s="24"/>
      <c r="FF353" s="24"/>
      <c r="FG353" s="24"/>
      <c r="FH353" s="24"/>
      <c r="FI353" s="24"/>
      <c r="FJ353" s="24"/>
      <c r="FK353" s="24"/>
      <c r="FL353" s="24"/>
      <c r="FM353" s="24"/>
      <c r="FN353" s="24"/>
      <c r="FO353" s="24"/>
      <c r="FP353" s="24"/>
      <c r="FQ353" s="24"/>
      <c r="FR353" s="24"/>
      <c r="FS353" s="24"/>
      <c r="FT353" s="24"/>
      <c r="FU353" s="24"/>
      <c r="FV353" s="24"/>
      <c r="FW353" s="24"/>
      <c r="FX353" s="24"/>
      <c r="FY353" s="24"/>
      <c r="FZ353" s="24"/>
      <c r="GA353" s="24"/>
      <c r="GB353" s="24"/>
      <c r="GC353" s="24"/>
      <c r="GD353" s="24"/>
      <c r="GE353" s="24"/>
      <c r="GF353" s="24"/>
      <c r="GG353" s="24"/>
      <c r="GH353" s="24"/>
      <c r="GI353" s="24"/>
      <c r="GJ353" s="24"/>
      <c r="GK353" s="24"/>
      <c r="GL353" s="24"/>
      <c r="GM353" s="24"/>
      <c r="GN353" s="24"/>
      <c r="GO353" s="24"/>
      <c r="GP353" s="24"/>
      <c r="GQ353" s="24"/>
      <c r="GR353" s="24"/>
      <c r="GS353" s="24"/>
      <c r="GT353" s="24"/>
      <c r="GU353" s="24"/>
      <c r="GV353" s="24"/>
      <c r="GW353" s="24"/>
      <c r="GX353" s="24"/>
      <c r="GY353" s="24"/>
      <c r="GZ353" s="24"/>
      <c r="HA353" s="24"/>
      <c r="HB353" s="24"/>
      <c r="HC353" s="24"/>
      <c r="HD353" s="24"/>
      <c r="HE353" s="24"/>
      <c r="HF353" s="24"/>
      <c r="HG353" s="24"/>
      <c r="HH353" s="24"/>
      <c r="HI353" s="24"/>
      <c r="HJ353" s="24"/>
      <c r="HK353" s="24"/>
      <c r="HL353" s="24"/>
    </row>
    <row r="354" spans="1:220" s="23" customFormat="1" ht="14.25" customHeight="1">
      <c r="A354" s="20"/>
      <c r="B354" s="21"/>
      <c r="C354" s="22"/>
      <c r="D354" s="22"/>
      <c r="E354" s="22"/>
      <c r="G354" s="22"/>
      <c r="H354" s="22"/>
      <c r="I354" s="22"/>
      <c r="K354" s="22"/>
      <c r="L354" s="22"/>
      <c r="M354" s="22"/>
      <c r="O354" s="22"/>
      <c r="P354" s="22"/>
      <c r="Q354" s="22"/>
      <c r="S354" s="22"/>
      <c r="T354" s="22"/>
      <c r="U354" s="22"/>
      <c r="W354" s="22"/>
      <c r="X354" s="22"/>
      <c r="Y354" s="22"/>
      <c r="AA354" s="22"/>
      <c r="AB354" s="22"/>
      <c r="AC354" s="22"/>
      <c r="AE354" s="24"/>
      <c r="AF354" s="24"/>
      <c r="AG354" s="24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6"/>
      <c r="AW354" s="24"/>
      <c r="AX354" s="20"/>
      <c r="AY354" s="21"/>
      <c r="AZ354" s="22"/>
      <c r="BA354" s="22"/>
      <c r="BB354" s="22"/>
      <c r="BD354" s="22"/>
      <c r="BE354" s="22"/>
      <c r="BF354" s="22"/>
      <c r="BH354" s="22"/>
      <c r="BI354" s="22"/>
      <c r="BJ354" s="22"/>
      <c r="BL354" s="22"/>
      <c r="BM354" s="22"/>
      <c r="BN354" s="22"/>
      <c r="BP354" s="22"/>
      <c r="BQ354" s="22"/>
      <c r="BR354" s="22"/>
      <c r="BT354" s="22"/>
      <c r="BU354" s="22"/>
      <c r="BV354" s="22"/>
      <c r="BX354" s="22"/>
      <c r="BY354" s="22"/>
      <c r="BZ354" s="22"/>
      <c r="CB354" s="24"/>
      <c r="CC354" s="24"/>
      <c r="CD354" s="24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6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24"/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4"/>
      <c r="EC354" s="24"/>
      <c r="ED354" s="24"/>
      <c r="EE354" s="24"/>
      <c r="EF354" s="24"/>
      <c r="EG354" s="24"/>
      <c r="EH354" s="24"/>
      <c r="EI354" s="24"/>
      <c r="EJ354" s="24"/>
      <c r="EK354" s="24"/>
      <c r="EL354" s="24"/>
      <c r="EM354" s="24"/>
      <c r="EN354" s="24"/>
      <c r="EO354" s="24"/>
      <c r="EP354" s="24"/>
      <c r="EQ354" s="24"/>
      <c r="ER354" s="24"/>
      <c r="ES354" s="24"/>
      <c r="ET354" s="24"/>
      <c r="EU354" s="24"/>
      <c r="EV354" s="24"/>
      <c r="EW354" s="24"/>
      <c r="EX354" s="24"/>
      <c r="EY354" s="24"/>
      <c r="EZ354" s="24"/>
      <c r="FA354" s="24"/>
      <c r="FB354" s="24"/>
      <c r="FC354" s="24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4"/>
      <c r="FP354" s="24"/>
      <c r="FQ354" s="24"/>
      <c r="FR354" s="24"/>
      <c r="FS354" s="24"/>
      <c r="FT354" s="24"/>
      <c r="FU354" s="24"/>
      <c r="FV354" s="24"/>
      <c r="FW354" s="24"/>
      <c r="FX354" s="24"/>
      <c r="FY354" s="24"/>
      <c r="FZ354" s="24"/>
      <c r="GA354" s="24"/>
      <c r="GB354" s="24"/>
      <c r="GC354" s="24"/>
      <c r="GD354" s="24"/>
      <c r="GE354" s="24"/>
      <c r="GF354" s="24"/>
      <c r="GG354" s="24"/>
      <c r="GH354" s="24"/>
      <c r="GI354" s="24"/>
      <c r="GJ354" s="24"/>
      <c r="GK354" s="24"/>
      <c r="GL354" s="24"/>
      <c r="GM354" s="24"/>
      <c r="GN354" s="24"/>
      <c r="GO354" s="24"/>
      <c r="GP354" s="24"/>
      <c r="GQ354" s="24"/>
      <c r="GR354" s="24"/>
      <c r="GS354" s="24"/>
      <c r="GT354" s="24"/>
      <c r="GU354" s="24"/>
      <c r="GV354" s="24"/>
      <c r="GW354" s="24"/>
      <c r="GX354" s="24"/>
      <c r="GY354" s="24"/>
      <c r="GZ354" s="24"/>
      <c r="HA354" s="24"/>
      <c r="HB354" s="24"/>
      <c r="HC354" s="24"/>
      <c r="HD354" s="24"/>
      <c r="HE354" s="24"/>
      <c r="HF354" s="24"/>
      <c r="HG354" s="24"/>
      <c r="HH354" s="24"/>
      <c r="HI354" s="24"/>
      <c r="HJ354" s="24"/>
      <c r="HK354" s="24"/>
      <c r="HL354" s="24"/>
    </row>
    <row r="355" spans="1:220" s="23" customFormat="1" ht="14.25" customHeight="1">
      <c r="A355" s="20"/>
      <c r="B355" s="21"/>
      <c r="C355" s="22"/>
      <c r="D355" s="22"/>
      <c r="E355" s="22"/>
      <c r="G355" s="22"/>
      <c r="H355" s="22"/>
      <c r="I355" s="22"/>
      <c r="K355" s="22"/>
      <c r="L355" s="22"/>
      <c r="M355" s="22"/>
      <c r="O355" s="22"/>
      <c r="P355" s="22"/>
      <c r="Q355" s="22"/>
      <c r="S355" s="22"/>
      <c r="T355" s="22"/>
      <c r="U355" s="22"/>
      <c r="W355" s="22"/>
      <c r="X355" s="22"/>
      <c r="Y355" s="22"/>
      <c r="AA355" s="22"/>
      <c r="AB355" s="22"/>
      <c r="AC355" s="22"/>
      <c r="AE355" s="24"/>
      <c r="AF355" s="24"/>
      <c r="AG355" s="24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6"/>
      <c r="AW355" s="24"/>
      <c r="AX355" s="20"/>
      <c r="AY355" s="21"/>
      <c r="AZ355" s="22"/>
      <c r="BA355" s="22"/>
      <c r="BB355" s="22"/>
      <c r="BD355" s="22"/>
      <c r="BE355" s="22"/>
      <c r="BF355" s="22"/>
      <c r="BH355" s="22"/>
      <c r="BI355" s="22"/>
      <c r="BJ355" s="22"/>
      <c r="BL355" s="22"/>
      <c r="BM355" s="22"/>
      <c r="BN355" s="22"/>
      <c r="BP355" s="22"/>
      <c r="BQ355" s="22"/>
      <c r="BR355" s="22"/>
      <c r="BT355" s="22"/>
      <c r="BU355" s="22"/>
      <c r="BV355" s="22"/>
      <c r="BX355" s="22"/>
      <c r="BY355" s="22"/>
      <c r="BZ355" s="22"/>
      <c r="CB355" s="24"/>
      <c r="CC355" s="24"/>
      <c r="CD355" s="24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6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24"/>
      <c r="DJ355" s="24"/>
      <c r="DK355" s="24"/>
      <c r="DL355" s="24"/>
      <c r="DM355" s="24"/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  <c r="EH355" s="24"/>
      <c r="EI355" s="24"/>
      <c r="EJ355" s="24"/>
      <c r="EK355" s="24"/>
      <c r="EL355" s="24"/>
      <c r="EM355" s="24"/>
      <c r="EN355" s="24"/>
      <c r="EO355" s="24"/>
      <c r="EP355" s="24"/>
      <c r="EQ355" s="24"/>
      <c r="ER355" s="24"/>
      <c r="ES355" s="24"/>
      <c r="ET355" s="24"/>
      <c r="EU355" s="24"/>
      <c r="EV355" s="24"/>
      <c r="EW355" s="24"/>
      <c r="EX355" s="24"/>
      <c r="EY355" s="24"/>
      <c r="EZ355" s="24"/>
      <c r="FA355" s="24"/>
      <c r="FB355" s="24"/>
      <c r="FC355" s="24"/>
      <c r="FD355" s="24"/>
      <c r="FE355" s="24"/>
      <c r="FF355" s="24"/>
      <c r="FG355" s="24"/>
      <c r="FH355" s="24"/>
      <c r="FI355" s="24"/>
      <c r="FJ355" s="24"/>
      <c r="FK355" s="24"/>
      <c r="FL355" s="24"/>
      <c r="FM355" s="24"/>
      <c r="FN355" s="24"/>
      <c r="FO355" s="24"/>
      <c r="FP355" s="24"/>
      <c r="FQ355" s="24"/>
      <c r="FR355" s="24"/>
      <c r="FS355" s="24"/>
      <c r="FT355" s="24"/>
      <c r="FU355" s="24"/>
      <c r="FV355" s="24"/>
      <c r="FW355" s="24"/>
      <c r="FX355" s="24"/>
      <c r="FY355" s="24"/>
      <c r="FZ355" s="24"/>
      <c r="GA355" s="24"/>
      <c r="GB355" s="24"/>
      <c r="GC355" s="24"/>
      <c r="GD355" s="24"/>
      <c r="GE355" s="24"/>
      <c r="GF355" s="24"/>
      <c r="GG355" s="24"/>
      <c r="GH355" s="24"/>
      <c r="GI355" s="24"/>
      <c r="GJ355" s="24"/>
      <c r="GK355" s="24"/>
      <c r="GL355" s="24"/>
      <c r="GM355" s="24"/>
      <c r="GN355" s="24"/>
      <c r="GO355" s="24"/>
      <c r="GP355" s="24"/>
      <c r="GQ355" s="24"/>
      <c r="GR355" s="24"/>
      <c r="GS355" s="24"/>
      <c r="GT355" s="24"/>
      <c r="GU355" s="24"/>
      <c r="GV355" s="24"/>
      <c r="GW355" s="24"/>
      <c r="GX355" s="24"/>
      <c r="GY355" s="24"/>
      <c r="GZ355" s="24"/>
      <c r="HA355" s="24"/>
      <c r="HB355" s="24"/>
      <c r="HC355" s="24"/>
      <c r="HD355" s="24"/>
      <c r="HE355" s="24"/>
      <c r="HF355" s="24"/>
      <c r="HG355" s="24"/>
      <c r="HH355" s="24"/>
      <c r="HI355" s="24"/>
      <c r="HJ355" s="24"/>
      <c r="HK355" s="24"/>
      <c r="HL355" s="24"/>
    </row>
    <row r="356" spans="1:220" s="23" customFormat="1" ht="14.25" customHeight="1">
      <c r="A356" s="20"/>
      <c r="B356" s="21"/>
      <c r="C356" s="22"/>
      <c r="D356" s="22"/>
      <c r="E356" s="22"/>
      <c r="G356" s="22"/>
      <c r="H356" s="22"/>
      <c r="I356" s="22"/>
      <c r="K356" s="22"/>
      <c r="L356" s="22"/>
      <c r="M356" s="22"/>
      <c r="O356" s="22"/>
      <c r="P356" s="22"/>
      <c r="Q356" s="22"/>
      <c r="S356" s="22"/>
      <c r="T356" s="22"/>
      <c r="U356" s="22"/>
      <c r="W356" s="22"/>
      <c r="X356" s="22"/>
      <c r="Y356" s="22"/>
      <c r="AA356" s="22"/>
      <c r="AB356" s="22"/>
      <c r="AC356" s="22"/>
      <c r="AE356" s="24"/>
      <c r="AF356" s="24"/>
      <c r="AG356" s="24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6"/>
      <c r="AW356" s="24"/>
      <c r="AX356" s="20"/>
      <c r="AY356" s="21"/>
      <c r="AZ356" s="22"/>
      <c r="BA356" s="22"/>
      <c r="BB356" s="22"/>
      <c r="BD356" s="22"/>
      <c r="BE356" s="22"/>
      <c r="BF356" s="22"/>
      <c r="BH356" s="22"/>
      <c r="BI356" s="22"/>
      <c r="BJ356" s="22"/>
      <c r="BL356" s="22"/>
      <c r="BM356" s="22"/>
      <c r="BN356" s="22"/>
      <c r="BP356" s="22"/>
      <c r="BQ356" s="22"/>
      <c r="BR356" s="22"/>
      <c r="BT356" s="22"/>
      <c r="BU356" s="22"/>
      <c r="BV356" s="22"/>
      <c r="BX356" s="22"/>
      <c r="BY356" s="22"/>
      <c r="BZ356" s="22"/>
      <c r="CB356" s="24"/>
      <c r="CC356" s="24"/>
      <c r="CD356" s="24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6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4"/>
      <c r="EP356" s="24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/>
      <c r="FA356" s="24"/>
      <c r="FB356" s="24"/>
      <c r="FC356" s="24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4"/>
      <c r="FP356" s="24"/>
      <c r="FQ356" s="24"/>
      <c r="FR356" s="24"/>
      <c r="FS356" s="24"/>
      <c r="FT356" s="24"/>
      <c r="FU356" s="24"/>
      <c r="FV356" s="24"/>
      <c r="FW356" s="24"/>
      <c r="FX356" s="24"/>
      <c r="FY356" s="24"/>
      <c r="FZ356" s="24"/>
      <c r="GA356" s="24"/>
      <c r="GB356" s="24"/>
      <c r="GC356" s="24"/>
      <c r="GD356" s="24"/>
      <c r="GE356" s="24"/>
      <c r="GF356" s="24"/>
      <c r="GG356" s="24"/>
      <c r="GH356" s="24"/>
      <c r="GI356" s="24"/>
      <c r="GJ356" s="24"/>
      <c r="GK356" s="24"/>
      <c r="GL356" s="24"/>
      <c r="GM356" s="24"/>
      <c r="GN356" s="24"/>
      <c r="GO356" s="24"/>
      <c r="GP356" s="24"/>
      <c r="GQ356" s="24"/>
      <c r="GR356" s="24"/>
      <c r="GS356" s="24"/>
      <c r="GT356" s="24"/>
      <c r="GU356" s="24"/>
      <c r="GV356" s="24"/>
      <c r="GW356" s="24"/>
      <c r="GX356" s="24"/>
      <c r="GY356" s="24"/>
      <c r="GZ356" s="24"/>
      <c r="HA356" s="24"/>
      <c r="HB356" s="24"/>
      <c r="HC356" s="24"/>
      <c r="HD356" s="24"/>
      <c r="HE356" s="24"/>
      <c r="HF356" s="24"/>
      <c r="HG356" s="24"/>
      <c r="HH356" s="24"/>
      <c r="HI356" s="24"/>
      <c r="HJ356" s="24"/>
      <c r="HK356" s="24"/>
      <c r="HL356" s="24"/>
    </row>
  </sheetData>
  <mergeCells count="456">
    <mergeCell ref="C4:F4"/>
    <mergeCell ref="G4:J4"/>
    <mergeCell ref="K4:N4"/>
    <mergeCell ref="O4:R4"/>
    <mergeCell ref="S4:V4"/>
    <mergeCell ref="W4:Z4"/>
    <mergeCell ref="AA4:AD4"/>
    <mergeCell ref="A1:AD2"/>
    <mergeCell ref="A3:A9"/>
    <mergeCell ref="B3:B9"/>
    <mergeCell ref="C3:F3"/>
    <mergeCell ref="G3:J3"/>
    <mergeCell ref="K3:N3"/>
    <mergeCell ref="O3:R3"/>
    <mergeCell ref="S3:V3"/>
    <mergeCell ref="W3:Z3"/>
    <mergeCell ref="AA3:AD3"/>
    <mergeCell ref="A15:A27"/>
    <mergeCell ref="C28:F28"/>
    <mergeCell ref="G28:J28"/>
    <mergeCell ref="K28:N28"/>
    <mergeCell ref="O28:R28"/>
    <mergeCell ref="S28:V28"/>
    <mergeCell ref="S9:T9"/>
    <mergeCell ref="U9:V9"/>
    <mergeCell ref="W9:X9"/>
    <mergeCell ref="C9:D9"/>
    <mergeCell ref="E9:F9"/>
    <mergeCell ref="G9:H9"/>
    <mergeCell ref="I9:J9"/>
    <mergeCell ref="K9:L9"/>
    <mergeCell ref="M9:N9"/>
    <mergeCell ref="O9:P9"/>
    <mergeCell ref="Q9:R9"/>
    <mergeCell ref="AJ3:AK3"/>
    <mergeCell ref="AL3:AM3"/>
    <mergeCell ref="AN3:AO3"/>
    <mergeCell ref="AP3:AQ3"/>
    <mergeCell ref="AR3:AS3"/>
    <mergeCell ref="AT3:AU3"/>
    <mergeCell ref="W28:Z28"/>
    <mergeCell ref="AA28:AD28"/>
    <mergeCell ref="AH1:AI1"/>
    <mergeCell ref="AH2:AI2"/>
    <mergeCell ref="AF3:AF9"/>
    <mergeCell ref="AG3:AG13"/>
    <mergeCell ref="AH3:AI3"/>
    <mergeCell ref="AH4:AI4"/>
    <mergeCell ref="AH5:AI5"/>
    <mergeCell ref="Y9:Z9"/>
    <mergeCell ref="AA9:AB9"/>
    <mergeCell ref="AC9:AD9"/>
    <mergeCell ref="AA5:AB5"/>
    <mergeCell ref="AC5:AD5"/>
    <mergeCell ref="W5:X5"/>
    <mergeCell ref="Y5:Z5"/>
    <mergeCell ref="AE3:AE4"/>
    <mergeCell ref="AN5:AO5"/>
    <mergeCell ref="AP5:AQ5"/>
    <mergeCell ref="AR5:AS5"/>
    <mergeCell ref="AT5:AU5"/>
    <mergeCell ref="AJ4:AK4"/>
    <mergeCell ref="AL4:AM4"/>
    <mergeCell ref="AN4:AO4"/>
    <mergeCell ref="AP4:AQ4"/>
    <mergeCell ref="AR4:AS4"/>
    <mergeCell ref="AT4:AU4"/>
    <mergeCell ref="C29:F29"/>
    <mergeCell ref="G29:J29"/>
    <mergeCell ref="K29:N29"/>
    <mergeCell ref="O29:R29"/>
    <mergeCell ref="S29:V29"/>
    <mergeCell ref="W29:Z29"/>
    <mergeCell ref="AA29:AD29"/>
    <mergeCell ref="AJ5:AK5"/>
    <mergeCell ref="AL5:AM5"/>
    <mergeCell ref="O5:P5"/>
    <mergeCell ref="Q5:R5"/>
    <mergeCell ref="S5:T5"/>
    <mergeCell ref="U5:V5"/>
    <mergeCell ref="C5:D5"/>
    <mergeCell ref="E5:F5"/>
    <mergeCell ref="G5:H5"/>
    <mergeCell ref="I5:J5"/>
    <mergeCell ref="K5:L5"/>
    <mergeCell ref="M5:N5"/>
    <mergeCell ref="AH33:AI33"/>
    <mergeCell ref="AJ33:AK33"/>
    <mergeCell ref="AL33:AM33"/>
    <mergeCell ref="AN33:AO33"/>
    <mergeCell ref="AP33:AQ33"/>
    <mergeCell ref="S30:V30"/>
    <mergeCell ref="AA30:AD30"/>
    <mergeCell ref="K31:S32"/>
    <mergeCell ref="AH32:AI32"/>
    <mergeCell ref="AJ32:AK32"/>
    <mergeCell ref="AL32:AM32"/>
    <mergeCell ref="CM3:CN3"/>
    <mergeCell ref="C35:P36"/>
    <mergeCell ref="BN9:BO9"/>
    <mergeCell ref="BP9:BQ9"/>
    <mergeCell ref="BR9:BS9"/>
    <mergeCell ref="BT9:BU9"/>
    <mergeCell ref="BP5:BQ5"/>
    <mergeCell ref="BR5:BS5"/>
    <mergeCell ref="AX3:AX9"/>
    <mergeCell ref="AR33:AS33"/>
    <mergeCell ref="AT33:AU33"/>
    <mergeCell ref="K34:S34"/>
    <mergeCell ref="AH34:AI34"/>
    <mergeCell ref="AJ34:AK34"/>
    <mergeCell ref="AL34:AM34"/>
    <mergeCell ref="AN34:AO34"/>
    <mergeCell ref="AP34:AQ34"/>
    <mergeCell ref="AR34:AS34"/>
    <mergeCell ref="AT34:AU34"/>
    <mergeCell ref="AN32:AO32"/>
    <mergeCell ref="AP32:AQ32"/>
    <mergeCell ref="AR32:AS32"/>
    <mergeCell ref="AT32:AU32"/>
    <mergeCell ref="K33:S33"/>
    <mergeCell ref="AZ29:BC29"/>
    <mergeCell ref="BD29:BG29"/>
    <mergeCell ref="CE5:CF5"/>
    <mergeCell ref="CG5:CH5"/>
    <mergeCell ref="CI5:CJ5"/>
    <mergeCell ref="CK5:CL5"/>
    <mergeCell ref="CG4:CH4"/>
    <mergeCell ref="CI4:CJ4"/>
    <mergeCell ref="CK4:CL4"/>
    <mergeCell ref="BH29:BK29"/>
    <mergeCell ref="BL29:BO29"/>
    <mergeCell ref="BP29:BS29"/>
    <mergeCell ref="BT29:BW29"/>
    <mergeCell ref="BX29:CA29"/>
    <mergeCell ref="A38:AD39"/>
    <mergeCell ref="AH38:AI38"/>
    <mergeCell ref="AH39:AI39"/>
    <mergeCell ref="A40:A46"/>
    <mergeCell ref="B40:B46"/>
    <mergeCell ref="C40:F40"/>
    <mergeCell ref="G40:J40"/>
    <mergeCell ref="K40:N40"/>
    <mergeCell ref="AZ35:BM36"/>
    <mergeCell ref="AR40:AS40"/>
    <mergeCell ref="AT40:AU40"/>
    <mergeCell ref="C41:F41"/>
    <mergeCell ref="G41:J41"/>
    <mergeCell ref="K41:N41"/>
    <mergeCell ref="O41:R41"/>
    <mergeCell ref="S41:V41"/>
    <mergeCell ref="W41:Z41"/>
    <mergeCell ref="AA41:AD41"/>
    <mergeCell ref="AH41:AI41"/>
    <mergeCell ref="AG40:AG50"/>
    <mergeCell ref="AH40:AI40"/>
    <mergeCell ref="AJ40:AK40"/>
    <mergeCell ref="AL40:AM40"/>
    <mergeCell ref="AN40:AO40"/>
    <mergeCell ref="AP40:AQ40"/>
    <mergeCell ref="AJ41:AK41"/>
    <mergeCell ref="AL41:AM41"/>
    <mergeCell ref="AN41:AO41"/>
    <mergeCell ref="AP41:AQ41"/>
    <mergeCell ref="O40:R40"/>
    <mergeCell ref="S40:V40"/>
    <mergeCell ref="W40:Z40"/>
    <mergeCell ref="AA40:AD40"/>
    <mergeCell ref="AR41:AS41"/>
    <mergeCell ref="AT41:AU41"/>
    <mergeCell ref="C42:D42"/>
    <mergeCell ref="E42:F42"/>
    <mergeCell ref="G42:H42"/>
    <mergeCell ref="I42:J42"/>
    <mergeCell ref="K42:L42"/>
    <mergeCell ref="M42:N42"/>
    <mergeCell ref="O42:P42"/>
    <mergeCell ref="Q42:R42"/>
    <mergeCell ref="AE40:AE41"/>
    <mergeCell ref="AF40:AF46"/>
    <mergeCell ref="S42:T42"/>
    <mergeCell ref="U42:V42"/>
    <mergeCell ref="W42:X42"/>
    <mergeCell ref="Y42:Z42"/>
    <mergeCell ref="AP42:AQ42"/>
    <mergeCell ref="AR42:AS42"/>
    <mergeCell ref="AT42:AU42"/>
    <mergeCell ref="C46:D46"/>
    <mergeCell ref="E46:F46"/>
    <mergeCell ref="G46:H46"/>
    <mergeCell ref="I46:J46"/>
    <mergeCell ref="K46:L46"/>
    <mergeCell ref="AA42:AB42"/>
    <mergeCell ref="AC42:AD42"/>
    <mergeCell ref="AH42:AI42"/>
    <mergeCell ref="AJ42:AK42"/>
    <mergeCell ref="AL42:AM42"/>
    <mergeCell ref="AN42:AO42"/>
    <mergeCell ref="C65:F65"/>
    <mergeCell ref="G65:J65"/>
    <mergeCell ref="K65:N65"/>
    <mergeCell ref="O65:R65"/>
    <mergeCell ref="S65:V65"/>
    <mergeCell ref="W65:Z65"/>
    <mergeCell ref="AA65:AD65"/>
    <mergeCell ref="AC46:AD46"/>
    <mergeCell ref="A52:A63"/>
    <mergeCell ref="C64:F64"/>
    <mergeCell ref="G64:J64"/>
    <mergeCell ref="K64:N64"/>
    <mergeCell ref="O64:R64"/>
    <mergeCell ref="S64:V64"/>
    <mergeCell ref="W64:Z64"/>
    <mergeCell ref="AA64:AD64"/>
    <mergeCell ref="Q46:R46"/>
    <mergeCell ref="S46:T46"/>
    <mergeCell ref="U46:V46"/>
    <mergeCell ref="W46:X46"/>
    <mergeCell ref="Y46:Z46"/>
    <mergeCell ref="AA46:AB46"/>
    <mergeCell ref="M46:N46"/>
    <mergeCell ref="O46:P46"/>
    <mergeCell ref="K69:S69"/>
    <mergeCell ref="AH69:AI69"/>
    <mergeCell ref="AJ69:AK69"/>
    <mergeCell ref="AL69:AM69"/>
    <mergeCell ref="AN69:AO69"/>
    <mergeCell ref="AP69:AQ69"/>
    <mergeCell ref="S66:V66"/>
    <mergeCell ref="AA66:AD66"/>
    <mergeCell ref="K67:S68"/>
    <mergeCell ref="AH68:AI68"/>
    <mergeCell ref="AJ68:AK68"/>
    <mergeCell ref="AL68:AM68"/>
    <mergeCell ref="C71:P72"/>
    <mergeCell ref="AX1:CA2"/>
    <mergeCell ref="CE1:CF1"/>
    <mergeCell ref="CE2:CF2"/>
    <mergeCell ref="AY3:AY9"/>
    <mergeCell ref="AZ3:BC3"/>
    <mergeCell ref="BD3:BG3"/>
    <mergeCell ref="BH3:BK3"/>
    <mergeCell ref="BL3:BO3"/>
    <mergeCell ref="BP3:BS3"/>
    <mergeCell ref="AR69:AS69"/>
    <mergeCell ref="AT69:AU69"/>
    <mergeCell ref="K70:S70"/>
    <mergeCell ref="AH70:AI70"/>
    <mergeCell ref="AJ70:AK70"/>
    <mergeCell ref="AL70:AM70"/>
    <mergeCell ref="AN70:AO70"/>
    <mergeCell ref="AP70:AQ70"/>
    <mergeCell ref="AR70:AS70"/>
    <mergeCell ref="AT70:AU70"/>
    <mergeCell ref="AN68:AO68"/>
    <mergeCell ref="AP68:AQ68"/>
    <mergeCell ref="AR68:AS68"/>
    <mergeCell ref="AT68:AU68"/>
    <mergeCell ref="CO3:CP3"/>
    <mergeCell ref="CQ3:CR3"/>
    <mergeCell ref="AZ4:BC4"/>
    <mergeCell ref="BD4:BG4"/>
    <mergeCell ref="BH4:BK4"/>
    <mergeCell ref="BL4:BO4"/>
    <mergeCell ref="BP4:BS4"/>
    <mergeCell ref="BT4:BW4"/>
    <mergeCell ref="BX4:CA4"/>
    <mergeCell ref="CE4:CF4"/>
    <mergeCell ref="BT3:BW3"/>
    <mergeCell ref="BX3:CA3"/>
    <mergeCell ref="CB3:CB4"/>
    <mergeCell ref="CC3:CC9"/>
    <mergeCell ref="CD3:CD13"/>
    <mergeCell ref="CE3:CF3"/>
    <mergeCell ref="BT5:BU5"/>
    <mergeCell ref="BV5:BW5"/>
    <mergeCell ref="BX5:BY5"/>
    <mergeCell ref="BZ5:CA5"/>
    <mergeCell ref="CM4:CN4"/>
    <mergeCell ref="CG3:CH3"/>
    <mergeCell ref="CI3:CJ3"/>
    <mergeCell ref="CK3:CL3"/>
    <mergeCell ref="CQ5:CR5"/>
    <mergeCell ref="AZ9:BA9"/>
    <mergeCell ref="BB9:BC9"/>
    <mergeCell ref="BD9:BE9"/>
    <mergeCell ref="BF9:BG9"/>
    <mergeCell ref="BH9:BI9"/>
    <mergeCell ref="BJ9:BK9"/>
    <mergeCell ref="BL9:BM9"/>
    <mergeCell ref="CO4:CP4"/>
    <mergeCell ref="CQ4:CR4"/>
    <mergeCell ref="AZ5:BA5"/>
    <mergeCell ref="BB5:BC5"/>
    <mergeCell ref="BD5:BE5"/>
    <mergeCell ref="BF5:BG5"/>
    <mergeCell ref="BH5:BI5"/>
    <mergeCell ref="BJ5:BK5"/>
    <mergeCell ref="BL5:BM5"/>
    <mergeCell ref="BN5:BO5"/>
    <mergeCell ref="AX15:AX27"/>
    <mergeCell ref="AZ28:BC28"/>
    <mergeCell ref="BD28:BG28"/>
    <mergeCell ref="BH28:BK28"/>
    <mergeCell ref="BL28:BO28"/>
    <mergeCell ref="BP28:BS28"/>
    <mergeCell ref="BT28:BW28"/>
    <mergeCell ref="CM5:CN5"/>
    <mergeCell ref="CO5:CP5"/>
    <mergeCell ref="BP30:BS30"/>
    <mergeCell ref="BX30:CA30"/>
    <mergeCell ref="BX28:CA28"/>
    <mergeCell ref="BV9:BW9"/>
    <mergeCell ref="BX9:BY9"/>
    <mergeCell ref="BZ9:CA9"/>
    <mergeCell ref="CK32:CL32"/>
    <mergeCell ref="CM32:CN32"/>
    <mergeCell ref="CO32:CP32"/>
    <mergeCell ref="CQ32:CR32"/>
    <mergeCell ref="BH33:BP33"/>
    <mergeCell ref="CE33:CF33"/>
    <mergeCell ref="CG33:CH33"/>
    <mergeCell ref="CI33:CJ33"/>
    <mergeCell ref="CK33:CL33"/>
    <mergeCell ref="CM33:CN33"/>
    <mergeCell ref="BH31:BP32"/>
    <mergeCell ref="CE32:CF32"/>
    <mergeCell ref="CG32:CH32"/>
    <mergeCell ref="CI32:CJ32"/>
    <mergeCell ref="AX38:CA39"/>
    <mergeCell ref="CE38:CF38"/>
    <mergeCell ref="CE39:CF39"/>
    <mergeCell ref="CO33:CP33"/>
    <mergeCell ref="CQ33:CR33"/>
    <mergeCell ref="BH34:BP34"/>
    <mergeCell ref="CE34:CF34"/>
    <mergeCell ref="CG34:CH34"/>
    <mergeCell ref="CI34:CJ34"/>
    <mergeCell ref="CK34:CL34"/>
    <mergeCell ref="CM34:CN34"/>
    <mergeCell ref="CO34:CP34"/>
    <mergeCell ref="CQ34:CR34"/>
    <mergeCell ref="CQ40:CR40"/>
    <mergeCell ref="AZ41:BC41"/>
    <mergeCell ref="BD41:BG41"/>
    <mergeCell ref="BH41:BK41"/>
    <mergeCell ref="BL41:BO41"/>
    <mergeCell ref="BP41:BS41"/>
    <mergeCell ref="BT41:BW41"/>
    <mergeCell ref="BX41:CA41"/>
    <mergeCell ref="CE41:CF41"/>
    <mergeCell ref="CG41:CH41"/>
    <mergeCell ref="CE40:CF40"/>
    <mergeCell ref="CG40:CH40"/>
    <mergeCell ref="CI40:CJ40"/>
    <mergeCell ref="CK40:CL40"/>
    <mergeCell ref="CM40:CN40"/>
    <mergeCell ref="CO40:CP40"/>
    <mergeCell ref="BP40:BS40"/>
    <mergeCell ref="BT40:BW40"/>
    <mergeCell ref="BX40:CA40"/>
    <mergeCell ref="CB40:CB41"/>
    <mergeCell ref="CC40:CC46"/>
    <mergeCell ref="CD40:CD50"/>
    <mergeCell ref="BP42:BQ42"/>
    <mergeCell ref="BR42:BS42"/>
    <mergeCell ref="CO41:CP41"/>
    <mergeCell ref="CQ41:CR41"/>
    <mergeCell ref="AZ42:BA42"/>
    <mergeCell ref="BB42:BC42"/>
    <mergeCell ref="BD42:BE42"/>
    <mergeCell ref="BF42:BG42"/>
    <mergeCell ref="BH42:BI42"/>
    <mergeCell ref="BT42:BU42"/>
    <mergeCell ref="BV42:BW42"/>
    <mergeCell ref="BJ42:BK42"/>
    <mergeCell ref="BL42:BM42"/>
    <mergeCell ref="BN42:BO42"/>
    <mergeCell ref="CM42:CN42"/>
    <mergeCell ref="CO42:CP42"/>
    <mergeCell ref="CQ42:CR42"/>
    <mergeCell ref="CE42:CF42"/>
    <mergeCell ref="CG42:CH42"/>
    <mergeCell ref="CI42:CJ42"/>
    <mergeCell ref="CK42:CL42"/>
    <mergeCell ref="BH46:BI46"/>
    <mergeCell ref="BJ46:BK46"/>
    <mergeCell ref="BL46:BM46"/>
    <mergeCell ref="BX42:BY42"/>
    <mergeCell ref="BZ42:CA42"/>
    <mergeCell ref="BN46:BO46"/>
    <mergeCell ref="CI41:CJ41"/>
    <mergeCell ref="CK41:CL41"/>
    <mergeCell ref="CM41:CN41"/>
    <mergeCell ref="BT64:BW64"/>
    <mergeCell ref="BX64:CA64"/>
    <mergeCell ref="AX52:AX63"/>
    <mergeCell ref="AZ64:BC64"/>
    <mergeCell ref="BD64:BG64"/>
    <mergeCell ref="BH64:BK64"/>
    <mergeCell ref="BL64:BO64"/>
    <mergeCell ref="BP64:BS64"/>
    <mergeCell ref="BP46:BQ46"/>
    <mergeCell ref="BR46:BS46"/>
    <mergeCell ref="BT46:BU46"/>
    <mergeCell ref="BV46:BW46"/>
    <mergeCell ref="BX46:BY46"/>
    <mergeCell ref="BZ46:CA46"/>
    <mergeCell ref="AX40:AX46"/>
    <mergeCell ref="AY40:AY46"/>
    <mergeCell ref="AZ40:BC40"/>
    <mergeCell ref="BD40:BG40"/>
    <mergeCell ref="BH40:BK40"/>
    <mergeCell ref="BL40:BO40"/>
    <mergeCell ref="AZ46:BA46"/>
    <mergeCell ref="BB46:BC46"/>
    <mergeCell ref="BD46:BE46"/>
    <mergeCell ref="BF46:BG46"/>
    <mergeCell ref="CI69:CJ69"/>
    <mergeCell ref="CK69:CL69"/>
    <mergeCell ref="BX65:CA65"/>
    <mergeCell ref="BP66:BS66"/>
    <mergeCell ref="BX66:CA66"/>
    <mergeCell ref="BH67:BP68"/>
    <mergeCell ref="CE68:CF68"/>
    <mergeCell ref="CG68:CH68"/>
    <mergeCell ref="AZ65:BC65"/>
    <mergeCell ref="BD65:BG65"/>
    <mergeCell ref="BH65:BK65"/>
    <mergeCell ref="BL65:BO65"/>
    <mergeCell ref="BP65:BS65"/>
    <mergeCell ref="BT65:BW65"/>
    <mergeCell ref="BD44:BG44"/>
    <mergeCell ref="BP44:BS44"/>
    <mergeCell ref="BL44:BO44"/>
    <mergeCell ref="C44:F44"/>
    <mergeCell ref="CQ70:CR70"/>
    <mergeCell ref="AZ71:BM72"/>
    <mergeCell ref="CM69:CN69"/>
    <mergeCell ref="CO69:CP69"/>
    <mergeCell ref="CQ69:CR69"/>
    <mergeCell ref="BH70:BP70"/>
    <mergeCell ref="CE70:CF70"/>
    <mergeCell ref="CG70:CH70"/>
    <mergeCell ref="CI70:CJ70"/>
    <mergeCell ref="CK70:CL70"/>
    <mergeCell ref="CM70:CN70"/>
    <mergeCell ref="CO70:CP70"/>
    <mergeCell ref="CI68:CJ68"/>
    <mergeCell ref="CK68:CL68"/>
    <mergeCell ref="CM68:CN68"/>
    <mergeCell ref="CO68:CP68"/>
    <mergeCell ref="CQ68:CR68"/>
    <mergeCell ref="BH69:BP69"/>
    <mergeCell ref="CE69:CF69"/>
    <mergeCell ref="CG69:CH69"/>
  </mergeCells>
  <conditionalFormatting sqref="AE5">
    <cfRule type="cellIs" dxfId="18" priority="7" operator="lessThan">
      <formula>$AK$2</formula>
    </cfRule>
    <cfRule type="cellIs" dxfId="17" priority="8" operator="greaterThan">
      <formula>$AK$2</formula>
    </cfRule>
  </conditionalFormatting>
  <conditionalFormatting sqref="AE42">
    <cfRule type="cellIs" dxfId="16" priority="3" operator="lessThan">
      <formula>$AK$2</formula>
    </cfRule>
    <cfRule type="cellIs" dxfId="15" priority="4" operator="greaterThan">
      <formula>$AK$2</formula>
    </cfRule>
  </conditionalFormatting>
  <conditionalFormatting sqref="CB5">
    <cfRule type="cellIs" dxfId="14" priority="5" operator="lessThan">
      <formula>$AK$2</formula>
    </cfRule>
    <cfRule type="cellIs" dxfId="13" priority="6" operator="greaterThan">
      <formula>$AK$2</formula>
    </cfRule>
  </conditionalFormatting>
  <conditionalFormatting sqref="CB42">
    <cfRule type="cellIs" dxfId="12" priority="1" operator="lessThan">
      <formula>$AK$2</formula>
    </cfRule>
    <cfRule type="cellIs" dxfId="11" priority="2" operator="greaterThan">
      <formula>$AK$2</formula>
    </cfRule>
  </conditionalFormatting>
  <pageMargins left="0.7" right="0.7" top="0.78740157499999996" bottom="0.78740157499999996" header="0.3" footer="0.3"/>
  <pageSetup paperSize="9" scale="49" orientation="landscape" horizontalDpi="0" verticalDpi="0"/>
  <colBreaks count="1" manualBreakCount="1">
    <brk id="48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362D-06A7-BD41-B8AD-F31DCFA21257}">
  <sheetPr>
    <pageSetUpPr fitToPage="1"/>
  </sheetPr>
  <dimension ref="A1:AMK356"/>
  <sheetViews>
    <sheetView view="pageBreakPreview" topLeftCell="Z27" zoomScale="125" zoomScaleNormal="50" zoomScaleSheetLayoutView="150" workbookViewId="0">
      <selection activeCell="BP27" sqref="BP27"/>
    </sheetView>
  </sheetViews>
  <sheetFormatPr baseColWidth="10" defaultColWidth="8.83203125" defaultRowHeight="15"/>
  <cols>
    <col min="1" max="1" width="2.33203125" style="20" customWidth="1"/>
    <col min="2" max="2" width="12.1640625" style="21" customWidth="1"/>
    <col min="3" max="3" width="3.33203125" style="22" customWidth="1"/>
    <col min="4" max="5" width="3.5" style="22" customWidth="1"/>
    <col min="6" max="6" width="3.5" style="23" customWidth="1"/>
    <col min="7" max="9" width="3.5" style="22" customWidth="1"/>
    <col min="10" max="10" width="3.5" style="23" customWidth="1"/>
    <col min="11" max="13" width="3.5" style="22" customWidth="1"/>
    <col min="14" max="14" width="3.5" style="23" customWidth="1"/>
    <col min="15" max="17" width="3.5" style="22" customWidth="1"/>
    <col min="18" max="18" width="3.5" style="23" customWidth="1"/>
    <col min="19" max="21" width="3.5" style="22" customWidth="1"/>
    <col min="22" max="22" width="3.5" style="23" customWidth="1"/>
    <col min="23" max="25" width="3.5" style="22" customWidth="1"/>
    <col min="26" max="26" width="3.5" style="23" customWidth="1"/>
    <col min="27" max="29" width="3.5" style="22" customWidth="1"/>
    <col min="30" max="30" width="3.5" style="23" customWidth="1"/>
    <col min="31" max="31" width="11.33203125" style="24" customWidth="1"/>
    <col min="32" max="32" width="7.1640625" style="24" hidden="1" customWidth="1"/>
    <col min="33" max="33" width="12.33203125" style="24" hidden="1" customWidth="1"/>
    <col min="34" max="47" width="9.1640625" style="25" hidden="1" customWidth="1"/>
    <col min="48" max="48" width="13.6640625" style="26" hidden="1" customWidth="1"/>
    <col min="49" max="49" width="4" style="24" customWidth="1"/>
    <col min="50" max="50" width="2.33203125" style="20" customWidth="1"/>
    <col min="51" max="51" width="12.1640625" style="21" customWidth="1"/>
    <col min="52" max="52" width="3.33203125" style="22" customWidth="1"/>
    <col min="53" max="54" width="3.5" style="22" customWidth="1"/>
    <col min="55" max="55" width="3.5" style="23" customWidth="1"/>
    <col min="56" max="58" width="3.5" style="22" customWidth="1"/>
    <col min="59" max="59" width="3.5" style="23" customWidth="1"/>
    <col min="60" max="62" width="3.5" style="22" customWidth="1"/>
    <col min="63" max="63" width="3.5" style="23" customWidth="1"/>
    <col min="64" max="66" width="3.5" style="22" customWidth="1"/>
    <col min="67" max="67" width="3.5" style="23" customWidth="1"/>
    <col min="68" max="70" width="3.5" style="22" customWidth="1"/>
    <col min="71" max="71" width="3.5" style="23" customWidth="1"/>
    <col min="72" max="74" width="3.5" style="22" customWidth="1"/>
    <col min="75" max="75" width="3.5" style="23" customWidth="1"/>
    <col min="76" max="78" width="3.5" style="22" customWidth="1"/>
    <col min="79" max="79" width="3.5" style="23" customWidth="1"/>
    <col min="80" max="80" width="11.33203125" style="24" customWidth="1"/>
    <col min="81" max="81" width="7.1640625" style="24" hidden="1" customWidth="1"/>
    <col min="82" max="82" width="12.33203125" style="24" hidden="1" customWidth="1"/>
    <col min="83" max="96" width="9.1640625" style="25" hidden="1" customWidth="1"/>
    <col min="97" max="97" width="13.6640625" style="26" hidden="1" customWidth="1"/>
    <col min="98" max="214" width="11.33203125" style="24" customWidth="1"/>
    <col min="215" max="215" width="11.1640625" style="24" customWidth="1"/>
    <col min="216" max="1025" width="11.33203125" style="24" customWidth="1"/>
  </cols>
  <sheetData>
    <row r="1" spans="1:97" ht="14.25" customHeight="1">
      <c r="A1" s="348" t="s">
        <v>366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27"/>
      <c r="AF1" s="27"/>
      <c r="AG1" s="28" t="s">
        <v>244</v>
      </c>
      <c r="AH1" s="336" t="s">
        <v>245</v>
      </c>
      <c r="AI1" s="336"/>
      <c r="AJ1" s="29">
        <v>28</v>
      </c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1"/>
      <c r="AX1" s="348" t="s">
        <v>366</v>
      </c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27"/>
      <c r="CC1" s="27"/>
      <c r="CD1" s="28" t="s">
        <v>244</v>
      </c>
      <c r="CE1" s="336" t="s">
        <v>245</v>
      </c>
      <c r="CF1" s="336"/>
      <c r="CG1" s="29">
        <v>28</v>
      </c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1"/>
    </row>
    <row r="2" spans="1:97" ht="14.25" customHeight="1" thickBot="1">
      <c r="A2" s="349"/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27"/>
      <c r="AF2" s="27"/>
      <c r="AG2" s="32" t="str">
        <f>A3</f>
        <v>KW 5</v>
      </c>
      <c r="AH2" s="337" t="s">
        <v>246</v>
      </c>
      <c r="AI2" s="337"/>
      <c r="AJ2" s="33">
        <v>42</v>
      </c>
      <c r="AK2" s="34">
        <f>AJ2/100</f>
        <v>0.42</v>
      </c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1"/>
      <c r="AX2" s="349"/>
      <c r="AY2" s="349"/>
      <c r="AZ2" s="349"/>
      <c r="BA2" s="349"/>
      <c r="BB2" s="349"/>
      <c r="BC2" s="349"/>
      <c r="BD2" s="349"/>
      <c r="BE2" s="349"/>
      <c r="BF2" s="349"/>
      <c r="BG2" s="349"/>
      <c r="BH2" s="349"/>
      <c r="BI2" s="349"/>
      <c r="BJ2" s="349"/>
      <c r="BK2" s="349"/>
      <c r="BL2" s="349"/>
      <c r="BM2" s="349"/>
      <c r="BN2" s="349"/>
      <c r="BO2" s="349"/>
      <c r="BP2" s="349"/>
      <c r="BQ2" s="349"/>
      <c r="BR2" s="349"/>
      <c r="BS2" s="349"/>
      <c r="BT2" s="349"/>
      <c r="BU2" s="349"/>
      <c r="BV2" s="349"/>
      <c r="BW2" s="349"/>
      <c r="BX2" s="349"/>
      <c r="BY2" s="349"/>
      <c r="BZ2" s="349"/>
      <c r="CA2" s="349"/>
      <c r="CB2" s="27"/>
      <c r="CC2" s="27"/>
      <c r="CD2" s="32" t="str">
        <f>AX3</f>
        <v>KW 6</v>
      </c>
      <c r="CE2" s="337" t="s">
        <v>246</v>
      </c>
      <c r="CF2" s="337"/>
      <c r="CG2" s="33">
        <v>42</v>
      </c>
      <c r="CH2" s="34">
        <f>CG2/100</f>
        <v>0.42</v>
      </c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1"/>
    </row>
    <row r="3" spans="1:97" ht="14.25" customHeight="1" thickBot="1">
      <c r="A3" s="355" t="s">
        <v>413</v>
      </c>
      <c r="B3" s="339" t="s">
        <v>247</v>
      </c>
      <c r="C3" s="331" t="s">
        <v>248</v>
      </c>
      <c r="D3" s="331"/>
      <c r="E3" s="331"/>
      <c r="F3" s="331"/>
      <c r="G3" s="330" t="s">
        <v>249</v>
      </c>
      <c r="H3" s="330"/>
      <c r="I3" s="330"/>
      <c r="J3" s="330"/>
      <c r="K3" s="331" t="s">
        <v>250</v>
      </c>
      <c r="L3" s="331"/>
      <c r="M3" s="331"/>
      <c r="N3" s="331"/>
      <c r="O3" s="331" t="s">
        <v>251</v>
      </c>
      <c r="P3" s="331"/>
      <c r="Q3" s="331"/>
      <c r="R3" s="331"/>
      <c r="S3" s="331" t="s">
        <v>252</v>
      </c>
      <c r="T3" s="331"/>
      <c r="U3" s="331"/>
      <c r="V3" s="331"/>
      <c r="W3" s="331" t="s">
        <v>253</v>
      </c>
      <c r="X3" s="331"/>
      <c r="Y3" s="331"/>
      <c r="Z3" s="331"/>
      <c r="AA3" s="331" t="s">
        <v>254</v>
      </c>
      <c r="AB3" s="331"/>
      <c r="AC3" s="331"/>
      <c r="AD3" s="331"/>
      <c r="AE3" s="342" t="s">
        <v>255</v>
      </c>
      <c r="AF3" s="343" t="s">
        <v>256</v>
      </c>
      <c r="AG3" s="344" t="s">
        <v>257</v>
      </c>
      <c r="AH3" s="329" t="str">
        <f>C3</f>
        <v>MONTAG</v>
      </c>
      <c r="AI3" s="329"/>
      <c r="AJ3" s="329" t="str">
        <f>G3</f>
        <v>DIENSTAG</v>
      </c>
      <c r="AK3" s="329"/>
      <c r="AL3" s="329" t="str">
        <f>K3</f>
        <v>MITTWOCH</v>
      </c>
      <c r="AM3" s="329"/>
      <c r="AN3" s="329" t="str">
        <f>O3</f>
        <v>DONNERSTAG</v>
      </c>
      <c r="AO3" s="329"/>
      <c r="AP3" s="329" t="str">
        <f>S3</f>
        <v>FREITAG</v>
      </c>
      <c r="AQ3" s="329"/>
      <c r="AR3" s="329" t="str">
        <f>W3</f>
        <v>SAMSTAG</v>
      </c>
      <c r="AS3" s="329"/>
      <c r="AT3" s="329" t="str">
        <f>AA3</f>
        <v>SONNTAG</v>
      </c>
      <c r="AU3" s="329"/>
      <c r="AV3" s="35"/>
      <c r="AX3" s="338" t="s">
        <v>414</v>
      </c>
      <c r="AY3" s="339" t="s">
        <v>247</v>
      </c>
      <c r="AZ3" s="331" t="s">
        <v>248</v>
      </c>
      <c r="BA3" s="331"/>
      <c r="BB3" s="331"/>
      <c r="BC3" s="331"/>
      <c r="BD3" s="330" t="s">
        <v>249</v>
      </c>
      <c r="BE3" s="330"/>
      <c r="BF3" s="330"/>
      <c r="BG3" s="330"/>
      <c r="BH3" s="331" t="s">
        <v>250</v>
      </c>
      <c r="BI3" s="331"/>
      <c r="BJ3" s="331"/>
      <c r="BK3" s="331"/>
      <c r="BL3" s="331" t="s">
        <v>251</v>
      </c>
      <c r="BM3" s="331"/>
      <c r="BN3" s="331"/>
      <c r="BO3" s="331"/>
      <c r="BP3" s="331" t="s">
        <v>252</v>
      </c>
      <c r="BQ3" s="331"/>
      <c r="BR3" s="331"/>
      <c r="BS3" s="331"/>
      <c r="BT3" s="331" t="s">
        <v>253</v>
      </c>
      <c r="BU3" s="331"/>
      <c r="BV3" s="331"/>
      <c r="BW3" s="331"/>
      <c r="BX3" s="331" t="s">
        <v>254</v>
      </c>
      <c r="BY3" s="331"/>
      <c r="BZ3" s="331"/>
      <c r="CA3" s="331"/>
      <c r="CB3" s="342" t="s">
        <v>255</v>
      </c>
      <c r="CC3" s="343" t="s">
        <v>256</v>
      </c>
      <c r="CD3" s="344" t="s">
        <v>257</v>
      </c>
      <c r="CE3" s="329" t="str">
        <f>AZ3</f>
        <v>MONTAG</v>
      </c>
      <c r="CF3" s="329"/>
      <c r="CG3" s="329" t="str">
        <f>BD3</f>
        <v>DIENSTAG</v>
      </c>
      <c r="CH3" s="329"/>
      <c r="CI3" s="329" t="str">
        <f>BH3</f>
        <v>MITTWOCH</v>
      </c>
      <c r="CJ3" s="329"/>
      <c r="CK3" s="329" t="str">
        <f>BL3</f>
        <v>DONNERSTAG</v>
      </c>
      <c r="CL3" s="329"/>
      <c r="CM3" s="329" t="str">
        <f>BP3</f>
        <v>FREITAG</v>
      </c>
      <c r="CN3" s="329"/>
      <c r="CO3" s="329" t="str">
        <f>BT3</f>
        <v>SAMSTAG</v>
      </c>
      <c r="CP3" s="329"/>
      <c r="CQ3" s="329" t="str">
        <f>BX3</f>
        <v>SONNTAG</v>
      </c>
      <c r="CR3" s="329"/>
      <c r="CS3" s="35"/>
    </row>
    <row r="4" spans="1:97" ht="14.25" customHeight="1" thickBot="1">
      <c r="A4" s="338"/>
      <c r="B4" s="339"/>
      <c r="C4" s="330">
        <v>46048</v>
      </c>
      <c r="D4" s="330"/>
      <c r="E4" s="330"/>
      <c r="F4" s="330"/>
      <c r="G4" s="331">
        <f>C4+1</f>
        <v>46049</v>
      </c>
      <c r="H4" s="331"/>
      <c r="I4" s="331"/>
      <c r="J4" s="331"/>
      <c r="K4" s="332">
        <f>G4+1</f>
        <v>46050</v>
      </c>
      <c r="L4" s="330"/>
      <c r="M4" s="330"/>
      <c r="N4" s="330"/>
      <c r="O4" s="330">
        <f>K4+1</f>
        <v>46051</v>
      </c>
      <c r="P4" s="330"/>
      <c r="Q4" s="330"/>
      <c r="R4" s="330"/>
      <c r="S4" s="330">
        <f>O4+1</f>
        <v>46052</v>
      </c>
      <c r="T4" s="330"/>
      <c r="U4" s="330"/>
      <c r="V4" s="330"/>
      <c r="W4" s="330">
        <f>S4+1</f>
        <v>46053</v>
      </c>
      <c r="X4" s="330"/>
      <c r="Y4" s="330"/>
      <c r="Z4" s="330"/>
      <c r="AA4" s="330">
        <f>W4+1</f>
        <v>46054</v>
      </c>
      <c r="AB4" s="330"/>
      <c r="AC4" s="330"/>
      <c r="AD4" s="330"/>
      <c r="AE4" s="342"/>
      <c r="AF4" s="343"/>
      <c r="AG4" s="344"/>
      <c r="AH4" s="333">
        <f>C4</f>
        <v>46048</v>
      </c>
      <c r="AI4" s="333"/>
      <c r="AJ4" s="334">
        <f>C4+1</f>
        <v>46049</v>
      </c>
      <c r="AK4" s="335"/>
      <c r="AL4" s="334">
        <f>G4+1</f>
        <v>46050</v>
      </c>
      <c r="AM4" s="335"/>
      <c r="AN4" s="334">
        <f>K4+1</f>
        <v>46051</v>
      </c>
      <c r="AO4" s="335"/>
      <c r="AP4" s="334">
        <f>S4</f>
        <v>46052</v>
      </c>
      <c r="AQ4" s="335"/>
      <c r="AR4" s="334">
        <f>W4</f>
        <v>46053</v>
      </c>
      <c r="AS4" s="335"/>
      <c r="AT4" s="334">
        <f>AA4</f>
        <v>46054</v>
      </c>
      <c r="AU4" s="335"/>
      <c r="AV4" s="35"/>
      <c r="AX4" s="338"/>
      <c r="AY4" s="339"/>
      <c r="AZ4" s="330">
        <v>46055</v>
      </c>
      <c r="BA4" s="330"/>
      <c r="BB4" s="330"/>
      <c r="BC4" s="330"/>
      <c r="BD4" s="331">
        <f>AZ4+1</f>
        <v>46056</v>
      </c>
      <c r="BE4" s="331"/>
      <c r="BF4" s="331"/>
      <c r="BG4" s="331"/>
      <c r="BH4" s="332">
        <f>BD4+1</f>
        <v>46057</v>
      </c>
      <c r="BI4" s="330"/>
      <c r="BJ4" s="330"/>
      <c r="BK4" s="330"/>
      <c r="BL4" s="330">
        <f>BH4+1</f>
        <v>46058</v>
      </c>
      <c r="BM4" s="330"/>
      <c r="BN4" s="330"/>
      <c r="BO4" s="330"/>
      <c r="BP4" s="330">
        <f>BL4+1</f>
        <v>46059</v>
      </c>
      <c r="BQ4" s="330"/>
      <c r="BR4" s="330"/>
      <c r="BS4" s="330"/>
      <c r="BT4" s="330">
        <f>BP4+1</f>
        <v>46060</v>
      </c>
      <c r="BU4" s="330"/>
      <c r="BV4" s="330"/>
      <c r="BW4" s="330"/>
      <c r="BX4" s="330">
        <f>BT4+1</f>
        <v>46061</v>
      </c>
      <c r="BY4" s="330"/>
      <c r="BZ4" s="330"/>
      <c r="CA4" s="330"/>
      <c r="CB4" s="342"/>
      <c r="CC4" s="343"/>
      <c r="CD4" s="344"/>
      <c r="CE4" s="333">
        <f>AZ4</f>
        <v>46055</v>
      </c>
      <c r="CF4" s="333"/>
      <c r="CG4" s="334">
        <f>AZ4+1</f>
        <v>46056</v>
      </c>
      <c r="CH4" s="335"/>
      <c r="CI4" s="334">
        <f>BD4+1</f>
        <v>46057</v>
      </c>
      <c r="CJ4" s="335"/>
      <c r="CK4" s="334">
        <f>BH4+1</f>
        <v>46058</v>
      </c>
      <c r="CL4" s="335"/>
      <c r="CM4" s="334">
        <f>BP4</f>
        <v>46059</v>
      </c>
      <c r="CN4" s="335"/>
      <c r="CO4" s="334">
        <f>BT4</f>
        <v>46060</v>
      </c>
      <c r="CP4" s="335"/>
      <c r="CQ4" s="334">
        <f>BX4</f>
        <v>46061</v>
      </c>
      <c r="CR4" s="335"/>
      <c r="CS4" s="35"/>
    </row>
    <row r="5" spans="1:97" ht="14.25" customHeight="1" thickBot="1">
      <c r="A5" s="338"/>
      <c r="B5" s="339"/>
      <c r="C5" s="345" t="s">
        <v>258</v>
      </c>
      <c r="D5" s="345"/>
      <c r="E5" s="346">
        <f>AH34</f>
        <v>0.29400000000000004</v>
      </c>
      <c r="F5" s="346"/>
      <c r="G5" s="293" t="s">
        <v>258</v>
      </c>
      <c r="H5" s="293"/>
      <c r="I5" s="294">
        <f>AJ34</f>
        <v>0.21933333333333332</v>
      </c>
      <c r="J5" s="294"/>
      <c r="K5" s="347" t="s">
        <v>258</v>
      </c>
      <c r="L5" s="293"/>
      <c r="M5" s="294">
        <f>AL34</f>
        <v>0.22633333333333333</v>
      </c>
      <c r="N5" s="294"/>
      <c r="O5" s="293" t="s">
        <v>258</v>
      </c>
      <c r="P5" s="293"/>
      <c r="Q5" s="294">
        <f>AN34</f>
        <v>0.25987500000000002</v>
      </c>
      <c r="R5" s="294"/>
      <c r="S5" s="293" t="s">
        <v>258</v>
      </c>
      <c r="T5" s="293"/>
      <c r="U5" s="294">
        <f>AP34</f>
        <v>0.19872222222222219</v>
      </c>
      <c r="V5" s="294"/>
      <c r="W5" s="293" t="s">
        <v>258</v>
      </c>
      <c r="X5" s="293"/>
      <c r="Y5" s="294">
        <f>AR34</f>
        <v>0.18783333333333332</v>
      </c>
      <c r="Z5" s="294"/>
      <c r="AA5" s="293" t="s">
        <v>258</v>
      </c>
      <c r="AB5" s="293"/>
      <c r="AC5" s="294">
        <f>AT34</f>
        <v>0.18599999999999997</v>
      </c>
      <c r="AD5" s="294"/>
      <c r="AE5" s="36">
        <f>AI35</f>
        <v>0.22458531746031746</v>
      </c>
      <c r="AF5" s="343"/>
      <c r="AG5" s="344"/>
      <c r="AH5" s="320">
        <v>5000</v>
      </c>
      <c r="AI5" s="320"/>
      <c r="AJ5" s="320">
        <v>6000</v>
      </c>
      <c r="AK5" s="320"/>
      <c r="AL5" s="320">
        <v>6000</v>
      </c>
      <c r="AM5" s="320"/>
      <c r="AN5" s="320">
        <v>8000</v>
      </c>
      <c r="AO5" s="320"/>
      <c r="AP5" s="320">
        <v>12000</v>
      </c>
      <c r="AQ5" s="320"/>
      <c r="AR5" s="320">
        <v>12000</v>
      </c>
      <c r="AS5" s="320"/>
      <c r="AT5" s="320">
        <v>7000</v>
      </c>
      <c r="AU5" s="320"/>
      <c r="AV5" s="35"/>
      <c r="AW5" s="37"/>
      <c r="AX5" s="338"/>
      <c r="AY5" s="339"/>
      <c r="AZ5" s="345" t="s">
        <v>258</v>
      </c>
      <c r="BA5" s="345"/>
      <c r="BB5" s="346">
        <f>CE34</f>
        <v>0.17639999999999997</v>
      </c>
      <c r="BC5" s="346"/>
      <c r="BD5" s="293" t="s">
        <v>258</v>
      </c>
      <c r="BE5" s="293"/>
      <c r="BF5" s="294">
        <f>CG34</f>
        <v>0.21933333333333332</v>
      </c>
      <c r="BG5" s="294"/>
      <c r="BH5" s="347" t="s">
        <v>258</v>
      </c>
      <c r="BI5" s="293"/>
      <c r="BJ5" s="294">
        <f>CI34</f>
        <v>0.21933333333333332</v>
      </c>
      <c r="BK5" s="294"/>
      <c r="BL5" s="293" t="s">
        <v>258</v>
      </c>
      <c r="BM5" s="293"/>
      <c r="BN5" s="294">
        <f>CK34</f>
        <v>0.172375</v>
      </c>
      <c r="BO5" s="294"/>
      <c r="BP5" s="293" t="s">
        <v>258</v>
      </c>
      <c r="BQ5" s="293"/>
      <c r="BR5" s="294">
        <f>CM34</f>
        <v>0.18122222222222223</v>
      </c>
      <c r="BS5" s="294"/>
      <c r="BT5" s="293" t="s">
        <v>258</v>
      </c>
      <c r="BU5" s="293"/>
      <c r="BV5" s="294">
        <f>CO34</f>
        <v>0.18899999999999995</v>
      </c>
      <c r="BW5" s="294"/>
      <c r="BX5" s="293" t="s">
        <v>258</v>
      </c>
      <c r="BY5" s="293"/>
      <c r="BZ5" s="294">
        <f>CQ34</f>
        <v>0.19800000000000001</v>
      </c>
      <c r="CA5" s="294"/>
      <c r="CB5" s="36">
        <f>CF35</f>
        <v>0.19366626984126981</v>
      </c>
      <c r="CC5" s="343"/>
      <c r="CD5" s="344"/>
      <c r="CE5" s="320">
        <v>5000</v>
      </c>
      <c r="CF5" s="320"/>
      <c r="CG5" s="320">
        <v>6000</v>
      </c>
      <c r="CH5" s="320"/>
      <c r="CI5" s="320">
        <v>6000</v>
      </c>
      <c r="CJ5" s="320"/>
      <c r="CK5" s="320">
        <v>8000</v>
      </c>
      <c r="CL5" s="320"/>
      <c r="CM5" s="320">
        <v>12000</v>
      </c>
      <c r="CN5" s="320"/>
      <c r="CO5" s="320">
        <v>12000</v>
      </c>
      <c r="CP5" s="320"/>
      <c r="CQ5" s="320">
        <v>7000</v>
      </c>
      <c r="CR5" s="320"/>
      <c r="CS5" s="35"/>
    </row>
    <row r="6" spans="1:97" ht="14.25" customHeight="1" thickBot="1">
      <c r="A6" s="338"/>
      <c r="B6" s="340"/>
      <c r="C6" s="221"/>
      <c r="D6" s="222"/>
      <c r="E6" s="223"/>
      <c r="F6" s="224"/>
      <c r="G6" s="221"/>
      <c r="H6" s="222"/>
      <c r="I6" s="223"/>
      <c r="J6" s="224"/>
      <c r="K6" s="221"/>
      <c r="L6" s="222"/>
      <c r="M6" s="223"/>
      <c r="N6" s="224"/>
      <c r="O6" s="221"/>
      <c r="P6" s="222"/>
      <c r="Q6" s="223"/>
      <c r="R6" s="224"/>
      <c r="S6" s="221"/>
      <c r="T6" s="222"/>
      <c r="U6" s="223"/>
      <c r="V6" s="224"/>
      <c r="W6" s="221"/>
      <c r="X6" s="222"/>
      <c r="Y6" s="223"/>
      <c r="Z6" s="224"/>
      <c r="AA6" s="221"/>
      <c r="AB6" s="222"/>
      <c r="AC6" s="223"/>
      <c r="AD6" s="224"/>
      <c r="AE6" s="38"/>
      <c r="AF6" s="343"/>
      <c r="AG6" s="344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35"/>
      <c r="AW6" s="37"/>
      <c r="AX6" s="338"/>
      <c r="AY6" s="340"/>
      <c r="AZ6" s="221"/>
      <c r="BA6" s="222"/>
      <c r="BB6" s="223"/>
      <c r="BC6" s="224"/>
      <c r="BD6" s="221"/>
      <c r="BE6" s="222"/>
      <c r="BF6" s="223"/>
      <c r="BG6" s="224"/>
      <c r="BH6" s="221"/>
      <c r="BI6" s="222"/>
      <c r="BJ6" s="223"/>
      <c r="BK6" s="224"/>
      <c r="BL6" s="221"/>
      <c r="BM6" s="222"/>
      <c r="BN6" s="223"/>
      <c r="BO6" s="224"/>
      <c r="BP6" s="221"/>
      <c r="BQ6" s="222"/>
      <c r="BR6" s="223"/>
      <c r="BS6" s="224"/>
      <c r="BT6" s="221"/>
      <c r="BU6" s="222"/>
      <c r="BV6" s="223"/>
      <c r="BW6" s="224"/>
      <c r="BX6" s="221"/>
      <c r="BY6" s="222"/>
      <c r="BZ6" s="223"/>
      <c r="CA6" s="224"/>
      <c r="CB6" s="38"/>
      <c r="CC6" s="343"/>
      <c r="CD6" s="344"/>
      <c r="CE6" s="220"/>
      <c r="CF6" s="220"/>
      <c r="CG6" s="220"/>
      <c r="CH6" s="220"/>
      <c r="CI6" s="220"/>
      <c r="CJ6" s="220"/>
      <c r="CK6" s="220"/>
      <c r="CL6" s="220"/>
      <c r="CM6" s="220"/>
      <c r="CN6" s="220"/>
      <c r="CO6" s="220"/>
      <c r="CP6" s="220"/>
      <c r="CQ6" s="220"/>
      <c r="CR6" s="220"/>
      <c r="CS6" s="35"/>
    </row>
    <row r="7" spans="1:97" ht="14.25" customHeight="1" thickBot="1">
      <c r="A7" s="338"/>
      <c r="B7" s="340"/>
      <c r="C7" s="350" t="s">
        <v>419</v>
      </c>
      <c r="D7" s="351"/>
      <c r="E7" s="351"/>
      <c r="F7" s="351"/>
      <c r="G7" s="383" t="s">
        <v>420</v>
      </c>
      <c r="H7" s="384"/>
      <c r="I7" s="384"/>
      <c r="J7" s="385"/>
      <c r="K7" s="229"/>
      <c r="L7" s="222"/>
      <c r="M7" s="223"/>
      <c r="N7" s="224"/>
      <c r="O7" s="350" t="s">
        <v>421</v>
      </c>
      <c r="P7" s="351"/>
      <c r="Q7" s="351"/>
      <c r="R7" s="351"/>
      <c r="S7" s="221"/>
      <c r="T7" s="222"/>
      <c r="U7" s="223"/>
      <c r="V7" s="224"/>
      <c r="W7" s="221"/>
      <c r="X7" s="222"/>
      <c r="Y7" s="223"/>
      <c r="Z7" s="224"/>
      <c r="AA7" s="221"/>
      <c r="AB7" s="222"/>
      <c r="AC7" s="223"/>
      <c r="AD7" s="224"/>
      <c r="AE7" s="38"/>
      <c r="AF7" s="343"/>
      <c r="AG7" s="344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35"/>
      <c r="AW7" s="37"/>
      <c r="AX7" s="338"/>
      <c r="AY7" s="340"/>
      <c r="AZ7" s="225"/>
      <c r="BA7" s="226"/>
      <c r="BB7" s="227"/>
      <c r="BC7" s="228"/>
      <c r="BD7" s="221"/>
      <c r="BE7" s="222"/>
      <c r="BF7" s="223"/>
      <c r="BG7" s="224"/>
      <c r="BH7" s="229"/>
      <c r="BI7" s="222"/>
      <c r="BJ7" s="223"/>
      <c r="BK7" s="224"/>
      <c r="BL7" s="221"/>
      <c r="BM7" s="222"/>
      <c r="BN7" s="223"/>
      <c r="BO7" s="224"/>
      <c r="BP7" s="221"/>
      <c r="BQ7" s="222"/>
      <c r="BR7" s="223"/>
      <c r="BS7" s="224"/>
      <c r="BT7" s="221"/>
      <c r="BU7" s="222"/>
      <c r="BV7" s="223"/>
      <c r="BW7" s="224"/>
      <c r="BX7" s="221"/>
      <c r="BY7" s="222"/>
      <c r="BZ7" s="223"/>
      <c r="CA7" s="224"/>
      <c r="CB7" s="38"/>
      <c r="CC7" s="343"/>
      <c r="CD7" s="344"/>
      <c r="CE7" s="220"/>
      <c r="CF7" s="220"/>
      <c r="CG7" s="220"/>
      <c r="CH7" s="220"/>
      <c r="CI7" s="220"/>
      <c r="CJ7" s="220"/>
      <c r="CK7" s="220"/>
      <c r="CL7" s="220"/>
      <c r="CM7" s="220"/>
      <c r="CN7" s="220"/>
      <c r="CO7" s="220"/>
      <c r="CP7" s="220"/>
      <c r="CQ7" s="220"/>
      <c r="CR7" s="220"/>
      <c r="CS7" s="35"/>
    </row>
    <row r="8" spans="1:97" ht="14.25" customHeight="1" thickBot="1">
      <c r="A8" s="338"/>
      <c r="B8" s="340"/>
      <c r="C8" s="225"/>
      <c r="D8" s="226"/>
      <c r="E8" s="227"/>
      <c r="F8" s="228"/>
      <c r="G8" s="221"/>
      <c r="H8" s="222"/>
      <c r="I8" s="223"/>
      <c r="J8" s="224"/>
      <c r="K8" s="229"/>
      <c r="L8" s="222"/>
      <c r="M8" s="223"/>
      <c r="N8" s="224"/>
      <c r="O8" s="221"/>
      <c r="P8" s="222"/>
      <c r="Q8" s="223"/>
      <c r="R8" s="224"/>
      <c r="S8" s="221"/>
      <c r="T8" s="222"/>
      <c r="U8" s="223"/>
      <c r="V8" s="224"/>
      <c r="W8" s="221"/>
      <c r="X8" s="222"/>
      <c r="Y8" s="223"/>
      <c r="Z8" s="224"/>
      <c r="AA8" s="221"/>
      <c r="AB8" s="222"/>
      <c r="AC8" s="223"/>
      <c r="AD8" s="224"/>
      <c r="AE8" s="38"/>
      <c r="AF8" s="343"/>
      <c r="AG8" s="344"/>
      <c r="AH8" s="220"/>
      <c r="AI8" s="220"/>
      <c r="AJ8" s="220"/>
      <c r="AK8" s="220"/>
      <c r="AL8" s="220"/>
      <c r="AM8" s="220"/>
      <c r="AN8" s="220"/>
      <c r="AO8" s="220"/>
      <c r="AP8" s="220"/>
      <c r="AQ8" s="220"/>
      <c r="AR8" s="220"/>
      <c r="AS8" s="220"/>
      <c r="AT8" s="220"/>
      <c r="AU8" s="220"/>
      <c r="AV8" s="35"/>
      <c r="AW8" s="37"/>
      <c r="AX8" s="338"/>
      <c r="AY8" s="340"/>
      <c r="AZ8" s="225"/>
      <c r="BA8" s="226"/>
      <c r="BB8" s="227"/>
      <c r="BC8" s="228"/>
      <c r="BD8" s="221"/>
      <c r="BE8" s="222"/>
      <c r="BF8" s="223"/>
      <c r="BG8" s="224"/>
      <c r="BH8" s="229"/>
      <c r="BI8" s="222"/>
      <c r="BJ8" s="223"/>
      <c r="BK8" s="224"/>
      <c r="BL8" s="221"/>
      <c r="BM8" s="222"/>
      <c r="BN8" s="223"/>
      <c r="BO8" s="224"/>
      <c r="BP8" s="221"/>
      <c r="BQ8" s="222"/>
      <c r="BR8" s="223"/>
      <c r="BS8" s="224"/>
      <c r="BT8" s="221"/>
      <c r="BU8" s="222"/>
      <c r="BV8" s="223"/>
      <c r="BW8" s="224"/>
      <c r="BX8" s="221"/>
      <c r="BY8" s="222"/>
      <c r="BZ8" s="223"/>
      <c r="CA8" s="224"/>
      <c r="CB8" s="38"/>
      <c r="CC8" s="343"/>
      <c r="CD8" s="344"/>
      <c r="CE8" s="220"/>
      <c r="CF8" s="220"/>
      <c r="CG8" s="220"/>
      <c r="CH8" s="220"/>
      <c r="CI8" s="220"/>
      <c r="CJ8" s="220"/>
      <c r="CK8" s="220"/>
      <c r="CL8" s="220"/>
      <c r="CM8" s="220"/>
      <c r="CN8" s="220"/>
      <c r="CO8" s="220"/>
      <c r="CP8" s="220"/>
      <c r="CQ8" s="220"/>
      <c r="CR8" s="220"/>
      <c r="CS8" s="35"/>
    </row>
    <row r="9" spans="1:97" ht="14.25" customHeight="1" thickBot="1">
      <c r="A9" s="338"/>
      <c r="B9" s="341"/>
      <c r="C9" s="322" t="s">
        <v>259</v>
      </c>
      <c r="D9" s="322"/>
      <c r="E9" s="323" t="s">
        <v>260</v>
      </c>
      <c r="F9" s="323"/>
      <c r="G9" s="324" t="s">
        <v>259</v>
      </c>
      <c r="H9" s="324"/>
      <c r="I9" s="325" t="s">
        <v>260</v>
      </c>
      <c r="J9" s="325"/>
      <c r="K9" s="326" t="s">
        <v>259</v>
      </c>
      <c r="L9" s="324"/>
      <c r="M9" s="325" t="s">
        <v>260</v>
      </c>
      <c r="N9" s="325"/>
      <c r="O9" s="324" t="s">
        <v>259</v>
      </c>
      <c r="P9" s="324"/>
      <c r="Q9" s="325" t="s">
        <v>260</v>
      </c>
      <c r="R9" s="325"/>
      <c r="S9" s="327" t="s">
        <v>259</v>
      </c>
      <c r="T9" s="327"/>
      <c r="U9" s="328" t="s">
        <v>260</v>
      </c>
      <c r="V9" s="328"/>
      <c r="W9" s="327" t="s">
        <v>259</v>
      </c>
      <c r="X9" s="327"/>
      <c r="Y9" s="328" t="s">
        <v>260</v>
      </c>
      <c r="Z9" s="328"/>
      <c r="AA9" s="324" t="s">
        <v>259</v>
      </c>
      <c r="AB9" s="324"/>
      <c r="AC9" s="325" t="s">
        <v>260</v>
      </c>
      <c r="AD9" s="325"/>
      <c r="AE9" s="38" t="s">
        <v>261</v>
      </c>
      <c r="AF9" s="343"/>
      <c r="AG9" s="344"/>
      <c r="AH9" s="39" t="s">
        <v>259</v>
      </c>
      <c r="AI9" s="40" t="s">
        <v>260</v>
      </c>
      <c r="AJ9" s="39" t="s">
        <v>259</v>
      </c>
      <c r="AK9" s="40" t="s">
        <v>260</v>
      </c>
      <c r="AL9" s="39" t="s">
        <v>259</v>
      </c>
      <c r="AM9" s="40" t="s">
        <v>260</v>
      </c>
      <c r="AN9" s="39" t="s">
        <v>259</v>
      </c>
      <c r="AO9" s="40" t="s">
        <v>260</v>
      </c>
      <c r="AP9" s="39" t="s">
        <v>259</v>
      </c>
      <c r="AQ9" s="40" t="s">
        <v>260</v>
      </c>
      <c r="AR9" s="39" t="s">
        <v>259</v>
      </c>
      <c r="AS9" s="40" t="s">
        <v>260</v>
      </c>
      <c r="AT9" s="39" t="s">
        <v>259</v>
      </c>
      <c r="AU9" s="40" t="s">
        <v>260</v>
      </c>
      <c r="AV9" s="31"/>
      <c r="AX9" s="338"/>
      <c r="AY9" s="341"/>
      <c r="AZ9" s="322" t="s">
        <v>259</v>
      </c>
      <c r="BA9" s="322"/>
      <c r="BB9" s="323" t="s">
        <v>260</v>
      </c>
      <c r="BC9" s="323"/>
      <c r="BD9" s="324" t="s">
        <v>259</v>
      </c>
      <c r="BE9" s="324"/>
      <c r="BF9" s="325" t="s">
        <v>260</v>
      </c>
      <c r="BG9" s="325"/>
      <c r="BH9" s="326" t="s">
        <v>259</v>
      </c>
      <c r="BI9" s="324"/>
      <c r="BJ9" s="325" t="s">
        <v>260</v>
      </c>
      <c r="BK9" s="325"/>
      <c r="BL9" s="327" t="s">
        <v>259</v>
      </c>
      <c r="BM9" s="327"/>
      <c r="BN9" s="328" t="s">
        <v>260</v>
      </c>
      <c r="BO9" s="328"/>
      <c r="BP9" s="327" t="s">
        <v>259</v>
      </c>
      <c r="BQ9" s="327"/>
      <c r="BR9" s="328" t="s">
        <v>260</v>
      </c>
      <c r="BS9" s="328"/>
      <c r="BT9" s="327" t="s">
        <v>259</v>
      </c>
      <c r="BU9" s="327"/>
      <c r="BV9" s="328" t="s">
        <v>260</v>
      </c>
      <c r="BW9" s="328"/>
      <c r="BX9" s="324" t="s">
        <v>259</v>
      </c>
      <c r="BY9" s="324"/>
      <c r="BZ9" s="325" t="s">
        <v>260</v>
      </c>
      <c r="CA9" s="325"/>
      <c r="CB9" s="38" t="s">
        <v>261</v>
      </c>
      <c r="CC9" s="343"/>
      <c r="CD9" s="344"/>
      <c r="CE9" s="39" t="s">
        <v>259</v>
      </c>
      <c r="CF9" s="40" t="s">
        <v>260</v>
      </c>
      <c r="CG9" s="39" t="s">
        <v>259</v>
      </c>
      <c r="CH9" s="40" t="s">
        <v>260</v>
      </c>
      <c r="CI9" s="39" t="s">
        <v>259</v>
      </c>
      <c r="CJ9" s="40" t="s">
        <v>260</v>
      </c>
      <c r="CK9" s="39" t="s">
        <v>259</v>
      </c>
      <c r="CL9" s="40" t="s">
        <v>260</v>
      </c>
      <c r="CM9" s="39" t="s">
        <v>259</v>
      </c>
      <c r="CN9" s="40" t="s">
        <v>260</v>
      </c>
      <c r="CO9" s="39" t="s">
        <v>259</v>
      </c>
      <c r="CP9" s="40" t="s">
        <v>260</v>
      </c>
      <c r="CQ9" s="39" t="s">
        <v>259</v>
      </c>
      <c r="CR9" s="40" t="s">
        <v>260</v>
      </c>
      <c r="CS9" s="31"/>
    </row>
    <row r="10" spans="1:97">
      <c r="A10" s="213"/>
      <c r="B10" s="231" t="s">
        <v>397</v>
      </c>
      <c r="C10" s="243"/>
      <c r="D10" s="244"/>
      <c r="E10" s="244"/>
      <c r="F10" s="245"/>
      <c r="G10" s="243"/>
      <c r="H10" s="244"/>
      <c r="I10" s="244"/>
      <c r="J10" s="245"/>
      <c r="K10" s="243"/>
      <c r="L10" s="244"/>
      <c r="M10" s="244"/>
      <c r="N10" s="245"/>
      <c r="O10" s="243"/>
      <c r="P10" s="244"/>
      <c r="Q10" s="244"/>
      <c r="R10" s="245"/>
      <c r="S10" s="243"/>
      <c r="T10" s="244"/>
      <c r="U10" s="244"/>
      <c r="V10" s="245"/>
      <c r="W10" s="243"/>
      <c r="X10" s="244"/>
      <c r="Y10" s="244"/>
      <c r="Z10" s="245"/>
      <c r="AA10" s="217"/>
      <c r="AB10" s="214"/>
      <c r="AC10" s="214"/>
      <c r="AD10" s="215"/>
      <c r="AE10" s="237"/>
      <c r="AF10" s="193"/>
      <c r="AG10" s="344"/>
      <c r="AH10" s="191">
        <f t="shared" ref="AH10:AH27" si="0">IF(ISERROR(VALUE((MOD(D10-C10,1))))=TRUE,0,MOD(D10-C10,1))</f>
        <v>0</v>
      </c>
      <c r="AI10" s="191">
        <f t="shared" ref="AI10:AI27" si="1">IF(ISERROR(VALUE((MOD(F10-E10,1))))=TRUE,0,MOD(F10-E10,1))</f>
        <v>0</v>
      </c>
      <c r="AJ10" s="191">
        <f t="shared" ref="AJ10:AJ27" si="2">IF(ISERROR(VALUE((MOD(H10-G10,1))))=TRUE,0,MOD(H10-G10,1))</f>
        <v>0</v>
      </c>
      <c r="AK10" s="191">
        <f t="shared" ref="AK10:AK27" si="3">IF(ISERROR(VALUE((MOD(J10-I10,1))))=TRUE,0,MOD(J10-I10,1))</f>
        <v>0</v>
      </c>
      <c r="AL10" s="191">
        <f t="shared" ref="AL10:AL27" si="4">IF(ISERROR(VALUE((MOD(L10-K10,1))))=TRUE,0,MOD(L10-K10,1))</f>
        <v>0</v>
      </c>
      <c r="AM10" s="191">
        <f t="shared" ref="AM10:AM27" si="5">IF(ISERROR(VALUE((MOD(N10-M10,1))))=TRUE,0,MOD(N10-M10,1))</f>
        <v>0</v>
      </c>
      <c r="AN10" s="191">
        <f t="shared" ref="AN10:AN27" si="6">IF(ISERROR(VALUE((MOD(P10-O10,1))))=TRUE,0,MOD(P10-O10,1))</f>
        <v>0</v>
      </c>
      <c r="AO10" s="191">
        <f t="shared" ref="AO10:AO27" si="7">IF(ISERROR(VALUE((MOD(R10-Q10,1))))=TRUE,0,MOD(R10-Q10,1))</f>
        <v>0</v>
      </c>
      <c r="AP10" s="191">
        <f t="shared" ref="AP10:AP27" si="8">IF(ISERROR(VALUE((MOD(T10-S10,1))))=TRUE,0,MOD(T10-S10,1))</f>
        <v>0</v>
      </c>
      <c r="AQ10" s="191">
        <f t="shared" ref="AQ10:AQ27" si="9">IF(ISERROR(VALUE((MOD(V10-U10,1))))=TRUE,0,MOD(V10-U10,1))</f>
        <v>0</v>
      </c>
      <c r="AR10" s="191">
        <f t="shared" ref="AR10:AR27" si="10">IF(ISERROR(VALUE((MOD(X10-W10,1))))=TRUE,0,MOD(X10-W10,1))</f>
        <v>0</v>
      </c>
      <c r="AS10" s="191">
        <f t="shared" ref="AS10:AS27" si="11">IF(ISERROR(VALUE((MOD(Z10-Y10,1))))=TRUE,0,MOD(Z10-Y10,1))</f>
        <v>0</v>
      </c>
      <c r="AT10" s="191">
        <f t="shared" ref="AT10:AT27" si="12">IF(ISERROR(VALUE((MOD(AB10-AA10,1))))=TRUE,0,MOD(AB10-AA10,1))</f>
        <v>0</v>
      </c>
      <c r="AU10" s="191">
        <f t="shared" ref="AU10:AU27" si="13">IF(ISERROR(VALUE((MOD(AD10-AC10,1))))=TRUE,0,MOD(AD10-AC10,1))</f>
        <v>0</v>
      </c>
      <c r="AV10" s="31"/>
      <c r="AX10" s="213"/>
      <c r="AY10" s="231"/>
      <c r="AZ10" s="243"/>
      <c r="BA10" s="244"/>
      <c r="BB10" s="244"/>
      <c r="BC10" s="245"/>
      <c r="BD10" s="243"/>
      <c r="BE10" s="244"/>
      <c r="BF10" s="244"/>
      <c r="BG10" s="245"/>
      <c r="BH10" s="243"/>
      <c r="BI10" s="244"/>
      <c r="BJ10" s="244"/>
      <c r="BK10" s="245"/>
      <c r="BL10" s="243"/>
      <c r="BM10" s="244"/>
      <c r="BN10" s="244"/>
      <c r="BO10" s="245"/>
      <c r="BP10" s="243"/>
      <c r="BQ10" s="244"/>
      <c r="BR10" s="244"/>
      <c r="BS10" s="245"/>
      <c r="BT10" s="243"/>
      <c r="BU10" s="244"/>
      <c r="BV10" s="244"/>
      <c r="BW10" s="245"/>
      <c r="BX10" s="217"/>
      <c r="BY10" s="214"/>
      <c r="BZ10" s="214"/>
      <c r="CA10" s="215"/>
      <c r="CB10" s="237"/>
      <c r="CC10" s="193"/>
      <c r="CD10" s="344"/>
      <c r="CE10" s="191">
        <f t="shared" ref="CE10:CE11" si="14">IF(ISERROR(VALUE((MOD(BA10-AZ10,1))))=TRUE,0,MOD(BA10-AZ10,1))</f>
        <v>0</v>
      </c>
      <c r="CF10" s="191">
        <f t="shared" ref="CF10:CF27" si="15">IF(ISERROR(VALUE((MOD(BC10-BB10,1))))=TRUE,0,MOD(BC10-BB10,1))</f>
        <v>0</v>
      </c>
      <c r="CG10" s="191">
        <f t="shared" ref="CG10:CG14" si="16">IF(ISERROR(VALUE((MOD(BE10-BD10,1))))=TRUE,0,MOD(BE10-BD10,1))</f>
        <v>0</v>
      </c>
      <c r="CH10" s="191">
        <f t="shared" ref="CH10:CH14" si="17">IF(ISERROR(VALUE((MOD(BG10-BF10,1))))=TRUE,0,MOD(BG10-BF10,1))</f>
        <v>0</v>
      </c>
      <c r="CI10" s="191">
        <f t="shared" ref="CI10:CI27" si="18">IF(ISERROR(VALUE((MOD(BI10-BH10,1))))=TRUE,0,MOD(BI10-BH10,1))</f>
        <v>0</v>
      </c>
      <c r="CJ10" s="191">
        <f t="shared" ref="CJ10:CJ27" si="19">IF(ISERROR(VALUE((MOD(BK10-BJ10,1))))=TRUE,0,MOD(BK10-BJ10,1))</f>
        <v>0</v>
      </c>
      <c r="CK10" s="191">
        <f t="shared" ref="CK10:CK27" si="20">IF(ISERROR(VALUE((MOD(BM10-BL10,1))))=TRUE,0,MOD(BM10-BL10,1))</f>
        <v>0</v>
      </c>
      <c r="CL10" s="191">
        <f t="shared" ref="CL10:CL27" si="21">IF(ISERROR(VALUE((MOD(BO10-BN10,1))))=TRUE,0,MOD(BO10-BN10,1))</f>
        <v>0</v>
      </c>
      <c r="CM10" s="191">
        <f t="shared" ref="CM10:CM27" si="22">IF(ISERROR(VALUE((MOD(BQ10-BP10,1))))=TRUE,0,MOD(BQ10-BP10,1))</f>
        <v>0</v>
      </c>
      <c r="CN10" s="191">
        <f t="shared" ref="CN10:CN27" si="23">IF(ISERROR(VALUE((MOD(BS10-BR10,1))))=TRUE,0,MOD(BS10-BR10,1))</f>
        <v>0</v>
      </c>
      <c r="CO10" s="191">
        <f t="shared" ref="CO10:CO27" si="24">IF(ISERROR(VALUE((MOD(BU10-BT10,1))))=TRUE,0,MOD(BU10-BT10,1))</f>
        <v>0</v>
      </c>
      <c r="CP10" s="191">
        <f t="shared" ref="CP10:CP27" si="25">IF(ISERROR(VALUE((MOD(BW10-BV10,1))))=TRUE,0,MOD(BW10-BV10,1))</f>
        <v>0</v>
      </c>
      <c r="CQ10" s="191">
        <f t="shared" ref="CQ10" si="26">IF(ISERROR(VALUE((MOD(BY10-BX10,1))))=TRUE,0,MOD(BY10-BX10,1))</f>
        <v>0</v>
      </c>
      <c r="CR10" s="191">
        <f t="shared" ref="CR10" si="27">IF(ISERROR(VALUE((MOD(CA10-BZ10,1))))=TRUE,0,MOD(CA10-BZ10,1))</f>
        <v>0</v>
      </c>
      <c r="CS10" s="31"/>
    </row>
    <row r="11" spans="1:97">
      <c r="A11" s="213"/>
      <c r="B11" s="198" t="s">
        <v>377</v>
      </c>
      <c r="C11" s="217" t="s">
        <v>42</v>
      </c>
      <c r="D11" s="214" t="s">
        <v>42</v>
      </c>
      <c r="E11" s="214" t="s">
        <v>42</v>
      </c>
      <c r="F11" s="215" t="s">
        <v>42</v>
      </c>
      <c r="G11" s="217"/>
      <c r="H11" s="214"/>
      <c r="I11" s="214">
        <v>0.45833333333333331</v>
      </c>
      <c r="J11" s="215">
        <v>0.95833333333333337</v>
      </c>
      <c r="K11" s="217"/>
      <c r="L11" s="214"/>
      <c r="M11" s="214">
        <v>0.45833333333333331</v>
      </c>
      <c r="N11" s="215">
        <v>0.95833333333333337</v>
      </c>
      <c r="O11" s="217"/>
      <c r="P11" s="214"/>
      <c r="Q11" s="214">
        <v>0.45833333333333331</v>
      </c>
      <c r="R11" s="215">
        <v>0.95833333333333337</v>
      </c>
      <c r="S11" s="217"/>
      <c r="T11" s="214"/>
      <c r="U11" s="214">
        <v>0.45833333333333331</v>
      </c>
      <c r="V11" s="215">
        <v>0.95833333333333337</v>
      </c>
      <c r="W11" s="217"/>
      <c r="X11" s="214"/>
      <c r="Y11" s="214">
        <v>0.45833333333333331</v>
      </c>
      <c r="Z11" s="215">
        <v>0.97916666666666663</v>
      </c>
      <c r="AA11" s="217" t="s">
        <v>42</v>
      </c>
      <c r="AB11" s="214" t="s">
        <v>42</v>
      </c>
      <c r="AC11" s="214" t="s">
        <v>42</v>
      </c>
      <c r="AD11" s="215" t="s">
        <v>42</v>
      </c>
      <c r="AE11" s="238">
        <f t="shared" ref="AE11:AE27" si="28">AH11+AI11+AJ11+AK11++AL11+AM11+AN11+AO11+AP11++AQ11+AR11+AS11+AT11+AU11</f>
        <v>2.520833333333333</v>
      </c>
      <c r="AF11" s="193"/>
      <c r="AG11" s="344"/>
      <c r="AH11" s="191">
        <f t="shared" si="0"/>
        <v>0</v>
      </c>
      <c r="AI11" s="191">
        <f t="shared" si="1"/>
        <v>0</v>
      </c>
      <c r="AJ11" s="191">
        <f t="shared" si="2"/>
        <v>0</v>
      </c>
      <c r="AK11" s="191">
        <f t="shared" si="3"/>
        <v>0.5</v>
      </c>
      <c r="AL11" s="191">
        <f t="shared" si="4"/>
        <v>0</v>
      </c>
      <c r="AM11" s="191">
        <f t="shared" si="5"/>
        <v>0.5</v>
      </c>
      <c r="AN11" s="191">
        <f t="shared" si="6"/>
        <v>0</v>
      </c>
      <c r="AO11" s="191">
        <f t="shared" si="7"/>
        <v>0.5</v>
      </c>
      <c r="AP11" s="191">
        <f t="shared" si="8"/>
        <v>0</v>
      </c>
      <c r="AQ11" s="191">
        <f t="shared" si="9"/>
        <v>0.5</v>
      </c>
      <c r="AR11" s="191">
        <f t="shared" si="10"/>
        <v>0</v>
      </c>
      <c r="AS11" s="191">
        <f t="shared" si="11"/>
        <v>0.52083333333333326</v>
      </c>
      <c r="AT11" s="191">
        <f>IF(ISERROR(VALUE((MOD(AB11-AA11,1))))=TRUE,0,MOD(AB11-AA11,1))</f>
        <v>0</v>
      </c>
      <c r="AU11" s="191">
        <f>IF(ISERROR(VALUE((MOD(AD11-AC11,1))))=TRUE,0,MOD(AD11-AC11,1))</f>
        <v>0</v>
      </c>
      <c r="AV11" s="31"/>
      <c r="AX11" s="213"/>
      <c r="AY11" s="198" t="s">
        <v>377</v>
      </c>
      <c r="AZ11" s="217" t="s">
        <v>42</v>
      </c>
      <c r="BA11" s="214" t="s">
        <v>42</v>
      </c>
      <c r="BB11" s="214" t="s">
        <v>42</v>
      </c>
      <c r="BC11" s="215" t="s">
        <v>42</v>
      </c>
      <c r="BD11" s="217"/>
      <c r="BE11" s="214"/>
      <c r="BF11" s="214">
        <v>0.45833333333333331</v>
      </c>
      <c r="BG11" s="215">
        <v>0.95833333333333337</v>
      </c>
      <c r="BH11" s="217"/>
      <c r="BI11" s="214"/>
      <c r="BJ11" s="214">
        <v>0.45833333333333331</v>
      </c>
      <c r="BK11" s="215">
        <v>0.95833333333333337</v>
      </c>
      <c r="BL11" s="217"/>
      <c r="BM11" s="214"/>
      <c r="BN11" s="214">
        <v>0.45833333333333331</v>
      </c>
      <c r="BO11" s="215">
        <v>0.95833333333333337</v>
      </c>
      <c r="BP11" s="217"/>
      <c r="BQ11" s="214"/>
      <c r="BR11" s="214">
        <v>0.70833333333333337</v>
      </c>
      <c r="BS11" s="215">
        <v>0.95833333333333337</v>
      </c>
      <c r="BT11" s="217"/>
      <c r="BU11" s="214"/>
      <c r="BV11" s="214">
        <v>0.70833333333333337</v>
      </c>
      <c r="BW11" s="215">
        <v>0.97916666666666663</v>
      </c>
      <c r="BX11" s="217" t="s">
        <v>42</v>
      </c>
      <c r="BY11" s="214" t="s">
        <v>42</v>
      </c>
      <c r="BZ11" s="214" t="s">
        <v>42</v>
      </c>
      <c r="CA11" s="215" t="s">
        <v>42</v>
      </c>
      <c r="CB11" s="238">
        <f t="shared" ref="CB11:CB27" si="29">CE11+CF11+CG11+CH11++CI11+CJ11+CK11+CL11+CM11++CN11+CO11+CP11+CQ11+CR11</f>
        <v>2.020833333333333</v>
      </c>
      <c r="CC11" s="193"/>
      <c r="CD11" s="344"/>
      <c r="CE11" s="191">
        <f t="shared" si="14"/>
        <v>0</v>
      </c>
      <c r="CF11" s="191">
        <f t="shared" si="15"/>
        <v>0</v>
      </c>
      <c r="CG11" s="191">
        <f t="shared" si="16"/>
        <v>0</v>
      </c>
      <c r="CH11" s="191">
        <f t="shared" si="17"/>
        <v>0.5</v>
      </c>
      <c r="CI11" s="191">
        <f t="shared" si="18"/>
        <v>0</v>
      </c>
      <c r="CJ11" s="191">
        <f t="shared" si="19"/>
        <v>0.5</v>
      </c>
      <c r="CK11" s="191">
        <f t="shared" si="20"/>
        <v>0</v>
      </c>
      <c r="CL11" s="191">
        <f t="shared" si="21"/>
        <v>0.5</v>
      </c>
      <c r="CM11" s="191">
        <f t="shared" si="22"/>
        <v>0</v>
      </c>
      <c r="CN11" s="191">
        <f t="shared" si="23"/>
        <v>0.25</v>
      </c>
      <c r="CO11" s="191">
        <f t="shared" si="24"/>
        <v>0</v>
      </c>
      <c r="CP11" s="191">
        <f t="shared" si="25"/>
        <v>0.27083333333333326</v>
      </c>
      <c r="CQ11" s="191">
        <f>IF(ISERROR(VALUE((MOD(BY11-BX11,1))))=TRUE,0,MOD(BY11-BX11,1))</f>
        <v>0</v>
      </c>
      <c r="CR11" s="191">
        <f>IF(ISERROR(VALUE((MOD(CA11-BZ11,1))))=TRUE,0,MOD(CA11-BZ11,1))</f>
        <v>0</v>
      </c>
      <c r="CS11" s="31"/>
    </row>
    <row r="12" spans="1:97">
      <c r="A12" s="213"/>
      <c r="B12" s="198" t="s">
        <v>370</v>
      </c>
      <c r="C12" s="217">
        <v>0.45833333333333331</v>
      </c>
      <c r="D12" s="214">
        <v>0.58333333333333337</v>
      </c>
      <c r="E12" s="214">
        <v>0.70833333333333337</v>
      </c>
      <c r="F12" s="215">
        <v>0.97916666666666663</v>
      </c>
      <c r="G12" s="217" t="s">
        <v>42</v>
      </c>
      <c r="H12" s="214" t="s">
        <v>42</v>
      </c>
      <c r="I12" s="214" t="s">
        <v>42</v>
      </c>
      <c r="J12" s="215" t="s">
        <v>42</v>
      </c>
      <c r="K12" s="217" t="s">
        <v>42</v>
      </c>
      <c r="L12" s="214" t="s">
        <v>42</v>
      </c>
      <c r="M12" s="214" t="s">
        <v>42</v>
      </c>
      <c r="N12" s="215" t="s">
        <v>42</v>
      </c>
      <c r="O12" s="217"/>
      <c r="P12" s="214"/>
      <c r="Q12" s="214">
        <v>0.58333333333333337</v>
      </c>
      <c r="R12" s="215">
        <v>0.97916666666666663</v>
      </c>
      <c r="S12" s="217"/>
      <c r="T12" s="214"/>
      <c r="U12" s="214">
        <v>0.58333333333333337</v>
      </c>
      <c r="V12" s="215">
        <v>0.97916666666666663</v>
      </c>
      <c r="W12" s="217">
        <v>0.45833333333333331</v>
      </c>
      <c r="X12" s="214">
        <v>0.58333333333333337</v>
      </c>
      <c r="Y12" s="214">
        <v>0.70833333333333337</v>
      </c>
      <c r="Z12" s="215">
        <v>0.97916666666666663</v>
      </c>
      <c r="AA12" s="217">
        <v>0.45833333333333331</v>
      </c>
      <c r="AB12" s="214">
        <v>0.58333333333333337</v>
      </c>
      <c r="AC12" s="214">
        <v>0.70833333333333337</v>
      </c>
      <c r="AD12" s="215">
        <v>0.97916666666666663</v>
      </c>
      <c r="AE12" s="238">
        <f t="shared" si="28"/>
        <v>1.8541666666666663</v>
      </c>
      <c r="AF12" s="240" t="s">
        <v>385</v>
      </c>
      <c r="AG12" s="344"/>
      <c r="AH12" s="191">
        <f>IF(ISERROR(VALUE((MOD(D12-#REF!,1))))=TRUE,0,MOD(D12-#REF!,1))</f>
        <v>0</v>
      </c>
      <c r="AI12" s="191">
        <f t="shared" si="1"/>
        <v>0.27083333333333326</v>
      </c>
      <c r="AJ12" s="191">
        <f t="shared" si="2"/>
        <v>0</v>
      </c>
      <c r="AK12" s="191">
        <f t="shared" si="3"/>
        <v>0</v>
      </c>
      <c r="AL12" s="191">
        <f t="shared" si="4"/>
        <v>0</v>
      </c>
      <c r="AM12" s="191">
        <f t="shared" si="5"/>
        <v>0</v>
      </c>
      <c r="AN12" s="191">
        <f t="shared" si="6"/>
        <v>0</v>
      </c>
      <c r="AO12" s="191">
        <f t="shared" si="7"/>
        <v>0.39583333333333326</v>
      </c>
      <c r="AP12" s="191">
        <f t="shared" si="8"/>
        <v>0</v>
      </c>
      <c r="AQ12" s="191">
        <f t="shared" si="9"/>
        <v>0.39583333333333326</v>
      </c>
      <c r="AR12" s="191">
        <f t="shared" si="10"/>
        <v>0.12500000000000006</v>
      </c>
      <c r="AS12" s="191">
        <f t="shared" si="11"/>
        <v>0.27083333333333326</v>
      </c>
      <c r="AT12" s="191">
        <f t="shared" si="12"/>
        <v>0.12500000000000006</v>
      </c>
      <c r="AU12" s="191">
        <f t="shared" si="13"/>
        <v>0.27083333333333326</v>
      </c>
      <c r="AV12" s="31"/>
      <c r="AX12" s="213"/>
      <c r="AY12" s="198" t="s">
        <v>370</v>
      </c>
      <c r="AZ12" s="217">
        <v>0.45833333333333331</v>
      </c>
      <c r="BA12" s="214">
        <v>0.58333333333333337</v>
      </c>
      <c r="BB12" s="214">
        <v>0.70833333333333337</v>
      </c>
      <c r="BC12" s="215">
        <v>0.97916666666666663</v>
      </c>
      <c r="BD12" s="217" t="s">
        <v>42</v>
      </c>
      <c r="BE12" s="214" t="s">
        <v>42</v>
      </c>
      <c r="BF12" s="214" t="s">
        <v>42</v>
      </c>
      <c r="BG12" s="215" t="s">
        <v>42</v>
      </c>
      <c r="BH12" s="217" t="s">
        <v>42</v>
      </c>
      <c r="BI12" s="214" t="s">
        <v>42</v>
      </c>
      <c r="BJ12" s="214" t="s">
        <v>42</v>
      </c>
      <c r="BK12" s="215" t="s">
        <v>42</v>
      </c>
      <c r="BL12" s="217">
        <v>0.45833333333333331</v>
      </c>
      <c r="BM12" s="214">
        <v>0.58333333333333337</v>
      </c>
      <c r="BN12" s="214">
        <v>0.70833333333333337</v>
      </c>
      <c r="BO12" s="215">
        <v>0.97916666666666663</v>
      </c>
      <c r="BP12" s="217">
        <v>0.45833333333333331</v>
      </c>
      <c r="BQ12" s="214">
        <v>0.58333333333333337</v>
      </c>
      <c r="BR12" s="214">
        <v>0.70833333333333337</v>
      </c>
      <c r="BS12" s="215">
        <v>0.97916666666666663</v>
      </c>
      <c r="BT12" s="217">
        <v>0.45833333333333331</v>
      </c>
      <c r="BU12" s="214">
        <v>0.58333333333333337</v>
      </c>
      <c r="BV12" s="214">
        <v>0.70833333333333337</v>
      </c>
      <c r="BW12" s="215">
        <v>0.97916666666666663</v>
      </c>
      <c r="BX12" s="217">
        <v>0.45833333333333331</v>
      </c>
      <c r="BY12" s="214">
        <v>0.58333333333333337</v>
      </c>
      <c r="BZ12" s="214">
        <v>0.70833333333333337</v>
      </c>
      <c r="CA12" s="215">
        <v>0.97916666666666663</v>
      </c>
      <c r="CB12" s="238">
        <f t="shared" si="29"/>
        <v>1.8541666666666663</v>
      </c>
      <c r="CC12" s="240" t="s">
        <v>385</v>
      </c>
      <c r="CD12" s="344"/>
      <c r="CE12" s="191">
        <f>IF(ISERROR(VALUE((MOD(BA12-#REF!,1))))=TRUE,0,MOD(BA12-#REF!,1))</f>
        <v>0</v>
      </c>
      <c r="CF12" s="191">
        <f t="shared" si="15"/>
        <v>0.27083333333333326</v>
      </c>
      <c r="CG12" s="191">
        <f t="shared" si="16"/>
        <v>0</v>
      </c>
      <c r="CH12" s="191">
        <f t="shared" si="17"/>
        <v>0</v>
      </c>
      <c r="CI12" s="191">
        <f t="shared" si="18"/>
        <v>0</v>
      </c>
      <c r="CJ12" s="191">
        <f t="shared" si="19"/>
        <v>0</v>
      </c>
      <c r="CK12" s="191">
        <f t="shared" si="20"/>
        <v>0.12500000000000006</v>
      </c>
      <c r="CL12" s="191">
        <f t="shared" si="21"/>
        <v>0.27083333333333326</v>
      </c>
      <c r="CM12" s="191">
        <f t="shared" si="22"/>
        <v>0.12500000000000006</v>
      </c>
      <c r="CN12" s="191">
        <f t="shared" si="23"/>
        <v>0.27083333333333326</v>
      </c>
      <c r="CO12" s="191">
        <f t="shared" si="24"/>
        <v>0.12500000000000006</v>
      </c>
      <c r="CP12" s="191">
        <f t="shared" si="25"/>
        <v>0.27083333333333326</v>
      </c>
      <c r="CQ12" s="191">
        <f t="shared" ref="CQ12:CQ14" si="30">IF(ISERROR(VALUE((MOD(BY12-BX12,1))))=TRUE,0,MOD(BY12-BX12,1))</f>
        <v>0.12500000000000006</v>
      </c>
      <c r="CR12" s="191">
        <f t="shared" ref="CR12:CR14" si="31">IF(ISERROR(VALUE((MOD(CA12-BZ12,1))))=TRUE,0,MOD(CA12-BZ12,1))</f>
        <v>0.27083333333333326</v>
      </c>
      <c r="CS12" s="31"/>
    </row>
    <row r="13" spans="1:97">
      <c r="A13" s="213"/>
      <c r="B13" s="199" t="s">
        <v>381</v>
      </c>
      <c r="C13" s="217"/>
      <c r="D13" s="214"/>
      <c r="E13" s="214">
        <v>0.47916666666666669</v>
      </c>
      <c r="F13" s="215">
        <v>0.9375</v>
      </c>
      <c r="G13" s="217"/>
      <c r="H13" s="214"/>
      <c r="I13" s="214" t="s">
        <v>423</v>
      </c>
      <c r="J13" s="215">
        <v>0.97916666666666663</v>
      </c>
      <c r="K13" s="217"/>
      <c r="L13" s="214"/>
      <c r="M13" s="214">
        <v>0.47916666666666669</v>
      </c>
      <c r="N13" s="215">
        <v>0.97916666666666663</v>
      </c>
      <c r="O13" s="217" t="s">
        <v>418</v>
      </c>
      <c r="P13" s="214" t="s">
        <v>418</v>
      </c>
      <c r="Q13" s="214" t="s">
        <v>418</v>
      </c>
      <c r="R13" s="215" t="s">
        <v>418</v>
      </c>
      <c r="S13" s="217" t="s">
        <v>418</v>
      </c>
      <c r="T13" s="214" t="s">
        <v>418</v>
      </c>
      <c r="U13" s="214" t="s">
        <v>418</v>
      </c>
      <c r="V13" s="215" t="s">
        <v>418</v>
      </c>
      <c r="W13" s="217" t="s">
        <v>418</v>
      </c>
      <c r="X13" s="214" t="s">
        <v>418</v>
      </c>
      <c r="Y13" s="214" t="s">
        <v>418</v>
      </c>
      <c r="Z13" s="215" t="s">
        <v>418</v>
      </c>
      <c r="AA13" s="217" t="s">
        <v>418</v>
      </c>
      <c r="AB13" s="214" t="s">
        <v>418</v>
      </c>
      <c r="AC13" s="214" t="s">
        <v>418</v>
      </c>
      <c r="AD13" s="215" t="s">
        <v>418</v>
      </c>
      <c r="AE13" s="238">
        <f t="shared" si="28"/>
        <v>1.5</v>
      </c>
      <c r="AF13" s="238"/>
      <c r="AG13" s="344"/>
      <c r="AH13" s="191">
        <f>IF(ISERROR(VALUE((MOD(D13-C12,1))))=TRUE,0,MOD(D13-C12,1))</f>
        <v>0.54166666666666674</v>
      </c>
      <c r="AI13" s="191">
        <f t="shared" si="1"/>
        <v>0.45833333333333331</v>
      </c>
      <c r="AJ13" s="191">
        <f t="shared" si="2"/>
        <v>0</v>
      </c>
      <c r="AK13" s="191">
        <f t="shared" si="3"/>
        <v>0</v>
      </c>
      <c r="AL13" s="191">
        <f t="shared" si="4"/>
        <v>0</v>
      </c>
      <c r="AM13" s="191">
        <f t="shared" si="5"/>
        <v>0.49999999999999994</v>
      </c>
      <c r="AN13" s="191">
        <f t="shared" si="6"/>
        <v>0</v>
      </c>
      <c r="AO13" s="191">
        <f t="shared" si="7"/>
        <v>0</v>
      </c>
      <c r="AP13" s="191">
        <f t="shared" si="8"/>
        <v>0</v>
      </c>
      <c r="AQ13" s="191">
        <f t="shared" si="9"/>
        <v>0</v>
      </c>
      <c r="AR13" s="191">
        <f t="shared" si="10"/>
        <v>0</v>
      </c>
      <c r="AS13" s="191">
        <f t="shared" si="11"/>
        <v>0</v>
      </c>
      <c r="AT13" s="191">
        <f t="shared" si="12"/>
        <v>0</v>
      </c>
      <c r="AU13" s="191">
        <f t="shared" si="13"/>
        <v>0</v>
      </c>
      <c r="AV13" s="31"/>
      <c r="AX13" s="213"/>
      <c r="AY13" s="199" t="s">
        <v>381</v>
      </c>
      <c r="AZ13" s="217" t="s">
        <v>418</v>
      </c>
      <c r="BA13" s="214" t="s">
        <v>418</v>
      </c>
      <c r="BB13" s="214" t="s">
        <v>418</v>
      </c>
      <c r="BC13" s="215" t="s">
        <v>418</v>
      </c>
      <c r="BD13" s="217" t="s">
        <v>418</v>
      </c>
      <c r="BE13" s="214" t="s">
        <v>418</v>
      </c>
      <c r="BF13" s="214" t="s">
        <v>418</v>
      </c>
      <c r="BG13" s="215" t="s">
        <v>418</v>
      </c>
      <c r="BH13" s="217" t="s">
        <v>418</v>
      </c>
      <c r="BI13" s="214" t="s">
        <v>418</v>
      </c>
      <c r="BJ13" s="214" t="s">
        <v>418</v>
      </c>
      <c r="BK13" s="215" t="s">
        <v>418</v>
      </c>
      <c r="BL13" s="217" t="s">
        <v>418</v>
      </c>
      <c r="BM13" s="214" t="s">
        <v>418</v>
      </c>
      <c r="BN13" s="214" t="s">
        <v>418</v>
      </c>
      <c r="BO13" s="215" t="s">
        <v>418</v>
      </c>
      <c r="BP13" s="217" t="s">
        <v>418</v>
      </c>
      <c r="BQ13" s="214" t="s">
        <v>418</v>
      </c>
      <c r="BR13" s="214" t="s">
        <v>418</v>
      </c>
      <c r="BS13" s="215" t="s">
        <v>418</v>
      </c>
      <c r="BT13" s="217" t="s">
        <v>418</v>
      </c>
      <c r="BU13" s="214" t="s">
        <v>418</v>
      </c>
      <c r="BV13" s="214" t="s">
        <v>418</v>
      </c>
      <c r="BW13" s="215" t="s">
        <v>418</v>
      </c>
      <c r="BX13" s="217" t="s">
        <v>418</v>
      </c>
      <c r="BY13" s="214" t="s">
        <v>418</v>
      </c>
      <c r="BZ13" s="214" t="s">
        <v>418</v>
      </c>
      <c r="CA13" s="215" t="s">
        <v>418</v>
      </c>
      <c r="CB13" s="238">
        <f t="shared" si="29"/>
        <v>0</v>
      </c>
      <c r="CC13" s="238"/>
      <c r="CD13" s="344"/>
      <c r="CE13" s="191">
        <f>IF(ISERROR(VALUE((MOD(BA13-AZ12,1))))=TRUE,0,MOD(BA13-AZ12,1))</f>
        <v>0</v>
      </c>
      <c r="CF13" s="191">
        <f t="shared" si="15"/>
        <v>0</v>
      </c>
      <c r="CG13" s="191">
        <f t="shared" si="16"/>
        <v>0</v>
      </c>
      <c r="CH13" s="191">
        <f t="shared" si="17"/>
        <v>0</v>
      </c>
      <c r="CI13" s="191">
        <f t="shared" si="18"/>
        <v>0</v>
      </c>
      <c r="CJ13" s="191">
        <f t="shared" si="19"/>
        <v>0</v>
      </c>
      <c r="CK13" s="191">
        <f t="shared" si="20"/>
        <v>0</v>
      </c>
      <c r="CL13" s="191">
        <f t="shared" si="21"/>
        <v>0</v>
      </c>
      <c r="CM13" s="191">
        <f t="shared" si="22"/>
        <v>0</v>
      </c>
      <c r="CN13" s="191">
        <f t="shared" si="23"/>
        <v>0</v>
      </c>
      <c r="CO13" s="191">
        <f t="shared" si="24"/>
        <v>0</v>
      </c>
      <c r="CP13" s="191">
        <f t="shared" si="25"/>
        <v>0</v>
      </c>
      <c r="CQ13" s="191">
        <f t="shared" si="30"/>
        <v>0</v>
      </c>
      <c r="CR13" s="191">
        <f t="shared" si="31"/>
        <v>0</v>
      </c>
      <c r="CS13" s="31"/>
    </row>
    <row r="14" spans="1:97">
      <c r="A14" s="213"/>
      <c r="B14" s="248" t="s">
        <v>388</v>
      </c>
      <c r="C14" s="217">
        <v>0.45833333333333331</v>
      </c>
      <c r="D14" s="214">
        <v>0.58333333333333337</v>
      </c>
      <c r="E14" s="214">
        <v>0.70833333333333337</v>
      </c>
      <c r="F14" s="215">
        <v>0.97916666666666663</v>
      </c>
      <c r="G14" s="217">
        <v>0.41666666666666669</v>
      </c>
      <c r="H14" s="214">
        <v>0.58333333333333337</v>
      </c>
      <c r="I14" s="214">
        <v>0.70833333333333337</v>
      </c>
      <c r="J14" s="215">
        <v>0.97916666666666663</v>
      </c>
      <c r="K14" s="217">
        <v>0.41666666666666669</v>
      </c>
      <c r="L14" s="214">
        <v>0.58333333333333337</v>
      </c>
      <c r="M14" s="214">
        <v>0.72916666666666663</v>
      </c>
      <c r="N14" s="215">
        <v>0.97916666666666663</v>
      </c>
      <c r="O14" s="217"/>
      <c r="P14" s="214"/>
      <c r="Q14" s="214">
        <v>0.72916666666666663</v>
      </c>
      <c r="R14" s="215">
        <v>0.9375</v>
      </c>
      <c r="S14" s="217"/>
      <c r="T14" s="214"/>
      <c r="U14" s="214">
        <v>0.58333333333333337</v>
      </c>
      <c r="V14" s="215">
        <v>0.97916666666666663</v>
      </c>
      <c r="W14" s="217"/>
      <c r="X14" s="214"/>
      <c r="Y14" s="214">
        <v>0.70833333333333337</v>
      </c>
      <c r="Z14" s="215">
        <v>0.97916666666666663</v>
      </c>
      <c r="AA14" s="217" t="s">
        <v>42</v>
      </c>
      <c r="AB14" s="214" t="s">
        <v>42</v>
      </c>
      <c r="AC14" s="214" t="s">
        <v>42</v>
      </c>
      <c r="AD14" s="215" t="s">
        <v>42</v>
      </c>
      <c r="AE14" s="249">
        <f t="shared" si="28"/>
        <v>2.125</v>
      </c>
      <c r="AF14" s="238">
        <v>0</v>
      </c>
      <c r="AG14" s="41"/>
      <c r="AH14" s="191">
        <f t="shared" si="0"/>
        <v>0.12500000000000006</v>
      </c>
      <c r="AI14" s="191">
        <f t="shared" si="1"/>
        <v>0.27083333333333326</v>
      </c>
      <c r="AJ14" s="191">
        <f t="shared" si="2"/>
        <v>0.16666666666666669</v>
      </c>
      <c r="AK14" s="191">
        <f t="shared" si="3"/>
        <v>0.27083333333333326</v>
      </c>
      <c r="AL14" s="191">
        <f t="shared" si="4"/>
        <v>0.16666666666666669</v>
      </c>
      <c r="AM14" s="191">
        <f t="shared" si="5"/>
        <v>0.25</v>
      </c>
      <c r="AN14" s="191">
        <f t="shared" si="6"/>
        <v>0</v>
      </c>
      <c r="AO14" s="191">
        <f t="shared" si="7"/>
        <v>0.20833333333333337</v>
      </c>
      <c r="AP14" s="191">
        <f t="shared" si="8"/>
        <v>0</v>
      </c>
      <c r="AQ14" s="191">
        <f t="shared" si="9"/>
        <v>0.39583333333333326</v>
      </c>
      <c r="AR14" s="191">
        <f t="shared" si="10"/>
        <v>0</v>
      </c>
      <c r="AS14" s="191">
        <f t="shared" si="11"/>
        <v>0.27083333333333326</v>
      </c>
      <c r="AT14" s="191">
        <f t="shared" si="12"/>
        <v>0</v>
      </c>
      <c r="AU14" s="191">
        <f t="shared" si="13"/>
        <v>0</v>
      </c>
      <c r="AV14" s="31"/>
      <c r="AX14" s="213"/>
      <c r="AY14" s="248" t="s">
        <v>388</v>
      </c>
      <c r="AZ14" s="217" t="s">
        <v>42</v>
      </c>
      <c r="BA14" s="214" t="s">
        <v>42</v>
      </c>
      <c r="BB14" s="214" t="s">
        <v>42</v>
      </c>
      <c r="BC14" s="215" t="s">
        <v>42</v>
      </c>
      <c r="BD14" s="217">
        <v>0.41666666666666669</v>
      </c>
      <c r="BE14" s="214">
        <v>0.58333333333333337</v>
      </c>
      <c r="BF14" s="214">
        <v>0.70833333333333337</v>
      </c>
      <c r="BG14" s="215">
        <v>0.97916666666666663</v>
      </c>
      <c r="BH14" s="217">
        <v>0.41666666666666669</v>
      </c>
      <c r="BI14" s="214">
        <v>0.58333333333333337</v>
      </c>
      <c r="BJ14" s="214">
        <v>0.70833333333333337</v>
      </c>
      <c r="BK14" s="215">
        <v>0.97916666666666663</v>
      </c>
      <c r="BL14" s="217">
        <v>0.45833333333333331</v>
      </c>
      <c r="BM14" s="214">
        <v>0.58333333333333337</v>
      </c>
      <c r="BN14" s="214">
        <v>0.70833333333333337</v>
      </c>
      <c r="BO14" s="215">
        <v>0.97916666666666663</v>
      </c>
      <c r="BP14" s="217">
        <v>0.45833333333333331</v>
      </c>
      <c r="BQ14" s="214">
        <v>0.58333333333333337</v>
      </c>
      <c r="BR14" s="214">
        <v>0.70833333333333337</v>
      </c>
      <c r="BS14" s="215">
        <v>0.97916666666666663</v>
      </c>
      <c r="BT14" s="217"/>
      <c r="BU14" s="214"/>
      <c r="BV14" s="214">
        <v>0.47916666666666669</v>
      </c>
      <c r="BW14" s="215">
        <v>0.9375</v>
      </c>
      <c r="BX14" s="217" t="s">
        <v>42</v>
      </c>
      <c r="BY14" s="214" t="s">
        <v>42</v>
      </c>
      <c r="BZ14" s="214" t="s">
        <v>42</v>
      </c>
      <c r="CA14" s="215" t="s">
        <v>42</v>
      </c>
      <c r="CB14" s="249">
        <f t="shared" si="29"/>
        <v>2.125</v>
      </c>
      <c r="CC14" s="238">
        <v>0</v>
      </c>
      <c r="CD14" s="41"/>
      <c r="CE14" s="191">
        <f t="shared" ref="CE14:CE27" si="32">IF(ISERROR(VALUE((MOD(BA14-AZ14,1))))=TRUE,0,MOD(BA14-AZ14,1))</f>
        <v>0</v>
      </c>
      <c r="CF14" s="191">
        <f t="shared" si="15"/>
        <v>0</v>
      </c>
      <c r="CG14" s="191">
        <f t="shared" si="16"/>
        <v>0.16666666666666669</v>
      </c>
      <c r="CH14" s="191">
        <f t="shared" si="17"/>
        <v>0.27083333333333326</v>
      </c>
      <c r="CI14" s="191">
        <f t="shared" si="18"/>
        <v>0.16666666666666669</v>
      </c>
      <c r="CJ14" s="191">
        <f t="shared" si="19"/>
        <v>0.27083333333333326</v>
      </c>
      <c r="CK14" s="191">
        <f t="shared" si="20"/>
        <v>0.12500000000000006</v>
      </c>
      <c r="CL14" s="191">
        <f t="shared" si="21"/>
        <v>0.27083333333333326</v>
      </c>
      <c r="CM14" s="191">
        <f t="shared" si="22"/>
        <v>0.12500000000000006</v>
      </c>
      <c r="CN14" s="191">
        <f t="shared" si="23"/>
        <v>0.27083333333333326</v>
      </c>
      <c r="CO14" s="191">
        <f t="shared" si="24"/>
        <v>0</v>
      </c>
      <c r="CP14" s="191">
        <f t="shared" si="25"/>
        <v>0.45833333333333331</v>
      </c>
      <c r="CQ14" s="191">
        <f t="shared" si="30"/>
        <v>0</v>
      </c>
      <c r="CR14" s="191">
        <f t="shared" si="31"/>
        <v>0</v>
      </c>
      <c r="CS14" s="31"/>
    </row>
    <row r="15" spans="1:97" ht="15" customHeight="1">
      <c r="A15" s="321"/>
      <c r="B15" s="248" t="s">
        <v>380</v>
      </c>
      <c r="C15" s="217" t="s">
        <v>42</v>
      </c>
      <c r="D15" s="214" t="s">
        <v>42</v>
      </c>
      <c r="E15" s="214" t="s">
        <v>42</v>
      </c>
      <c r="F15" s="215" t="s">
        <v>42</v>
      </c>
      <c r="G15" s="217">
        <v>0.45833333333333331</v>
      </c>
      <c r="H15" s="214">
        <v>0.58333333333333337</v>
      </c>
      <c r="I15" s="214">
        <v>0.70833333333333337</v>
      </c>
      <c r="J15" s="215">
        <v>0.9375</v>
      </c>
      <c r="K15" s="217">
        <v>0.45833333333333331</v>
      </c>
      <c r="L15" s="214">
        <v>0.58333333333333337</v>
      </c>
      <c r="M15" s="214">
        <v>0.70833333333333337</v>
      </c>
      <c r="N15" s="215">
        <v>0.9375</v>
      </c>
      <c r="O15" s="236">
        <v>0.45833333333333331</v>
      </c>
      <c r="P15" s="218">
        <v>0.58333333333333337</v>
      </c>
      <c r="Q15" s="214">
        <v>0.66666666666666663</v>
      </c>
      <c r="R15" s="215">
        <v>0.97916666666666663</v>
      </c>
      <c r="S15" s="217"/>
      <c r="T15" s="214"/>
      <c r="U15" s="214">
        <v>0.66666666666666663</v>
      </c>
      <c r="V15" s="215">
        <v>2.0833333333333332E-2</v>
      </c>
      <c r="W15" s="217"/>
      <c r="X15" s="214"/>
      <c r="Y15" s="214">
        <v>0.66666666666666663</v>
      </c>
      <c r="Z15" s="215">
        <v>2.0833333333333332E-2</v>
      </c>
      <c r="AA15" s="217" t="s">
        <v>42</v>
      </c>
      <c r="AB15" s="214" t="s">
        <v>42</v>
      </c>
      <c r="AC15" s="214" t="s">
        <v>42</v>
      </c>
      <c r="AD15" s="215" t="s">
        <v>42</v>
      </c>
      <c r="AE15" s="249">
        <f t="shared" si="28"/>
        <v>1.854166666666667</v>
      </c>
      <c r="AF15" s="238">
        <v>0.64097222222222228</v>
      </c>
      <c r="AG15" s="41"/>
      <c r="AH15" s="191">
        <f t="shared" si="0"/>
        <v>0</v>
      </c>
      <c r="AI15" s="191">
        <f t="shared" si="1"/>
        <v>0</v>
      </c>
      <c r="AJ15" s="191">
        <f>IF(ISERROR(VALUE((MOD(H15-G15,1))))=TRUE,0,MOD(H15-G15,1))</f>
        <v>0.12500000000000006</v>
      </c>
      <c r="AK15" s="191">
        <f>IF(ISERROR(VALUE((MOD(J15-I15,1))))=TRUE,0,MOD(J15-I15,1))</f>
        <v>0.22916666666666663</v>
      </c>
      <c r="AL15" s="191">
        <f t="shared" si="4"/>
        <v>0.12500000000000006</v>
      </c>
      <c r="AM15" s="191">
        <f t="shared" si="5"/>
        <v>0.22916666666666663</v>
      </c>
      <c r="AN15" s="191">
        <f t="shared" si="6"/>
        <v>0.12500000000000006</v>
      </c>
      <c r="AO15" s="191">
        <f t="shared" si="7"/>
        <v>0.3125</v>
      </c>
      <c r="AP15" s="191">
        <f t="shared" si="8"/>
        <v>0</v>
      </c>
      <c r="AQ15" s="191">
        <f t="shared" si="9"/>
        <v>0.35416666666666674</v>
      </c>
      <c r="AR15" s="191">
        <f t="shared" si="10"/>
        <v>0</v>
      </c>
      <c r="AS15" s="191">
        <f t="shared" si="11"/>
        <v>0.35416666666666674</v>
      </c>
      <c r="AT15" s="191">
        <f>IF(ISERROR(VALUE((MOD(AB15-AA15,1))))=TRUE,0,MOD(AB15-AA15,1))</f>
        <v>0</v>
      </c>
      <c r="AU15" s="191">
        <f>IF(ISERROR(VALUE((MOD(AD15-AC15,1))))=TRUE,0,MOD(AD15-AC15,1))</f>
        <v>0</v>
      </c>
      <c r="AV15" s="31"/>
      <c r="AX15" s="321"/>
      <c r="AY15" s="248" t="s">
        <v>380</v>
      </c>
      <c r="AZ15" s="217">
        <v>0.45833333333333331</v>
      </c>
      <c r="BA15" s="214">
        <v>0.58333333333333337</v>
      </c>
      <c r="BB15" s="214">
        <v>0.70833333333333337</v>
      </c>
      <c r="BC15" s="215">
        <v>0.9375</v>
      </c>
      <c r="BD15" s="217">
        <v>0.45833333333333331</v>
      </c>
      <c r="BE15" s="214">
        <v>0.58333333333333337</v>
      </c>
      <c r="BF15" s="214">
        <v>0.70833333333333337</v>
      </c>
      <c r="BG15" s="215">
        <v>0.89583333333333337</v>
      </c>
      <c r="BH15" s="217">
        <v>0.45833333333333331</v>
      </c>
      <c r="BI15" s="214">
        <v>0.58333333333333337</v>
      </c>
      <c r="BJ15" s="214">
        <v>0.70833333333333337</v>
      </c>
      <c r="BK15" s="215">
        <v>0.89583333333333337</v>
      </c>
      <c r="BL15" s="217" t="s">
        <v>42</v>
      </c>
      <c r="BM15" s="214" t="s">
        <v>42</v>
      </c>
      <c r="BN15" s="214" t="s">
        <v>42</v>
      </c>
      <c r="BO15" s="215" t="s">
        <v>42</v>
      </c>
      <c r="BP15" s="217"/>
      <c r="BQ15" s="214"/>
      <c r="BR15" s="214">
        <v>0.625</v>
      </c>
      <c r="BS15" s="215">
        <v>2.0833333333333332E-2</v>
      </c>
      <c r="BT15" s="217"/>
      <c r="BU15" s="214"/>
      <c r="BV15" s="214">
        <v>0.625</v>
      </c>
      <c r="BW15" s="215">
        <v>2.0833333333333332E-2</v>
      </c>
      <c r="BX15" s="217" t="s">
        <v>42</v>
      </c>
      <c r="BY15" s="214" t="s">
        <v>42</v>
      </c>
      <c r="BZ15" s="214" t="s">
        <v>42</v>
      </c>
      <c r="CA15" s="215" t="s">
        <v>42</v>
      </c>
      <c r="CB15" s="249">
        <f t="shared" si="29"/>
        <v>1.6458333333333335</v>
      </c>
      <c r="CC15" s="238">
        <v>0.64097222222222228</v>
      </c>
      <c r="CD15" s="41"/>
      <c r="CE15" s="191">
        <f>IF(ISERROR(VALUE((MOD(#REF!-AZ15,1))))=TRUE,0,MOD(#REF!-AZ15,1))</f>
        <v>0</v>
      </c>
      <c r="CF15" s="191">
        <f t="shared" si="15"/>
        <v>0.22916666666666663</v>
      </c>
      <c r="CG15" s="191">
        <f>IF(ISERROR(VALUE((MOD(BE15-BD15,1))))=TRUE,0,MOD(BE15-BD15,1))</f>
        <v>0.12500000000000006</v>
      </c>
      <c r="CH15" s="191">
        <f>IF(ISERROR(VALUE((MOD(BG15-BF15,1))))=TRUE,0,MOD(BG15-BF15,1))</f>
        <v>0.1875</v>
      </c>
      <c r="CI15" s="191">
        <f t="shared" si="18"/>
        <v>0.12500000000000006</v>
      </c>
      <c r="CJ15" s="191">
        <f t="shared" si="19"/>
        <v>0.1875</v>
      </c>
      <c r="CK15" s="191">
        <f t="shared" si="20"/>
        <v>0</v>
      </c>
      <c r="CL15" s="191">
        <f t="shared" si="21"/>
        <v>0</v>
      </c>
      <c r="CM15" s="191">
        <f t="shared" si="22"/>
        <v>0</v>
      </c>
      <c r="CN15" s="191">
        <f t="shared" si="23"/>
        <v>0.39583333333333337</v>
      </c>
      <c r="CO15" s="191">
        <f t="shared" si="24"/>
        <v>0</v>
      </c>
      <c r="CP15" s="191">
        <f t="shared" si="25"/>
        <v>0.39583333333333337</v>
      </c>
      <c r="CQ15" s="191">
        <f>IF(ISERROR(VALUE((MOD(BY15-BX15,1))))=TRUE,0,MOD(BY15-BX15,1))</f>
        <v>0</v>
      </c>
      <c r="CR15" s="191">
        <f>IF(ISERROR(VALUE((MOD(CA15-BZ15,1))))=TRUE,0,MOD(CA15-BZ15,1))</f>
        <v>0</v>
      </c>
      <c r="CS15" s="31"/>
    </row>
    <row r="16" spans="1:97">
      <c r="A16" s="321"/>
      <c r="B16" s="250" t="s">
        <v>382</v>
      </c>
      <c r="C16" s="217">
        <v>0.45833333333333331</v>
      </c>
      <c r="D16" s="214">
        <v>0.58333333333333337</v>
      </c>
      <c r="E16" s="214"/>
      <c r="F16" s="215"/>
      <c r="G16" s="217" t="s">
        <v>42</v>
      </c>
      <c r="H16" s="214" t="s">
        <v>42</v>
      </c>
      <c r="I16" s="214" t="s">
        <v>42</v>
      </c>
      <c r="J16" s="215" t="s">
        <v>42</v>
      </c>
      <c r="K16" s="217" t="s">
        <v>42</v>
      </c>
      <c r="L16" s="214" t="s">
        <v>42</v>
      </c>
      <c r="M16" s="214" t="s">
        <v>42</v>
      </c>
      <c r="N16" s="215" t="s">
        <v>42</v>
      </c>
      <c r="O16" s="217"/>
      <c r="P16" s="214"/>
      <c r="Q16" s="216">
        <v>0.70833333333333337</v>
      </c>
      <c r="R16" s="215">
        <v>0.97916666666666663</v>
      </c>
      <c r="S16" s="217">
        <v>0.45833333333333331</v>
      </c>
      <c r="T16" s="214">
        <v>0.58333333333333337</v>
      </c>
      <c r="U16" s="214">
        <v>0.70833333333333337</v>
      </c>
      <c r="V16" s="215">
        <v>0.97916666666666663</v>
      </c>
      <c r="W16" s="217">
        <v>0.45833333333333331</v>
      </c>
      <c r="X16" s="214">
        <v>0.58333333333333337</v>
      </c>
      <c r="Y16" s="214">
        <v>0.70833333333333337</v>
      </c>
      <c r="Z16" s="215">
        <v>0.97916666666666663</v>
      </c>
      <c r="AA16" s="217" t="s">
        <v>42</v>
      </c>
      <c r="AB16" s="214" t="s">
        <v>42</v>
      </c>
      <c r="AC16" s="214" t="s">
        <v>42</v>
      </c>
      <c r="AD16" s="215" t="s">
        <v>42</v>
      </c>
      <c r="AE16" s="249">
        <f t="shared" si="28"/>
        <v>1.1875</v>
      </c>
      <c r="AF16" s="239" t="s">
        <v>386</v>
      </c>
      <c r="AG16" s="41"/>
      <c r="AH16" s="191">
        <f t="shared" si="0"/>
        <v>0.12500000000000006</v>
      </c>
      <c r="AI16" s="191">
        <f t="shared" si="1"/>
        <v>0</v>
      </c>
      <c r="AJ16" s="191">
        <f t="shared" si="2"/>
        <v>0</v>
      </c>
      <c r="AK16" s="191">
        <f t="shared" si="3"/>
        <v>0</v>
      </c>
      <c r="AL16" s="191">
        <f t="shared" si="4"/>
        <v>0</v>
      </c>
      <c r="AM16" s="191">
        <f t="shared" si="5"/>
        <v>0</v>
      </c>
      <c r="AN16" s="191">
        <f t="shared" si="6"/>
        <v>0</v>
      </c>
      <c r="AO16" s="191">
        <f t="shared" si="7"/>
        <v>0.27083333333333326</v>
      </c>
      <c r="AP16" s="191">
        <f t="shared" si="8"/>
        <v>0.12500000000000006</v>
      </c>
      <c r="AQ16" s="191">
        <f t="shared" si="9"/>
        <v>0.27083333333333326</v>
      </c>
      <c r="AR16" s="191">
        <f t="shared" si="10"/>
        <v>0.12500000000000006</v>
      </c>
      <c r="AS16" s="191">
        <f t="shared" si="11"/>
        <v>0.27083333333333326</v>
      </c>
      <c r="AT16" s="191">
        <f t="shared" si="12"/>
        <v>0</v>
      </c>
      <c r="AU16" s="191">
        <f t="shared" si="13"/>
        <v>0</v>
      </c>
      <c r="AV16" s="31"/>
      <c r="AX16" s="321"/>
      <c r="AY16" s="250" t="s">
        <v>382</v>
      </c>
      <c r="AZ16" s="217" t="s">
        <v>422</v>
      </c>
      <c r="BA16" s="214" t="s">
        <v>422</v>
      </c>
      <c r="BB16" s="214" t="s">
        <v>422</v>
      </c>
      <c r="BC16" s="215" t="s">
        <v>422</v>
      </c>
      <c r="BD16" s="217" t="s">
        <v>422</v>
      </c>
      <c r="BE16" s="214" t="s">
        <v>422</v>
      </c>
      <c r="BF16" s="214" t="s">
        <v>422</v>
      </c>
      <c r="BG16" s="215" t="s">
        <v>422</v>
      </c>
      <c r="BH16" s="217" t="s">
        <v>422</v>
      </c>
      <c r="BI16" s="214" t="s">
        <v>422</v>
      </c>
      <c r="BJ16" s="214" t="s">
        <v>422</v>
      </c>
      <c r="BK16" s="215" t="s">
        <v>422</v>
      </c>
      <c r="BL16" s="217" t="s">
        <v>422</v>
      </c>
      <c r="BM16" s="214" t="s">
        <v>422</v>
      </c>
      <c r="BN16" s="214" t="s">
        <v>422</v>
      </c>
      <c r="BO16" s="215" t="s">
        <v>422</v>
      </c>
      <c r="BP16" s="217" t="s">
        <v>422</v>
      </c>
      <c r="BQ16" s="214" t="s">
        <v>422</v>
      </c>
      <c r="BR16" s="214" t="s">
        <v>422</v>
      </c>
      <c r="BS16" s="215" t="s">
        <v>422</v>
      </c>
      <c r="BT16" s="217" t="s">
        <v>422</v>
      </c>
      <c r="BU16" s="214" t="s">
        <v>422</v>
      </c>
      <c r="BV16" s="214" t="s">
        <v>422</v>
      </c>
      <c r="BW16" s="215" t="s">
        <v>422</v>
      </c>
      <c r="BX16" s="217" t="s">
        <v>422</v>
      </c>
      <c r="BY16" s="214" t="s">
        <v>422</v>
      </c>
      <c r="BZ16" s="214" t="s">
        <v>422</v>
      </c>
      <c r="CA16" s="215" t="s">
        <v>422</v>
      </c>
      <c r="CB16" s="249">
        <f t="shared" si="29"/>
        <v>0</v>
      </c>
      <c r="CC16" s="239" t="s">
        <v>386</v>
      </c>
      <c r="CD16" s="41"/>
      <c r="CE16" s="191">
        <f>IF(ISERROR(VALUE((MOD(BA15-AZ16,1))))=TRUE,0,MOD(BA15-AZ16,1))</f>
        <v>0</v>
      </c>
      <c r="CF16" s="191">
        <f t="shared" si="15"/>
        <v>0</v>
      </c>
      <c r="CG16" s="191">
        <f t="shared" ref="CG16:CG27" si="33">IF(ISERROR(VALUE((MOD(BE16-BD16,1))))=TRUE,0,MOD(BE16-BD16,1))</f>
        <v>0</v>
      </c>
      <c r="CH16" s="191">
        <f t="shared" ref="CH16:CH27" si="34">IF(ISERROR(VALUE((MOD(BG16-BF16,1))))=TRUE,0,MOD(BG16-BF16,1))</f>
        <v>0</v>
      </c>
      <c r="CI16" s="191">
        <f t="shared" si="18"/>
        <v>0</v>
      </c>
      <c r="CJ16" s="191">
        <f t="shared" si="19"/>
        <v>0</v>
      </c>
      <c r="CK16" s="191">
        <f t="shared" si="20"/>
        <v>0</v>
      </c>
      <c r="CL16" s="191">
        <f t="shared" si="21"/>
        <v>0</v>
      </c>
      <c r="CM16" s="191">
        <f t="shared" si="22"/>
        <v>0</v>
      </c>
      <c r="CN16" s="191">
        <f t="shared" si="23"/>
        <v>0</v>
      </c>
      <c r="CO16" s="191">
        <f t="shared" si="24"/>
        <v>0</v>
      </c>
      <c r="CP16" s="191">
        <f t="shared" si="25"/>
        <v>0</v>
      </c>
      <c r="CQ16" s="191">
        <f t="shared" ref="CQ16:CQ27" si="35">IF(ISERROR(VALUE((MOD(BY16-BX16,1))))=TRUE,0,MOD(BY16-BX16,1))</f>
        <v>0</v>
      </c>
      <c r="CR16" s="191">
        <f t="shared" ref="CR16:CR27" si="36">IF(ISERROR(VALUE((MOD(CA16-BZ16,1))))=TRUE,0,MOD(CA16-BZ16,1))</f>
        <v>0</v>
      </c>
      <c r="CS16" s="31"/>
    </row>
    <row r="17" spans="1:220" ht="16" thickBot="1">
      <c r="A17" s="321"/>
      <c r="B17" s="251" t="s">
        <v>376</v>
      </c>
      <c r="C17" s="217" t="s">
        <v>42</v>
      </c>
      <c r="D17" s="214" t="s">
        <v>42</v>
      </c>
      <c r="E17" s="214" t="s">
        <v>42</v>
      </c>
      <c r="F17" s="215" t="s">
        <v>42</v>
      </c>
      <c r="G17" s="217" t="s">
        <v>42</v>
      </c>
      <c r="H17" s="214" t="s">
        <v>42</v>
      </c>
      <c r="I17" s="214" t="s">
        <v>42</v>
      </c>
      <c r="J17" s="215" t="s">
        <v>42</v>
      </c>
      <c r="K17" s="217" t="s">
        <v>42</v>
      </c>
      <c r="L17" s="214" t="s">
        <v>42</v>
      </c>
      <c r="M17" s="214" t="s">
        <v>42</v>
      </c>
      <c r="N17" s="215" t="s">
        <v>42</v>
      </c>
      <c r="O17" s="217" t="s">
        <v>42</v>
      </c>
      <c r="P17" s="214" t="s">
        <v>42</v>
      </c>
      <c r="Q17" s="214" t="s">
        <v>42</v>
      </c>
      <c r="R17" s="215" t="s">
        <v>42</v>
      </c>
      <c r="S17" s="217" t="s">
        <v>42</v>
      </c>
      <c r="T17" s="214" t="s">
        <v>42</v>
      </c>
      <c r="U17" s="214" t="s">
        <v>42</v>
      </c>
      <c r="V17" s="215" t="s">
        <v>42</v>
      </c>
      <c r="W17" s="217" t="s">
        <v>42</v>
      </c>
      <c r="X17" s="214" t="s">
        <v>42</v>
      </c>
      <c r="Y17" s="214" t="s">
        <v>42</v>
      </c>
      <c r="Z17" s="215" t="s">
        <v>42</v>
      </c>
      <c r="AA17" s="216"/>
      <c r="AB17" s="216"/>
      <c r="AC17" s="264">
        <v>0.375</v>
      </c>
      <c r="AD17" s="265">
        <v>0.875</v>
      </c>
      <c r="AE17" s="249">
        <f t="shared" si="28"/>
        <v>0.5</v>
      </c>
      <c r="AF17" s="238"/>
      <c r="AG17" s="41"/>
      <c r="AH17" s="191">
        <f t="shared" si="0"/>
        <v>0</v>
      </c>
      <c r="AI17" s="191">
        <f t="shared" si="1"/>
        <v>0</v>
      </c>
      <c r="AJ17" s="191">
        <f t="shared" si="2"/>
        <v>0</v>
      </c>
      <c r="AK17" s="191">
        <f t="shared" si="3"/>
        <v>0</v>
      </c>
      <c r="AL17" s="191">
        <f t="shared" si="4"/>
        <v>0</v>
      </c>
      <c r="AM17" s="191">
        <f t="shared" si="5"/>
        <v>0</v>
      </c>
      <c r="AN17" s="191">
        <f t="shared" si="6"/>
        <v>0</v>
      </c>
      <c r="AO17" s="191">
        <f t="shared" si="7"/>
        <v>0</v>
      </c>
      <c r="AP17" s="191">
        <f t="shared" si="8"/>
        <v>0</v>
      </c>
      <c r="AQ17" s="191">
        <f t="shared" si="9"/>
        <v>0</v>
      </c>
      <c r="AR17" s="191">
        <f t="shared" si="10"/>
        <v>0</v>
      </c>
      <c r="AS17" s="191">
        <f t="shared" si="11"/>
        <v>0</v>
      </c>
      <c r="AT17" s="191">
        <f t="shared" si="12"/>
        <v>0</v>
      </c>
      <c r="AU17" s="191">
        <f t="shared" si="13"/>
        <v>0.5</v>
      </c>
      <c r="AV17" s="31"/>
      <c r="AX17" s="321"/>
      <c r="AY17" s="251" t="s">
        <v>376</v>
      </c>
      <c r="AZ17" s="217" t="s">
        <v>42</v>
      </c>
      <c r="BA17" s="214" t="s">
        <v>42</v>
      </c>
      <c r="BB17" s="214" t="s">
        <v>42</v>
      </c>
      <c r="BC17" s="215" t="s">
        <v>42</v>
      </c>
      <c r="BD17" s="217" t="s">
        <v>42</v>
      </c>
      <c r="BE17" s="214" t="s">
        <v>42</v>
      </c>
      <c r="BF17" s="214" t="s">
        <v>42</v>
      </c>
      <c r="BG17" s="215" t="s">
        <v>42</v>
      </c>
      <c r="BH17" s="217" t="s">
        <v>42</v>
      </c>
      <c r="BI17" s="214" t="s">
        <v>42</v>
      </c>
      <c r="BJ17" s="214" t="s">
        <v>42</v>
      </c>
      <c r="BK17" s="215" t="s">
        <v>42</v>
      </c>
      <c r="BL17" s="217" t="s">
        <v>42</v>
      </c>
      <c r="BM17" s="214" t="s">
        <v>42</v>
      </c>
      <c r="BN17" s="214">
        <v>0.72916666666666663</v>
      </c>
      <c r="BO17" s="215">
        <v>0.9375</v>
      </c>
      <c r="BP17" s="217" t="s">
        <v>42</v>
      </c>
      <c r="BQ17" s="214" t="s">
        <v>42</v>
      </c>
      <c r="BR17" s="214" t="s">
        <v>42</v>
      </c>
      <c r="BS17" s="215" t="s">
        <v>42</v>
      </c>
      <c r="BT17" s="217" t="s">
        <v>42</v>
      </c>
      <c r="BU17" s="214" t="s">
        <v>42</v>
      </c>
      <c r="BV17" s="214" t="s">
        <v>42</v>
      </c>
      <c r="BW17" s="215" t="s">
        <v>42</v>
      </c>
      <c r="BX17" s="216"/>
      <c r="BY17" s="216"/>
      <c r="BZ17" s="264">
        <v>0.375</v>
      </c>
      <c r="CA17" s="265">
        <v>0.875</v>
      </c>
      <c r="CB17" s="249">
        <f t="shared" si="29"/>
        <v>0.70833333333333337</v>
      </c>
      <c r="CC17" s="238"/>
      <c r="CD17" s="41"/>
      <c r="CE17" s="191">
        <f t="shared" si="32"/>
        <v>0</v>
      </c>
      <c r="CF17" s="191">
        <f t="shared" si="15"/>
        <v>0</v>
      </c>
      <c r="CG17" s="191">
        <f t="shared" si="33"/>
        <v>0</v>
      </c>
      <c r="CH17" s="191">
        <f t="shared" si="34"/>
        <v>0</v>
      </c>
      <c r="CI17" s="191">
        <f t="shared" si="18"/>
        <v>0</v>
      </c>
      <c r="CJ17" s="191">
        <f t="shared" si="19"/>
        <v>0</v>
      </c>
      <c r="CK17" s="191">
        <f t="shared" si="20"/>
        <v>0</v>
      </c>
      <c r="CL17" s="191">
        <f t="shared" si="21"/>
        <v>0.20833333333333337</v>
      </c>
      <c r="CM17" s="191">
        <f t="shared" si="22"/>
        <v>0</v>
      </c>
      <c r="CN17" s="191">
        <f t="shared" si="23"/>
        <v>0</v>
      </c>
      <c r="CO17" s="191">
        <f t="shared" si="24"/>
        <v>0</v>
      </c>
      <c r="CP17" s="191">
        <f t="shared" si="25"/>
        <v>0</v>
      </c>
      <c r="CQ17" s="191">
        <f t="shared" si="35"/>
        <v>0</v>
      </c>
      <c r="CR17" s="191">
        <f t="shared" si="36"/>
        <v>0.5</v>
      </c>
      <c r="CS17" s="31"/>
    </row>
    <row r="18" spans="1:220">
      <c r="A18" s="321"/>
      <c r="B18" s="252" t="s">
        <v>374</v>
      </c>
      <c r="C18" s="217">
        <v>0.41666666666666669</v>
      </c>
      <c r="D18" s="214">
        <v>0.58333333333333337</v>
      </c>
      <c r="E18" s="214">
        <v>0.72916666666666663</v>
      </c>
      <c r="F18" s="215">
        <v>0.9375</v>
      </c>
      <c r="G18" s="217" t="s">
        <v>42</v>
      </c>
      <c r="H18" s="214" t="s">
        <v>42</v>
      </c>
      <c r="I18" s="214" t="s">
        <v>42</v>
      </c>
      <c r="J18" s="215" t="s">
        <v>42</v>
      </c>
      <c r="K18" s="217" t="s">
        <v>42</v>
      </c>
      <c r="L18" s="214" t="s">
        <v>42</v>
      </c>
      <c r="M18" s="214" t="s">
        <v>42</v>
      </c>
      <c r="N18" s="215" t="s">
        <v>42</v>
      </c>
      <c r="O18" s="217">
        <v>0.41666666666666669</v>
      </c>
      <c r="P18" s="214">
        <v>0.58333333333333337</v>
      </c>
      <c r="Q18" s="214">
        <v>0.70833333333333337</v>
      </c>
      <c r="R18" s="215">
        <v>0.9375</v>
      </c>
      <c r="S18" s="217">
        <v>0.41666666666666669</v>
      </c>
      <c r="T18" s="214">
        <v>0.58333333333333337</v>
      </c>
      <c r="U18" s="214">
        <v>0.72916666666666663</v>
      </c>
      <c r="V18" s="215">
        <v>0.97916666666666663</v>
      </c>
      <c r="W18" s="217">
        <v>0.41666666666666669</v>
      </c>
      <c r="X18" s="214">
        <v>0.58333333333333337</v>
      </c>
      <c r="Y18" s="214">
        <v>0.72916666666666663</v>
      </c>
      <c r="Z18" s="215">
        <v>0.97916666666666663</v>
      </c>
      <c r="AA18" s="217">
        <v>0.41666666666666669</v>
      </c>
      <c r="AB18" s="214">
        <v>0.58333333333333337</v>
      </c>
      <c r="AC18" s="214">
        <v>0.72916666666666663</v>
      </c>
      <c r="AD18" s="215">
        <v>0.875</v>
      </c>
      <c r="AE18" s="249">
        <f t="shared" si="28"/>
        <v>1.916666666666667</v>
      </c>
      <c r="AF18" s="239">
        <v>0.86111111111111116</v>
      </c>
      <c r="AG18" s="41"/>
      <c r="AH18" s="191">
        <f t="shared" si="0"/>
        <v>0.16666666666666669</v>
      </c>
      <c r="AI18" s="191">
        <f t="shared" si="1"/>
        <v>0.20833333333333337</v>
      </c>
      <c r="AJ18" s="191">
        <f t="shared" si="2"/>
        <v>0</v>
      </c>
      <c r="AK18" s="191">
        <f t="shared" si="3"/>
        <v>0</v>
      </c>
      <c r="AL18" s="191">
        <f t="shared" si="4"/>
        <v>0</v>
      </c>
      <c r="AM18" s="191">
        <f t="shared" si="5"/>
        <v>0</v>
      </c>
      <c r="AN18" s="191">
        <f t="shared" si="6"/>
        <v>0.16666666666666669</v>
      </c>
      <c r="AO18" s="191">
        <f t="shared" si="7"/>
        <v>0.22916666666666663</v>
      </c>
      <c r="AP18" s="191">
        <f t="shared" si="8"/>
        <v>0.16666666666666669</v>
      </c>
      <c r="AQ18" s="191">
        <f t="shared" si="9"/>
        <v>0.25</v>
      </c>
      <c r="AR18" s="191">
        <f t="shared" si="10"/>
        <v>0.16666666666666669</v>
      </c>
      <c r="AS18" s="191">
        <f t="shared" si="11"/>
        <v>0.25</v>
      </c>
      <c r="AT18" s="191">
        <f t="shared" si="12"/>
        <v>0.16666666666666669</v>
      </c>
      <c r="AU18" s="191">
        <f t="shared" si="13"/>
        <v>0.14583333333333337</v>
      </c>
      <c r="AV18" s="31"/>
      <c r="AX18" s="321"/>
      <c r="AY18" s="252" t="s">
        <v>374</v>
      </c>
      <c r="AZ18" s="217">
        <v>0.41666666666666669</v>
      </c>
      <c r="BA18" s="214">
        <v>0.58333333333333337</v>
      </c>
      <c r="BB18" s="214">
        <v>0.70833333333333337</v>
      </c>
      <c r="BC18" s="215">
        <v>0.97916666666666663</v>
      </c>
      <c r="BD18" s="217" t="s">
        <v>42</v>
      </c>
      <c r="BE18" s="214" t="s">
        <v>42</v>
      </c>
      <c r="BF18" s="214" t="s">
        <v>42</v>
      </c>
      <c r="BG18" s="215" t="s">
        <v>42</v>
      </c>
      <c r="BH18" s="217" t="s">
        <v>42</v>
      </c>
      <c r="BI18" s="214" t="s">
        <v>42</v>
      </c>
      <c r="BJ18" s="214" t="s">
        <v>42</v>
      </c>
      <c r="BK18" s="215" t="s">
        <v>42</v>
      </c>
      <c r="BL18" s="217" t="s">
        <v>42</v>
      </c>
      <c r="BM18" s="214" t="s">
        <v>42</v>
      </c>
      <c r="BN18" s="214" t="s">
        <v>42</v>
      </c>
      <c r="BO18" s="215" t="s">
        <v>42</v>
      </c>
      <c r="BP18" s="217">
        <v>0.41666666666666669</v>
      </c>
      <c r="BQ18" s="214">
        <v>0.58333333333333337</v>
      </c>
      <c r="BR18" s="214">
        <v>0.70833333333333337</v>
      </c>
      <c r="BS18" s="215">
        <v>0.9375</v>
      </c>
      <c r="BT18" s="217">
        <v>0.41666666666666669</v>
      </c>
      <c r="BU18" s="214">
        <v>0.58333333333333337</v>
      </c>
      <c r="BV18" s="214">
        <v>0.72916666666666663</v>
      </c>
      <c r="BW18" s="215">
        <v>0.97916666666666663</v>
      </c>
      <c r="BX18" s="217">
        <v>0.41666666666666669</v>
      </c>
      <c r="BY18" s="216">
        <v>0.625</v>
      </c>
      <c r="BZ18" s="264" t="s">
        <v>42</v>
      </c>
      <c r="CA18" s="265" t="s">
        <v>42</v>
      </c>
      <c r="CB18" s="249">
        <f t="shared" si="29"/>
        <v>1.4583333333333333</v>
      </c>
      <c r="CC18" s="239">
        <v>0.86111111111111116</v>
      </c>
      <c r="CD18" s="41"/>
      <c r="CE18" s="191">
        <f t="shared" si="32"/>
        <v>0.16666666666666669</v>
      </c>
      <c r="CF18" s="191">
        <f t="shared" si="15"/>
        <v>0.27083333333333326</v>
      </c>
      <c r="CG18" s="191">
        <f t="shared" si="33"/>
        <v>0</v>
      </c>
      <c r="CH18" s="191">
        <f t="shared" si="34"/>
        <v>0</v>
      </c>
      <c r="CI18" s="191">
        <f t="shared" si="18"/>
        <v>0</v>
      </c>
      <c r="CJ18" s="191">
        <f t="shared" si="19"/>
        <v>0</v>
      </c>
      <c r="CK18" s="191">
        <f t="shared" si="20"/>
        <v>0</v>
      </c>
      <c r="CL18" s="191">
        <f t="shared" si="21"/>
        <v>0</v>
      </c>
      <c r="CM18" s="191">
        <f t="shared" si="22"/>
        <v>0.16666666666666669</v>
      </c>
      <c r="CN18" s="191">
        <f t="shared" si="23"/>
        <v>0.22916666666666663</v>
      </c>
      <c r="CO18" s="191">
        <f t="shared" si="24"/>
        <v>0.16666666666666669</v>
      </c>
      <c r="CP18" s="191">
        <f t="shared" si="25"/>
        <v>0.25</v>
      </c>
      <c r="CQ18" s="191">
        <f t="shared" si="35"/>
        <v>0.20833333333333331</v>
      </c>
      <c r="CR18" s="191">
        <f t="shared" si="36"/>
        <v>0</v>
      </c>
      <c r="CS18" s="31"/>
    </row>
    <row r="19" spans="1:220">
      <c r="A19" s="321"/>
      <c r="B19" s="248" t="s">
        <v>375</v>
      </c>
      <c r="C19" s="217" t="s">
        <v>42</v>
      </c>
      <c r="D19" s="214" t="s">
        <v>42</v>
      </c>
      <c r="E19" s="214" t="s">
        <v>42</v>
      </c>
      <c r="F19" s="215" t="s">
        <v>42</v>
      </c>
      <c r="G19" s="217"/>
      <c r="H19" s="214"/>
      <c r="I19" s="214">
        <v>0.70833333333333337</v>
      </c>
      <c r="J19" s="215">
        <v>0.9375</v>
      </c>
      <c r="K19" s="217" t="s">
        <v>42</v>
      </c>
      <c r="L19" s="214" t="s">
        <v>42</v>
      </c>
      <c r="M19" s="214" t="s">
        <v>42</v>
      </c>
      <c r="N19" s="215" t="s">
        <v>42</v>
      </c>
      <c r="O19" s="217"/>
      <c r="P19" s="214"/>
      <c r="Q19" s="214">
        <v>0.47916666666666669</v>
      </c>
      <c r="R19" s="215">
        <v>0.9375</v>
      </c>
      <c r="S19" s="217">
        <v>0.45833333333333331</v>
      </c>
      <c r="T19" s="214">
        <v>0.58333333333333337</v>
      </c>
      <c r="U19" s="214">
        <v>0.72916666666666663</v>
      </c>
      <c r="V19" s="215">
        <v>0.97916666666666663</v>
      </c>
      <c r="W19" s="217"/>
      <c r="X19" s="214"/>
      <c r="Y19" s="214">
        <v>0.70833333333333337</v>
      </c>
      <c r="Z19" s="215">
        <v>0.9375</v>
      </c>
      <c r="AA19" s="217"/>
      <c r="AB19" s="214"/>
      <c r="AC19" s="214">
        <v>0.375</v>
      </c>
      <c r="AD19" s="215">
        <v>0.875</v>
      </c>
      <c r="AE19" s="249">
        <f t="shared" si="28"/>
        <v>1.7916666666666665</v>
      </c>
      <c r="AF19" s="238"/>
      <c r="AG19" s="41"/>
      <c r="AH19" s="191">
        <f t="shared" si="0"/>
        <v>0</v>
      </c>
      <c r="AI19" s="191">
        <f t="shared" si="1"/>
        <v>0</v>
      </c>
      <c r="AJ19" s="191">
        <f t="shared" si="2"/>
        <v>0</v>
      </c>
      <c r="AK19" s="191">
        <f t="shared" si="3"/>
        <v>0.22916666666666663</v>
      </c>
      <c r="AL19" s="191">
        <f t="shared" si="4"/>
        <v>0</v>
      </c>
      <c r="AM19" s="191">
        <f t="shared" si="5"/>
        <v>0</v>
      </c>
      <c r="AN19" s="191">
        <f t="shared" si="6"/>
        <v>0</v>
      </c>
      <c r="AO19" s="191">
        <f t="shared" si="7"/>
        <v>0.45833333333333331</v>
      </c>
      <c r="AP19" s="191">
        <f t="shared" si="8"/>
        <v>0.12500000000000006</v>
      </c>
      <c r="AQ19" s="191">
        <f t="shared" si="9"/>
        <v>0.25</v>
      </c>
      <c r="AR19" s="191">
        <f t="shared" si="10"/>
        <v>0</v>
      </c>
      <c r="AS19" s="191">
        <f t="shared" si="11"/>
        <v>0.22916666666666663</v>
      </c>
      <c r="AT19" s="191">
        <f t="shared" si="12"/>
        <v>0</v>
      </c>
      <c r="AU19" s="191">
        <f t="shared" si="13"/>
        <v>0.5</v>
      </c>
      <c r="AV19" s="31"/>
      <c r="AX19" s="321"/>
      <c r="AY19" s="248" t="s">
        <v>375</v>
      </c>
      <c r="AZ19" s="217" t="s">
        <v>42</v>
      </c>
      <c r="BA19" s="214" t="s">
        <v>42</v>
      </c>
      <c r="BB19" s="214" t="s">
        <v>42</v>
      </c>
      <c r="BC19" s="215" t="s">
        <v>42</v>
      </c>
      <c r="BD19" s="217" t="s">
        <v>42</v>
      </c>
      <c r="BE19" s="214" t="s">
        <v>42</v>
      </c>
      <c r="BF19" s="214" t="s">
        <v>42</v>
      </c>
      <c r="BG19" s="215" t="s">
        <v>42</v>
      </c>
      <c r="BH19" s="217"/>
      <c r="BI19" s="214"/>
      <c r="BJ19" s="214">
        <v>0.45833333333333331</v>
      </c>
      <c r="BK19" s="215">
        <v>0.9375</v>
      </c>
      <c r="BL19" s="217" t="s">
        <v>42</v>
      </c>
      <c r="BM19" s="214" t="s">
        <v>42</v>
      </c>
      <c r="BN19" s="214" t="s">
        <v>42</v>
      </c>
      <c r="BO19" s="215" t="s">
        <v>42</v>
      </c>
      <c r="BP19" s="217"/>
      <c r="BQ19" s="214"/>
      <c r="BR19" s="214">
        <v>0.70833333333333337</v>
      </c>
      <c r="BS19" s="215">
        <v>2.0833333333333332E-2</v>
      </c>
      <c r="BT19" s="217"/>
      <c r="BU19" s="214"/>
      <c r="BV19" s="214">
        <v>0.58333333333333337</v>
      </c>
      <c r="BW19" s="215">
        <v>0.97916666666666663</v>
      </c>
      <c r="BX19" s="217"/>
      <c r="BY19" s="214"/>
      <c r="BZ19" s="214">
        <v>0.375</v>
      </c>
      <c r="CA19" s="215">
        <v>0.875</v>
      </c>
      <c r="CB19" s="249">
        <f t="shared" si="29"/>
        <v>1.6875</v>
      </c>
      <c r="CC19" s="238"/>
      <c r="CD19" s="41"/>
      <c r="CE19" s="191">
        <f t="shared" si="32"/>
        <v>0</v>
      </c>
      <c r="CF19" s="191">
        <f t="shared" si="15"/>
        <v>0</v>
      </c>
      <c r="CG19" s="191">
        <f t="shared" si="33"/>
        <v>0</v>
      </c>
      <c r="CH19" s="191">
        <f t="shared" si="34"/>
        <v>0</v>
      </c>
      <c r="CI19" s="191">
        <f t="shared" si="18"/>
        <v>0</v>
      </c>
      <c r="CJ19" s="191">
        <f t="shared" si="19"/>
        <v>0.47916666666666669</v>
      </c>
      <c r="CK19" s="191">
        <f t="shared" si="20"/>
        <v>0</v>
      </c>
      <c r="CL19" s="191">
        <f t="shared" si="21"/>
        <v>0</v>
      </c>
      <c r="CM19" s="191">
        <f t="shared" si="22"/>
        <v>0</v>
      </c>
      <c r="CN19" s="191">
        <f t="shared" si="23"/>
        <v>0.3125</v>
      </c>
      <c r="CO19" s="191">
        <f t="shared" si="24"/>
        <v>0</v>
      </c>
      <c r="CP19" s="191">
        <f t="shared" si="25"/>
        <v>0.39583333333333326</v>
      </c>
      <c r="CQ19" s="191">
        <f t="shared" si="35"/>
        <v>0</v>
      </c>
      <c r="CR19" s="191">
        <f t="shared" si="36"/>
        <v>0.5</v>
      </c>
      <c r="CS19" s="31"/>
    </row>
    <row r="20" spans="1:220">
      <c r="A20" s="321"/>
      <c r="B20" s="248" t="s">
        <v>399</v>
      </c>
      <c r="C20" s="217" t="s">
        <v>401</v>
      </c>
      <c r="D20" s="214" t="s">
        <v>401</v>
      </c>
      <c r="E20" s="214" t="s">
        <v>401</v>
      </c>
      <c r="F20" s="215" t="s">
        <v>401</v>
      </c>
      <c r="G20" s="217" t="s">
        <v>401</v>
      </c>
      <c r="H20" s="214" t="s">
        <v>401</v>
      </c>
      <c r="I20" s="214" t="s">
        <v>401</v>
      </c>
      <c r="J20" s="215" t="s">
        <v>401</v>
      </c>
      <c r="K20" s="217" t="s">
        <v>401</v>
      </c>
      <c r="L20" s="214" t="s">
        <v>401</v>
      </c>
      <c r="M20" s="214" t="s">
        <v>401</v>
      </c>
      <c r="N20" s="215" t="s">
        <v>401</v>
      </c>
      <c r="O20" s="217" t="s">
        <v>401</v>
      </c>
      <c r="P20" s="214" t="s">
        <v>401</v>
      </c>
      <c r="Q20" s="214" t="s">
        <v>401</v>
      </c>
      <c r="R20" s="215" t="s">
        <v>401</v>
      </c>
      <c r="S20" s="217" t="s">
        <v>401</v>
      </c>
      <c r="T20" s="214" t="s">
        <v>401</v>
      </c>
      <c r="U20" s="214" t="s">
        <v>401</v>
      </c>
      <c r="V20" s="215" t="s">
        <v>401</v>
      </c>
      <c r="W20" s="217" t="s">
        <v>401</v>
      </c>
      <c r="X20" s="214" t="s">
        <v>401</v>
      </c>
      <c r="Y20" s="214" t="s">
        <v>401</v>
      </c>
      <c r="Z20" s="215" t="s">
        <v>401</v>
      </c>
      <c r="AA20" s="217" t="s">
        <v>401</v>
      </c>
      <c r="AB20" s="214" t="s">
        <v>401</v>
      </c>
      <c r="AC20" s="214" t="s">
        <v>401</v>
      </c>
      <c r="AD20" s="215" t="s">
        <v>401</v>
      </c>
      <c r="AE20" s="249">
        <f t="shared" si="28"/>
        <v>0</v>
      </c>
      <c r="AF20" s="238"/>
      <c r="AG20" s="41"/>
      <c r="AH20" s="191">
        <f t="shared" si="0"/>
        <v>0</v>
      </c>
      <c r="AI20" s="191">
        <f t="shared" si="1"/>
        <v>0</v>
      </c>
      <c r="AJ20" s="191">
        <f t="shared" si="2"/>
        <v>0</v>
      </c>
      <c r="AK20" s="191">
        <f t="shared" si="3"/>
        <v>0</v>
      </c>
      <c r="AL20" s="191">
        <f t="shared" si="4"/>
        <v>0</v>
      </c>
      <c r="AM20" s="191">
        <f t="shared" si="5"/>
        <v>0</v>
      </c>
      <c r="AN20" s="191">
        <f t="shared" si="6"/>
        <v>0</v>
      </c>
      <c r="AO20" s="191">
        <f t="shared" si="7"/>
        <v>0</v>
      </c>
      <c r="AP20" s="191">
        <f t="shared" si="8"/>
        <v>0</v>
      </c>
      <c r="AQ20" s="191">
        <f t="shared" si="9"/>
        <v>0</v>
      </c>
      <c r="AR20" s="191">
        <f t="shared" si="10"/>
        <v>0</v>
      </c>
      <c r="AS20" s="191">
        <f t="shared" si="11"/>
        <v>0</v>
      </c>
      <c r="AT20" s="191">
        <f t="shared" si="12"/>
        <v>0</v>
      </c>
      <c r="AU20" s="191">
        <f t="shared" si="13"/>
        <v>0</v>
      </c>
      <c r="AV20" s="31"/>
      <c r="AX20" s="321"/>
      <c r="AY20" s="248" t="s">
        <v>399</v>
      </c>
      <c r="AZ20" s="217" t="s">
        <v>42</v>
      </c>
      <c r="BA20" s="214" t="s">
        <v>42</v>
      </c>
      <c r="BB20" s="214" t="s">
        <v>42</v>
      </c>
      <c r="BC20" s="215" t="s">
        <v>42</v>
      </c>
      <c r="BD20" s="217"/>
      <c r="BE20" s="214"/>
      <c r="BF20" s="214">
        <v>0.45833333333333331</v>
      </c>
      <c r="BG20" s="215">
        <v>0.9375</v>
      </c>
      <c r="BH20" s="217" t="s">
        <v>42</v>
      </c>
      <c r="BI20" s="214" t="s">
        <v>42</v>
      </c>
      <c r="BJ20" s="214" t="s">
        <v>42</v>
      </c>
      <c r="BK20" s="215" t="s">
        <v>42</v>
      </c>
      <c r="BL20" s="217"/>
      <c r="BM20" s="214"/>
      <c r="BN20" s="214">
        <v>0.47916666666666669</v>
      </c>
      <c r="BO20" s="215">
        <v>0.875</v>
      </c>
      <c r="BP20" s="236"/>
      <c r="BQ20" s="218"/>
      <c r="BR20" s="216">
        <v>0.66666666666666663</v>
      </c>
      <c r="BS20" s="215">
        <v>2.0833333333333332E-2</v>
      </c>
      <c r="BT20" s="236"/>
      <c r="BU20" s="218"/>
      <c r="BV20" s="216">
        <v>0.66666666666666663</v>
      </c>
      <c r="BW20" s="215">
        <v>2.0833333333333332E-2</v>
      </c>
      <c r="BX20" s="217" t="s">
        <v>42</v>
      </c>
      <c r="BY20" s="214" t="s">
        <v>42</v>
      </c>
      <c r="BZ20" s="264" t="s">
        <v>42</v>
      </c>
      <c r="CA20" s="265" t="s">
        <v>42</v>
      </c>
      <c r="CB20" s="249">
        <f>CE20+CF20+CG20+CH20++CI20+CJ20+CK20+CL20+CM20++CN20+CO20+CP20+CQ20+CR20</f>
        <v>1.5833333333333335</v>
      </c>
      <c r="CC20" s="238"/>
      <c r="CD20" s="41"/>
      <c r="CE20" s="191">
        <f t="shared" si="32"/>
        <v>0</v>
      </c>
      <c r="CF20" s="191">
        <f t="shared" si="15"/>
        <v>0</v>
      </c>
      <c r="CG20" s="191">
        <f t="shared" si="33"/>
        <v>0</v>
      </c>
      <c r="CH20" s="191">
        <f t="shared" si="34"/>
        <v>0.47916666666666669</v>
      </c>
      <c r="CI20" s="191">
        <f t="shared" si="18"/>
        <v>0</v>
      </c>
      <c r="CJ20" s="191">
        <f t="shared" si="19"/>
        <v>0</v>
      </c>
      <c r="CK20" s="191">
        <f t="shared" si="20"/>
        <v>0</v>
      </c>
      <c r="CL20" s="191">
        <f t="shared" si="21"/>
        <v>0.39583333333333331</v>
      </c>
      <c r="CM20" s="191">
        <f t="shared" si="22"/>
        <v>0</v>
      </c>
      <c r="CN20" s="191">
        <f t="shared" si="23"/>
        <v>0.35416666666666674</v>
      </c>
      <c r="CO20" s="191">
        <f t="shared" si="24"/>
        <v>0</v>
      </c>
      <c r="CP20" s="191">
        <f t="shared" si="25"/>
        <v>0.35416666666666674</v>
      </c>
      <c r="CQ20" s="191">
        <f t="shared" si="35"/>
        <v>0</v>
      </c>
      <c r="CR20" s="191">
        <f t="shared" si="36"/>
        <v>0</v>
      </c>
      <c r="CS20" s="31"/>
    </row>
    <row r="21" spans="1:220">
      <c r="A21" s="321"/>
      <c r="B21" s="253" t="s">
        <v>403</v>
      </c>
      <c r="C21" s="217">
        <v>0.45833333333333331</v>
      </c>
      <c r="D21" s="214">
        <v>0.58333333333333337</v>
      </c>
      <c r="E21" s="214"/>
      <c r="F21" s="215"/>
      <c r="G21" s="217"/>
      <c r="H21" s="214"/>
      <c r="I21" s="214">
        <v>0.75</v>
      </c>
      <c r="J21" s="215">
        <v>0.9375</v>
      </c>
      <c r="K21" s="217">
        <v>0.45833333333333331</v>
      </c>
      <c r="L21" s="214">
        <v>0.58333333333333337</v>
      </c>
      <c r="M21" s="214">
        <v>0.70833333333333337</v>
      </c>
      <c r="N21" s="215">
        <v>0.9375</v>
      </c>
      <c r="O21" s="217"/>
      <c r="P21" s="214"/>
      <c r="Q21" s="214">
        <v>0.70833333333333337</v>
      </c>
      <c r="R21" s="215">
        <v>0.9375</v>
      </c>
      <c r="S21" s="217"/>
      <c r="T21" s="214"/>
      <c r="U21" s="214">
        <v>0.66666666666666663</v>
      </c>
      <c r="V21" s="215">
        <v>2.0833333333333332E-2</v>
      </c>
      <c r="W21" s="217"/>
      <c r="X21" s="214"/>
      <c r="Y21" s="214">
        <v>0.58333333333333337</v>
      </c>
      <c r="Z21" s="215">
        <v>2.0833333333333332E-2</v>
      </c>
      <c r="AA21" s="217" t="s">
        <v>42</v>
      </c>
      <c r="AB21" s="214" t="s">
        <v>42</v>
      </c>
      <c r="AC21" s="214" t="s">
        <v>42</v>
      </c>
      <c r="AD21" s="215" t="s">
        <v>42</v>
      </c>
      <c r="AE21" s="249">
        <f t="shared" si="28"/>
        <v>1.6875</v>
      </c>
      <c r="AF21" s="238"/>
      <c r="AG21" s="41"/>
      <c r="AH21" s="191">
        <f t="shared" si="0"/>
        <v>0.12500000000000006</v>
      </c>
      <c r="AI21" s="191">
        <f t="shared" si="1"/>
        <v>0</v>
      </c>
      <c r="AJ21" s="191">
        <f t="shared" si="2"/>
        <v>0</v>
      </c>
      <c r="AK21" s="191">
        <f t="shared" si="3"/>
        <v>0.1875</v>
      </c>
      <c r="AL21" s="191">
        <f t="shared" si="4"/>
        <v>0.12500000000000006</v>
      </c>
      <c r="AM21" s="191">
        <f t="shared" si="5"/>
        <v>0.22916666666666663</v>
      </c>
      <c r="AN21" s="191">
        <f t="shared" si="6"/>
        <v>0</v>
      </c>
      <c r="AO21" s="191">
        <f t="shared" si="7"/>
        <v>0.22916666666666663</v>
      </c>
      <c r="AP21" s="191">
        <f t="shared" si="8"/>
        <v>0</v>
      </c>
      <c r="AQ21" s="191">
        <f t="shared" si="9"/>
        <v>0.35416666666666674</v>
      </c>
      <c r="AR21" s="191">
        <f t="shared" si="10"/>
        <v>0</v>
      </c>
      <c r="AS21" s="191">
        <f t="shared" si="11"/>
        <v>0.4375</v>
      </c>
      <c r="AT21" s="191">
        <f t="shared" si="12"/>
        <v>0</v>
      </c>
      <c r="AU21" s="191">
        <f t="shared" si="13"/>
        <v>0</v>
      </c>
      <c r="AV21" s="31"/>
      <c r="AX21" s="321"/>
      <c r="AY21" s="253" t="s">
        <v>403</v>
      </c>
      <c r="AZ21" s="217"/>
      <c r="BA21" s="214"/>
      <c r="BB21" s="214">
        <v>0.45833333333333331</v>
      </c>
      <c r="BC21" s="215">
        <v>0.9375</v>
      </c>
      <c r="BD21" s="217" t="s">
        <v>42</v>
      </c>
      <c r="BE21" s="214" t="s">
        <v>42</v>
      </c>
      <c r="BF21" s="214" t="s">
        <v>42</v>
      </c>
      <c r="BG21" s="215" t="s">
        <v>42</v>
      </c>
      <c r="BH21" s="217" t="s">
        <v>42</v>
      </c>
      <c r="BI21" s="214" t="s">
        <v>42</v>
      </c>
      <c r="BJ21" s="214" t="s">
        <v>42</v>
      </c>
      <c r="BK21" s="215" t="s">
        <v>42</v>
      </c>
      <c r="BL21" s="217">
        <v>0.41666666666666669</v>
      </c>
      <c r="BM21" s="214">
        <v>0.58333333333333337</v>
      </c>
      <c r="BN21" s="214">
        <v>0.70833333333333337</v>
      </c>
      <c r="BO21" s="215">
        <v>0.875</v>
      </c>
      <c r="BP21" s="214"/>
      <c r="BQ21" s="214"/>
      <c r="BR21" s="214">
        <v>0.47916666666666669</v>
      </c>
      <c r="BS21" s="215">
        <v>0.9375</v>
      </c>
      <c r="BT21" s="217">
        <v>0.45833333333333331</v>
      </c>
      <c r="BU21" s="214">
        <v>0.58333333333333337</v>
      </c>
      <c r="BV21" s="214">
        <v>0.70833333333333337</v>
      </c>
      <c r="BW21" s="215">
        <v>2.0833333333333332E-2</v>
      </c>
      <c r="BX21" s="217"/>
      <c r="BY21" s="214"/>
      <c r="BZ21" s="264">
        <v>0.70833333333333337</v>
      </c>
      <c r="CA21" s="265">
        <v>0.97916666666666663</v>
      </c>
      <c r="CB21" s="249">
        <f t="shared" si="29"/>
        <v>1.9791666666666665</v>
      </c>
      <c r="CC21" s="238"/>
      <c r="CD21" s="41"/>
      <c r="CE21" s="191">
        <f t="shared" si="32"/>
        <v>0</v>
      </c>
      <c r="CF21" s="191">
        <f t="shared" si="15"/>
        <v>0.47916666666666669</v>
      </c>
      <c r="CG21" s="191">
        <f t="shared" si="33"/>
        <v>0</v>
      </c>
      <c r="CH21" s="191">
        <f t="shared" si="34"/>
        <v>0</v>
      </c>
      <c r="CI21" s="191">
        <f t="shared" si="18"/>
        <v>0</v>
      </c>
      <c r="CJ21" s="191">
        <f t="shared" si="19"/>
        <v>0</v>
      </c>
      <c r="CK21" s="191">
        <f t="shared" si="20"/>
        <v>0.16666666666666669</v>
      </c>
      <c r="CL21" s="191">
        <f t="shared" si="21"/>
        <v>0.16666666666666663</v>
      </c>
      <c r="CM21" s="191">
        <f>IF(ISERROR(VALUE((MOD(BP21-#REF!,1))))=TRUE,0,MOD(BP21-#REF!,1))</f>
        <v>0</v>
      </c>
      <c r="CN21" s="191">
        <f t="shared" si="23"/>
        <v>0.45833333333333331</v>
      </c>
      <c r="CO21" s="191">
        <f t="shared" si="24"/>
        <v>0.12500000000000006</v>
      </c>
      <c r="CP21" s="191">
        <f t="shared" si="25"/>
        <v>0.3125</v>
      </c>
      <c r="CQ21" s="191">
        <f t="shared" si="35"/>
        <v>0</v>
      </c>
      <c r="CR21" s="191">
        <f t="shared" si="36"/>
        <v>0.27083333333333326</v>
      </c>
      <c r="CS21" s="31"/>
    </row>
    <row r="22" spans="1:220">
      <c r="A22" s="321"/>
      <c r="B22" s="253"/>
      <c r="C22" s="217"/>
      <c r="D22" s="214"/>
      <c r="E22" s="214"/>
      <c r="F22" s="215"/>
      <c r="G22" s="217"/>
      <c r="H22" s="214"/>
      <c r="I22" s="214"/>
      <c r="J22" s="215"/>
      <c r="K22" s="217"/>
      <c r="L22" s="214"/>
      <c r="M22" s="214"/>
      <c r="N22" s="215"/>
      <c r="O22" s="217"/>
      <c r="P22" s="214"/>
      <c r="Q22" s="214"/>
      <c r="R22" s="215"/>
      <c r="S22" s="217"/>
      <c r="T22" s="214"/>
      <c r="U22" s="214"/>
      <c r="V22" s="215"/>
      <c r="W22" s="217"/>
      <c r="X22" s="214"/>
      <c r="Y22" s="214"/>
      <c r="Z22" s="215"/>
      <c r="AA22" s="217"/>
      <c r="AB22" s="214"/>
      <c r="AC22" s="214"/>
      <c r="AD22" s="215"/>
      <c r="AE22" s="249">
        <f t="shared" si="28"/>
        <v>0</v>
      </c>
      <c r="AF22" s="238"/>
      <c r="AG22" s="41"/>
      <c r="AH22" s="191">
        <f t="shared" si="0"/>
        <v>0</v>
      </c>
      <c r="AI22" s="191">
        <f t="shared" si="1"/>
        <v>0</v>
      </c>
      <c r="AJ22" s="191">
        <f t="shared" si="2"/>
        <v>0</v>
      </c>
      <c r="AK22" s="191">
        <f t="shared" si="3"/>
        <v>0</v>
      </c>
      <c r="AL22" s="191">
        <f t="shared" si="4"/>
        <v>0</v>
      </c>
      <c r="AM22" s="191">
        <f t="shared" si="5"/>
        <v>0</v>
      </c>
      <c r="AN22" s="191">
        <f t="shared" si="6"/>
        <v>0</v>
      </c>
      <c r="AO22" s="191">
        <f t="shared" si="7"/>
        <v>0</v>
      </c>
      <c r="AP22" s="191">
        <f t="shared" si="8"/>
        <v>0</v>
      </c>
      <c r="AQ22" s="191">
        <f t="shared" si="9"/>
        <v>0</v>
      </c>
      <c r="AR22" s="191">
        <f t="shared" si="10"/>
        <v>0</v>
      </c>
      <c r="AS22" s="191">
        <f t="shared" si="11"/>
        <v>0</v>
      </c>
      <c r="AT22" s="191">
        <f t="shared" si="12"/>
        <v>0</v>
      </c>
      <c r="AU22" s="191">
        <f t="shared" si="13"/>
        <v>0</v>
      </c>
      <c r="AV22" s="31"/>
      <c r="AX22" s="321"/>
      <c r="AY22" s="253"/>
      <c r="AZ22" s="217"/>
      <c r="BA22" s="214"/>
      <c r="BB22" s="214"/>
      <c r="BC22" s="215"/>
      <c r="BD22" s="217"/>
      <c r="BE22" s="214"/>
      <c r="BF22" s="214"/>
      <c r="BG22" s="215"/>
      <c r="BH22" s="217"/>
      <c r="BI22" s="214"/>
      <c r="BJ22" s="214"/>
      <c r="BK22" s="215"/>
      <c r="BL22" s="217"/>
      <c r="BM22" s="214"/>
      <c r="BN22" s="214"/>
      <c r="BO22" s="215"/>
      <c r="BP22" s="217"/>
      <c r="BQ22" s="214"/>
      <c r="BR22" s="214"/>
      <c r="BS22" s="215"/>
      <c r="BT22" s="217"/>
      <c r="BU22" s="214"/>
      <c r="BV22" s="214"/>
      <c r="BW22" s="215"/>
      <c r="BX22" s="217"/>
      <c r="BY22" s="214"/>
      <c r="BZ22" s="214"/>
      <c r="CA22" s="215"/>
      <c r="CB22" s="249">
        <f t="shared" si="29"/>
        <v>0</v>
      </c>
      <c r="CC22" s="238"/>
      <c r="CD22" s="41"/>
      <c r="CE22" s="191">
        <f t="shared" si="32"/>
        <v>0</v>
      </c>
      <c r="CF22" s="191">
        <f t="shared" si="15"/>
        <v>0</v>
      </c>
      <c r="CG22" s="191">
        <f t="shared" si="33"/>
        <v>0</v>
      </c>
      <c r="CH22" s="191">
        <f t="shared" si="34"/>
        <v>0</v>
      </c>
      <c r="CI22" s="191">
        <f t="shared" si="18"/>
        <v>0</v>
      </c>
      <c r="CJ22" s="191">
        <f t="shared" si="19"/>
        <v>0</v>
      </c>
      <c r="CK22" s="191">
        <f t="shared" si="20"/>
        <v>0</v>
      </c>
      <c r="CL22" s="191">
        <f t="shared" si="21"/>
        <v>0</v>
      </c>
      <c r="CM22" s="191">
        <f t="shared" si="22"/>
        <v>0</v>
      </c>
      <c r="CN22" s="191">
        <f t="shared" si="23"/>
        <v>0</v>
      </c>
      <c r="CO22" s="191">
        <f t="shared" si="24"/>
        <v>0</v>
      </c>
      <c r="CP22" s="191">
        <f t="shared" si="25"/>
        <v>0</v>
      </c>
      <c r="CQ22" s="191">
        <f t="shared" si="35"/>
        <v>0</v>
      </c>
      <c r="CR22" s="191">
        <f t="shared" si="36"/>
        <v>0</v>
      </c>
      <c r="CS22" s="31"/>
    </row>
    <row r="23" spans="1:220">
      <c r="A23" s="321"/>
      <c r="B23" s="253" t="s">
        <v>404</v>
      </c>
      <c r="C23" s="217" t="s">
        <v>42</v>
      </c>
      <c r="D23" s="214" t="s">
        <v>42</v>
      </c>
      <c r="E23" s="214" t="s">
        <v>42</v>
      </c>
      <c r="F23" s="215" t="s">
        <v>42</v>
      </c>
      <c r="G23" s="217">
        <v>0.5</v>
      </c>
      <c r="H23" s="214">
        <v>0.58333333333333337</v>
      </c>
      <c r="I23" s="214">
        <v>0.70833333333333337</v>
      </c>
      <c r="J23" s="215">
        <v>0.97916666666666663</v>
      </c>
      <c r="K23" s="217" t="s">
        <v>42</v>
      </c>
      <c r="L23" s="214" t="s">
        <v>42</v>
      </c>
      <c r="M23" s="214" t="s">
        <v>42</v>
      </c>
      <c r="N23" s="215" t="s">
        <v>42</v>
      </c>
      <c r="O23" s="217">
        <v>0.47916666666666669</v>
      </c>
      <c r="P23" s="214">
        <v>0.58333333333333337</v>
      </c>
      <c r="Q23" s="214">
        <v>0.70833333333333337</v>
      </c>
      <c r="R23" s="215">
        <v>0.97916666666666663</v>
      </c>
      <c r="S23" s="217">
        <v>0.5</v>
      </c>
      <c r="T23" s="214">
        <v>0.58333333333333337</v>
      </c>
      <c r="U23" s="214">
        <v>0.70833333333333337</v>
      </c>
      <c r="V23" s="215">
        <v>0.97916666666666663</v>
      </c>
      <c r="W23" s="217">
        <v>0.5</v>
      </c>
      <c r="X23" s="214">
        <v>0.58333333333333337</v>
      </c>
      <c r="Y23" s="214">
        <v>0.70833333333333337</v>
      </c>
      <c r="Z23" s="215">
        <v>0.97916666666666663</v>
      </c>
      <c r="AA23" s="217">
        <v>0.5</v>
      </c>
      <c r="AB23" s="214">
        <v>0.58333333333333337</v>
      </c>
      <c r="AC23" s="214">
        <v>0.70833333333333337</v>
      </c>
      <c r="AD23" s="215">
        <v>0.97916666666666663</v>
      </c>
      <c r="AE23" s="249">
        <f t="shared" si="28"/>
        <v>1.7916666666666663</v>
      </c>
      <c r="AF23" s="238"/>
      <c r="AG23" s="41"/>
      <c r="AH23" s="191">
        <f t="shared" si="0"/>
        <v>0</v>
      </c>
      <c r="AI23" s="191">
        <f t="shared" si="1"/>
        <v>0</v>
      </c>
      <c r="AJ23" s="191">
        <f t="shared" si="2"/>
        <v>8.333333333333337E-2</v>
      </c>
      <c r="AK23" s="191">
        <f t="shared" si="3"/>
        <v>0.27083333333333326</v>
      </c>
      <c r="AL23" s="191">
        <f t="shared" si="4"/>
        <v>0</v>
      </c>
      <c r="AM23" s="191">
        <f t="shared" si="5"/>
        <v>0</v>
      </c>
      <c r="AN23" s="191">
        <f t="shared" si="6"/>
        <v>0.10416666666666669</v>
      </c>
      <c r="AO23" s="191">
        <f t="shared" si="7"/>
        <v>0.27083333333333326</v>
      </c>
      <c r="AP23" s="191">
        <f t="shared" si="8"/>
        <v>8.333333333333337E-2</v>
      </c>
      <c r="AQ23" s="191">
        <f t="shared" si="9"/>
        <v>0.27083333333333326</v>
      </c>
      <c r="AR23" s="191">
        <f t="shared" si="10"/>
        <v>8.333333333333337E-2</v>
      </c>
      <c r="AS23" s="191">
        <f t="shared" si="11"/>
        <v>0.27083333333333326</v>
      </c>
      <c r="AT23" s="191">
        <f t="shared" si="12"/>
        <v>8.333333333333337E-2</v>
      </c>
      <c r="AU23" s="191">
        <f t="shared" si="13"/>
        <v>0.27083333333333326</v>
      </c>
      <c r="AV23" s="31"/>
      <c r="AX23" s="321"/>
      <c r="AY23" s="253" t="s">
        <v>404</v>
      </c>
      <c r="AZ23" s="217" t="s">
        <v>42</v>
      </c>
      <c r="BA23" s="214" t="s">
        <v>42</v>
      </c>
      <c r="BB23" s="214" t="s">
        <v>42</v>
      </c>
      <c r="BC23" s="215" t="s">
        <v>42</v>
      </c>
      <c r="BD23" s="217">
        <v>0.47916666666666669</v>
      </c>
      <c r="BE23" s="214">
        <v>0.625</v>
      </c>
      <c r="BF23" s="214">
        <v>0.75</v>
      </c>
      <c r="BG23" s="215">
        <v>0.9375</v>
      </c>
      <c r="BH23" s="217">
        <v>0.47916666666666669</v>
      </c>
      <c r="BI23" s="214">
        <v>0.625</v>
      </c>
      <c r="BJ23" s="214">
        <v>0.75</v>
      </c>
      <c r="BK23" s="215">
        <v>0.9375</v>
      </c>
      <c r="BL23" s="217" t="s">
        <v>42</v>
      </c>
      <c r="BM23" s="214" t="s">
        <v>42</v>
      </c>
      <c r="BN23" s="214" t="s">
        <v>42</v>
      </c>
      <c r="BO23" s="215" t="s">
        <v>42</v>
      </c>
      <c r="BP23" s="217">
        <v>0.5</v>
      </c>
      <c r="BQ23" s="214">
        <v>0.58333333333333337</v>
      </c>
      <c r="BR23" s="214">
        <v>0.70833333333333337</v>
      </c>
      <c r="BS23" s="215">
        <v>0.97916666666666663</v>
      </c>
      <c r="BT23" s="217">
        <v>0.5</v>
      </c>
      <c r="BU23" s="214">
        <v>0.58333333333333337</v>
      </c>
      <c r="BV23" s="214">
        <v>0.70833333333333337</v>
      </c>
      <c r="BW23" s="215">
        <v>0.97916666666666663</v>
      </c>
      <c r="BX23" s="217">
        <v>0.5</v>
      </c>
      <c r="BY23" s="214">
        <v>0.625</v>
      </c>
      <c r="BZ23" s="214">
        <v>0.75</v>
      </c>
      <c r="CA23" s="215">
        <v>0.9375</v>
      </c>
      <c r="CB23" s="249">
        <f t="shared" si="29"/>
        <v>1.6874999999999998</v>
      </c>
      <c r="CC23" s="238"/>
      <c r="CD23" s="41"/>
      <c r="CE23" s="191">
        <f t="shared" si="32"/>
        <v>0</v>
      </c>
      <c r="CF23" s="191">
        <f t="shared" si="15"/>
        <v>0</v>
      </c>
      <c r="CG23" s="191">
        <f t="shared" si="33"/>
        <v>0.14583333333333331</v>
      </c>
      <c r="CH23" s="191">
        <f t="shared" si="34"/>
        <v>0.1875</v>
      </c>
      <c r="CI23" s="191">
        <f t="shared" si="18"/>
        <v>0.14583333333333331</v>
      </c>
      <c r="CJ23" s="191">
        <f t="shared" si="19"/>
        <v>0.1875</v>
      </c>
      <c r="CK23" s="191">
        <f t="shared" si="20"/>
        <v>0</v>
      </c>
      <c r="CL23" s="191">
        <f t="shared" si="21"/>
        <v>0</v>
      </c>
      <c r="CM23" s="191">
        <f t="shared" si="22"/>
        <v>8.333333333333337E-2</v>
      </c>
      <c r="CN23" s="191">
        <f t="shared" si="23"/>
        <v>0.27083333333333326</v>
      </c>
      <c r="CO23" s="191">
        <f t="shared" si="24"/>
        <v>8.333333333333337E-2</v>
      </c>
      <c r="CP23" s="191">
        <f t="shared" si="25"/>
        <v>0.27083333333333326</v>
      </c>
      <c r="CQ23" s="191">
        <f t="shared" si="35"/>
        <v>0.125</v>
      </c>
      <c r="CR23" s="191">
        <f t="shared" si="36"/>
        <v>0.1875</v>
      </c>
      <c r="CS23" s="31"/>
    </row>
    <row r="24" spans="1:220">
      <c r="A24" s="321"/>
      <c r="B24" s="253"/>
      <c r="C24" s="217"/>
      <c r="D24" s="214"/>
      <c r="E24" s="214"/>
      <c r="F24" s="215"/>
      <c r="G24" s="217"/>
      <c r="H24" s="214"/>
      <c r="I24" s="214"/>
      <c r="J24" s="215"/>
      <c r="K24" s="264"/>
      <c r="L24" s="264"/>
      <c r="M24" s="216"/>
      <c r="N24" s="235"/>
      <c r="O24" s="217"/>
      <c r="P24" s="214"/>
      <c r="Q24" s="214"/>
      <c r="R24" s="215"/>
      <c r="S24" s="217"/>
      <c r="T24" s="214"/>
      <c r="U24" s="214"/>
      <c r="V24" s="215"/>
      <c r="W24" s="217"/>
      <c r="X24" s="214"/>
      <c r="Y24" s="214"/>
      <c r="Z24" s="215"/>
      <c r="AA24" s="230"/>
      <c r="AB24" s="218"/>
      <c r="AC24" s="218"/>
      <c r="AD24" s="219"/>
      <c r="AE24" s="249">
        <f t="shared" si="28"/>
        <v>0</v>
      </c>
      <c r="AF24" s="238"/>
      <c r="AG24" s="41"/>
      <c r="AH24" s="191">
        <f t="shared" si="0"/>
        <v>0</v>
      </c>
      <c r="AI24" s="191">
        <f t="shared" si="1"/>
        <v>0</v>
      </c>
      <c r="AJ24" s="191">
        <f t="shared" si="2"/>
        <v>0</v>
      </c>
      <c r="AK24" s="191">
        <f t="shared" si="3"/>
        <v>0</v>
      </c>
      <c r="AL24" s="191">
        <f t="shared" si="4"/>
        <v>0</v>
      </c>
      <c r="AM24" s="191">
        <f t="shared" si="5"/>
        <v>0</v>
      </c>
      <c r="AN24" s="191">
        <f t="shared" si="6"/>
        <v>0</v>
      </c>
      <c r="AO24" s="191">
        <f t="shared" si="7"/>
        <v>0</v>
      </c>
      <c r="AP24" s="191">
        <f t="shared" si="8"/>
        <v>0</v>
      </c>
      <c r="AQ24" s="191">
        <f t="shared" si="9"/>
        <v>0</v>
      </c>
      <c r="AR24" s="191">
        <f t="shared" si="10"/>
        <v>0</v>
      </c>
      <c r="AS24" s="191">
        <f t="shared" si="11"/>
        <v>0</v>
      </c>
      <c r="AT24" s="191">
        <f t="shared" si="12"/>
        <v>0</v>
      </c>
      <c r="AU24" s="191">
        <f t="shared" si="13"/>
        <v>0</v>
      </c>
      <c r="AV24" s="31"/>
      <c r="AX24" s="321"/>
      <c r="AY24" s="253"/>
      <c r="AZ24" s="217"/>
      <c r="BA24" s="214"/>
      <c r="BB24" s="214"/>
      <c r="BC24" s="215"/>
      <c r="BD24" s="217"/>
      <c r="BE24" s="214"/>
      <c r="BF24" s="214"/>
      <c r="BG24" s="215"/>
      <c r="BH24" s="217"/>
      <c r="BI24" s="214"/>
      <c r="BJ24" s="214"/>
      <c r="BK24" s="215"/>
      <c r="BL24" s="217"/>
      <c r="BM24" s="214"/>
      <c r="BN24" s="214"/>
      <c r="BO24" s="215"/>
      <c r="BP24" s="217"/>
      <c r="BQ24" s="214"/>
      <c r="BR24" s="214"/>
      <c r="BS24" s="215"/>
      <c r="BT24" s="217"/>
      <c r="BU24" s="214"/>
      <c r="BV24" s="214"/>
      <c r="BW24" s="215"/>
      <c r="BX24" s="230"/>
      <c r="BY24" s="218"/>
      <c r="BZ24" s="218"/>
      <c r="CA24" s="219"/>
      <c r="CB24" s="249">
        <f t="shared" si="29"/>
        <v>0</v>
      </c>
      <c r="CC24" s="238"/>
      <c r="CD24" s="41"/>
      <c r="CE24" s="191">
        <f t="shared" si="32"/>
        <v>0</v>
      </c>
      <c r="CF24" s="191">
        <f t="shared" si="15"/>
        <v>0</v>
      </c>
      <c r="CG24" s="191">
        <f t="shared" si="33"/>
        <v>0</v>
      </c>
      <c r="CH24" s="191">
        <f t="shared" si="34"/>
        <v>0</v>
      </c>
      <c r="CI24" s="191">
        <f t="shared" si="18"/>
        <v>0</v>
      </c>
      <c r="CJ24" s="191">
        <f t="shared" si="19"/>
        <v>0</v>
      </c>
      <c r="CK24" s="191">
        <f t="shared" si="20"/>
        <v>0</v>
      </c>
      <c r="CL24" s="191">
        <f t="shared" si="21"/>
        <v>0</v>
      </c>
      <c r="CM24" s="191">
        <f t="shared" si="22"/>
        <v>0</v>
      </c>
      <c r="CN24" s="191">
        <f t="shared" si="23"/>
        <v>0</v>
      </c>
      <c r="CO24" s="191">
        <f t="shared" si="24"/>
        <v>0</v>
      </c>
      <c r="CP24" s="191">
        <f t="shared" si="25"/>
        <v>0</v>
      </c>
      <c r="CQ24" s="191">
        <f t="shared" si="35"/>
        <v>0</v>
      </c>
      <c r="CR24" s="191">
        <f t="shared" si="36"/>
        <v>0</v>
      </c>
      <c r="CS24" s="31"/>
    </row>
    <row r="25" spans="1:220">
      <c r="A25" s="321"/>
      <c r="B25" s="255" t="s">
        <v>398</v>
      </c>
      <c r="C25" s="256"/>
      <c r="D25" s="257"/>
      <c r="E25" s="258"/>
      <c r="F25" s="259"/>
      <c r="G25" s="256"/>
      <c r="H25" s="257"/>
      <c r="I25" s="258"/>
      <c r="J25" s="259"/>
      <c r="K25" s="260"/>
      <c r="L25" s="261"/>
      <c r="M25" s="261"/>
      <c r="N25" s="262"/>
      <c r="O25" s="260"/>
      <c r="P25" s="261"/>
      <c r="Q25" s="261"/>
      <c r="R25" s="262"/>
      <c r="S25" s="260"/>
      <c r="T25" s="261"/>
      <c r="U25" s="261">
        <v>0.72916666666666663</v>
      </c>
      <c r="V25" s="262">
        <v>0.97916666666666663</v>
      </c>
      <c r="W25" s="263"/>
      <c r="X25" s="257"/>
      <c r="Y25" s="261">
        <v>0.72916666666666663</v>
      </c>
      <c r="Z25" s="262">
        <v>0.97916666666666663</v>
      </c>
      <c r="AA25" s="256"/>
      <c r="AB25" s="257"/>
      <c r="AC25" s="258"/>
      <c r="AD25" s="259"/>
      <c r="AE25" s="249">
        <f t="shared" si="28"/>
        <v>0.5</v>
      </c>
      <c r="AF25" s="238"/>
      <c r="AG25" s="41"/>
      <c r="AH25" s="191">
        <f t="shared" si="0"/>
        <v>0</v>
      </c>
      <c r="AI25" s="191">
        <f t="shared" si="1"/>
        <v>0</v>
      </c>
      <c r="AJ25" s="191">
        <f t="shared" si="2"/>
        <v>0</v>
      </c>
      <c r="AK25" s="191">
        <f t="shared" si="3"/>
        <v>0</v>
      </c>
      <c r="AL25" s="191">
        <f t="shared" si="4"/>
        <v>0</v>
      </c>
      <c r="AM25" s="191">
        <f t="shared" si="5"/>
        <v>0</v>
      </c>
      <c r="AN25" s="191">
        <f t="shared" si="6"/>
        <v>0</v>
      </c>
      <c r="AO25" s="191">
        <f t="shared" si="7"/>
        <v>0</v>
      </c>
      <c r="AP25" s="191">
        <f t="shared" si="8"/>
        <v>0</v>
      </c>
      <c r="AQ25" s="191">
        <f t="shared" si="9"/>
        <v>0.25</v>
      </c>
      <c r="AR25" s="191">
        <f t="shared" si="10"/>
        <v>0</v>
      </c>
      <c r="AS25" s="191">
        <f t="shared" si="11"/>
        <v>0.25</v>
      </c>
      <c r="AT25" s="191">
        <f t="shared" si="12"/>
        <v>0</v>
      </c>
      <c r="AU25" s="191">
        <f t="shared" si="13"/>
        <v>0</v>
      </c>
      <c r="AV25" s="31"/>
      <c r="AX25" s="321"/>
      <c r="AY25" s="255" t="s">
        <v>398</v>
      </c>
      <c r="AZ25" s="256"/>
      <c r="BA25" s="257"/>
      <c r="BB25" s="258"/>
      <c r="BC25" s="259"/>
      <c r="BD25" s="256"/>
      <c r="BE25" s="257"/>
      <c r="BF25" s="258"/>
      <c r="BG25" s="259"/>
      <c r="BH25" s="256"/>
      <c r="BI25" s="257"/>
      <c r="BJ25" s="258"/>
      <c r="BK25" s="259"/>
      <c r="BL25" s="260"/>
      <c r="BM25" s="261"/>
      <c r="BN25" s="261"/>
      <c r="BO25" s="262"/>
      <c r="BP25" s="260"/>
      <c r="BQ25" s="261"/>
      <c r="BR25" s="261">
        <v>0.75</v>
      </c>
      <c r="BS25" s="262">
        <v>0.91666666666666663</v>
      </c>
      <c r="BT25" s="260"/>
      <c r="BU25" s="261"/>
      <c r="BV25" s="261">
        <v>0.75</v>
      </c>
      <c r="BW25" s="262">
        <v>0.91666666666666663</v>
      </c>
      <c r="BX25" s="256"/>
      <c r="BY25" s="257"/>
      <c r="BZ25" s="258"/>
      <c r="CA25" s="259"/>
      <c r="CB25" s="249">
        <f t="shared" si="29"/>
        <v>0.33333333333333326</v>
      </c>
      <c r="CC25" s="238"/>
      <c r="CD25" s="41"/>
      <c r="CE25" s="191">
        <f t="shared" si="32"/>
        <v>0</v>
      </c>
      <c r="CF25" s="191">
        <f t="shared" si="15"/>
        <v>0</v>
      </c>
      <c r="CG25" s="191">
        <f t="shared" si="33"/>
        <v>0</v>
      </c>
      <c r="CH25" s="191">
        <f t="shared" si="34"/>
        <v>0</v>
      </c>
      <c r="CI25" s="191">
        <f t="shared" si="18"/>
        <v>0</v>
      </c>
      <c r="CJ25" s="191">
        <f t="shared" si="19"/>
        <v>0</v>
      </c>
      <c r="CK25" s="191">
        <f>IF(ISERROR(VALUE((MOD(BM25-BL25,1))))=TRUE,0,MOD(BM25-BL25,1))</f>
        <v>0</v>
      </c>
      <c r="CL25" s="191">
        <f>IF(ISERROR(VALUE((MOD(BO25-BN25,1))))=TRUE,0,MOD(BO25-BN25,1))</f>
        <v>0</v>
      </c>
      <c r="CM25" s="191">
        <f t="shared" si="22"/>
        <v>0</v>
      </c>
      <c r="CN25" s="191">
        <f t="shared" si="23"/>
        <v>0.16666666666666663</v>
      </c>
      <c r="CO25" s="191">
        <f t="shared" si="24"/>
        <v>0</v>
      </c>
      <c r="CP25" s="191">
        <f t="shared" si="25"/>
        <v>0.16666666666666663</v>
      </c>
      <c r="CQ25" s="191">
        <f t="shared" si="35"/>
        <v>0</v>
      </c>
      <c r="CR25" s="191">
        <f t="shared" si="36"/>
        <v>0</v>
      </c>
      <c r="CS25" s="31"/>
    </row>
    <row r="26" spans="1:220">
      <c r="A26" s="321"/>
      <c r="B26" s="253"/>
      <c r="C26" s="217"/>
      <c r="D26" s="214"/>
      <c r="E26" s="214"/>
      <c r="F26" s="215"/>
      <c r="G26" s="217"/>
      <c r="H26" s="214"/>
      <c r="I26" s="214"/>
      <c r="J26" s="215"/>
      <c r="K26" s="217"/>
      <c r="L26" s="214"/>
      <c r="M26" s="214"/>
      <c r="N26" s="215"/>
      <c r="O26" s="217"/>
      <c r="P26" s="214"/>
      <c r="Q26" s="214"/>
      <c r="R26" s="215"/>
      <c r="S26" s="217"/>
      <c r="T26" s="214"/>
      <c r="U26" s="214"/>
      <c r="V26" s="215"/>
      <c r="W26" s="217"/>
      <c r="X26" s="214"/>
      <c r="Y26" s="214"/>
      <c r="Z26" s="215"/>
      <c r="AA26" s="230"/>
      <c r="AB26" s="218"/>
      <c r="AC26" s="218"/>
      <c r="AD26" s="219"/>
      <c r="AE26" s="238">
        <f t="shared" si="28"/>
        <v>0</v>
      </c>
      <c r="AF26" s="238">
        <v>0</v>
      </c>
      <c r="AG26" s="41"/>
      <c r="AH26" s="191">
        <f t="shared" si="0"/>
        <v>0</v>
      </c>
      <c r="AI26" s="191">
        <f t="shared" si="1"/>
        <v>0</v>
      </c>
      <c r="AJ26" s="191">
        <f t="shared" si="2"/>
        <v>0</v>
      </c>
      <c r="AK26" s="191">
        <f t="shared" si="3"/>
        <v>0</v>
      </c>
      <c r="AL26" s="191">
        <f t="shared" si="4"/>
        <v>0</v>
      </c>
      <c r="AM26" s="191">
        <f t="shared" si="5"/>
        <v>0</v>
      </c>
      <c r="AN26" s="191">
        <f t="shared" si="6"/>
        <v>0</v>
      </c>
      <c r="AO26" s="191">
        <f t="shared" si="7"/>
        <v>0</v>
      </c>
      <c r="AP26" s="191">
        <f t="shared" si="8"/>
        <v>0</v>
      </c>
      <c r="AQ26" s="191">
        <f t="shared" si="9"/>
        <v>0</v>
      </c>
      <c r="AR26" s="191">
        <f t="shared" si="10"/>
        <v>0</v>
      </c>
      <c r="AS26" s="191">
        <f t="shared" si="11"/>
        <v>0</v>
      </c>
      <c r="AT26" s="191">
        <f t="shared" si="12"/>
        <v>0</v>
      </c>
      <c r="AU26" s="191">
        <f t="shared" si="13"/>
        <v>0</v>
      </c>
      <c r="AV26" s="31"/>
      <c r="AX26" s="321"/>
      <c r="AY26" s="253"/>
      <c r="AZ26" s="217"/>
      <c r="BA26" s="214"/>
      <c r="BB26" s="214"/>
      <c r="BC26" s="215"/>
      <c r="BD26" s="217"/>
      <c r="BE26" s="214"/>
      <c r="BF26" s="214"/>
      <c r="BG26" s="215"/>
      <c r="BH26" s="217"/>
      <c r="BI26" s="214"/>
      <c r="BJ26" s="214"/>
      <c r="BK26" s="215"/>
      <c r="BL26" s="217"/>
      <c r="BM26" s="214"/>
      <c r="BN26" s="214"/>
      <c r="BO26" s="215"/>
      <c r="BP26" s="217"/>
      <c r="BQ26" s="214"/>
      <c r="BR26" s="214"/>
      <c r="BS26" s="215"/>
      <c r="BT26" s="217"/>
      <c r="BU26" s="214"/>
      <c r="BV26" s="214"/>
      <c r="BW26" s="215"/>
      <c r="BX26" s="230"/>
      <c r="BY26" s="218"/>
      <c r="BZ26" s="218"/>
      <c r="CA26" s="219"/>
      <c r="CB26" s="238">
        <f t="shared" si="29"/>
        <v>0</v>
      </c>
      <c r="CC26" s="238">
        <v>0</v>
      </c>
      <c r="CD26" s="41"/>
      <c r="CE26" s="191">
        <f t="shared" si="32"/>
        <v>0</v>
      </c>
      <c r="CF26" s="191">
        <f t="shared" si="15"/>
        <v>0</v>
      </c>
      <c r="CG26" s="191">
        <f t="shared" si="33"/>
        <v>0</v>
      </c>
      <c r="CH26" s="191">
        <f t="shared" si="34"/>
        <v>0</v>
      </c>
      <c r="CI26" s="191">
        <f t="shared" si="18"/>
        <v>0</v>
      </c>
      <c r="CJ26" s="191">
        <f t="shared" si="19"/>
        <v>0</v>
      </c>
      <c r="CK26" s="191">
        <f t="shared" si="20"/>
        <v>0</v>
      </c>
      <c r="CL26" s="191">
        <f t="shared" si="21"/>
        <v>0</v>
      </c>
      <c r="CM26" s="191">
        <f t="shared" si="22"/>
        <v>0</v>
      </c>
      <c r="CN26" s="191">
        <f t="shared" si="23"/>
        <v>0</v>
      </c>
      <c r="CO26" s="191">
        <f t="shared" si="24"/>
        <v>0</v>
      </c>
      <c r="CP26" s="191">
        <f t="shared" si="25"/>
        <v>0</v>
      </c>
      <c r="CQ26" s="191">
        <f t="shared" si="35"/>
        <v>0</v>
      </c>
      <c r="CR26" s="191">
        <f t="shared" si="36"/>
        <v>0</v>
      </c>
      <c r="CS26" s="31"/>
    </row>
    <row r="27" spans="1:220" ht="16" customHeight="1" thickBot="1">
      <c r="A27" s="321"/>
      <c r="B27" s="232"/>
      <c r="C27" s="216"/>
      <c r="D27" s="214"/>
      <c r="E27" s="214"/>
      <c r="F27" s="215"/>
      <c r="G27" s="217"/>
      <c r="H27" s="214"/>
      <c r="I27" s="214"/>
      <c r="J27" s="215"/>
      <c r="K27" s="217"/>
      <c r="L27" s="214"/>
      <c r="M27" s="214"/>
      <c r="N27" s="215"/>
      <c r="O27" s="217"/>
      <c r="P27" s="214"/>
      <c r="Q27" s="214"/>
      <c r="R27" s="215"/>
      <c r="S27" s="217"/>
      <c r="T27" s="214"/>
      <c r="U27" s="214"/>
      <c r="V27" s="215"/>
      <c r="W27" s="217"/>
      <c r="X27" s="214"/>
      <c r="Y27" s="214"/>
      <c r="Z27" s="215"/>
      <c r="AA27" s="217"/>
      <c r="AB27" s="214"/>
      <c r="AC27" s="214"/>
      <c r="AD27" s="215"/>
      <c r="AE27" s="238">
        <f t="shared" si="28"/>
        <v>0</v>
      </c>
      <c r="AF27" s="238"/>
      <c r="AG27" s="41"/>
      <c r="AH27" s="191">
        <f t="shared" si="0"/>
        <v>0</v>
      </c>
      <c r="AI27" s="191">
        <f t="shared" si="1"/>
        <v>0</v>
      </c>
      <c r="AJ27" s="191">
        <f t="shared" si="2"/>
        <v>0</v>
      </c>
      <c r="AK27" s="191">
        <f t="shared" si="3"/>
        <v>0</v>
      </c>
      <c r="AL27" s="191">
        <f t="shared" si="4"/>
        <v>0</v>
      </c>
      <c r="AM27" s="191">
        <f t="shared" si="5"/>
        <v>0</v>
      </c>
      <c r="AN27" s="191">
        <f t="shared" si="6"/>
        <v>0</v>
      </c>
      <c r="AO27" s="191">
        <f t="shared" si="7"/>
        <v>0</v>
      </c>
      <c r="AP27" s="191">
        <f t="shared" si="8"/>
        <v>0</v>
      </c>
      <c r="AQ27" s="191">
        <f t="shared" si="9"/>
        <v>0</v>
      </c>
      <c r="AR27" s="191">
        <f t="shared" si="10"/>
        <v>0</v>
      </c>
      <c r="AS27" s="191">
        <f t="shared" si="11"/>
        <v>0</v>
      </c>
      <c r="AT27" s="191">
        <f t="shared" si="12"/>
        <v>0</v>
      </c>
      <c r="AU27" s="191">
        <f t="shared" si="13"/>
        <v>0</v>
      </c>
      <c r="AV27" s="31"/>
      <c r="AX27" s="321"/>
      <c r="AY27" s="232"/>
      <c r="AZ27" s="216"/>
      <c r="BA27" s="214"/>
      <c r="BB27" s="214"/>
      <c r="BC27" s="215"/>
      <c r="BD27" s="217"/>
      <c r="BE27" s="214"/>
      <c r="BF27" s="214"/>
      <c r="BG27" s="215"/>
      <c r="BH27" s="217"/>
      <c r="BI27" s="214"/>
      <c r="BJ27" s="214"/>
      <c r="BK27" s="215"/>
      <c r="BL27" s="217"/>
      <c r="BM27" s="214"/>
      <c r="BN27" s="214"/>
      <c r="BO27" s="215"/>
      <c r="BP27" s="217"/>
      <c r="BQ27" s="214"/>
      <c r="BR27" s="214"/>
      <c r="BS27" s="215"/>
      <c r="BT27" s="217"/>
      <c r="BU27" s="214"/>
      <c r="BV27" s="214"/>
      <c r="BW27" s="215"/>
      <c r="BX27" s="217"/>
      <c r="BY27" s="214"/>
      <c r="BZ27" s="214"/>
      <c r="CA27" s="215"/>
      <c r="CB27" s="238">
        <f t="shared" si="29"/>
        <v>0</v>
      </c>
      <c r="CC27" s="238"/>
      <c r="CD27" s="41"/>
      <c r="CE27" s="191">
        <f t="shared" si="32"/>
        <v>0</v>
      </c>
      <c r="CF27" s="191">
        <f t="shared" si="15"/>
        <v>0</v>
      </c>
      <c r="CG27" s="191">
        <f t="shared" si="33"/>
        <v>0</v>
      </c>
      <c r="CH27" s="191">
        <f t="shared" si="34"/>
        <v>0</v>
      </c>
      <c r="CI27" s="191">
        <f t="shared" si="18"/>
        <v>0</v>
      </c>
      <c r="CJ27" s="191">
        <f t="shared" si="19"/>
        <v>0</v>
      </c>
      <c r="CK27" s="191">
        <f t="shared" si="20"/>
        <v>0</v>
      </c>
      <c r="CL27" s="191">
        <f t="shared" si="21"/>
        <v>0</v>
      </c>
      <c r="CM27" s="191">
        <f t="shared" si="22"/>
        <v>0</v>
      </c>
      <c r="CN27" s="191">
        <f t="shared" si="23"/>
        <v>0</v>
      </c>
      <c r="CO27" s="191">
        <f t="shared" si="24"/>
        <v>0</v>
      </c>
      <c r="CP27" s="191">
        <f t="shared" si="25"/>
        <v>0</v>
      </c>
      <c r="CQ27" s="191">
        <f t="shared" si="35"/>
        <v>0</v>
      </c>
      <c r="CR27" s="191">
        <f t="shared" si="36"/>
        <v>0</v>
      </c>
      <c r="CS27" s="31"/>
    </row>
    <row r="28" spans="1:220" ht="11.5" customHeight="1" thickBot="1">
      <c r="A28" s="45"/>
      <c r="B28" s="210"/>
      <c r="C28" s="308" t="s">
        <v>369</v>
      </c>
      <c r="D28" s="309"/>
      <c r="E28" s="309"/>
      <c r="F28" s="310"/>
      <c r="G28" s="311" t="s">
        <v>378</v>
      </c>
      <c r="H28" s="312"/>
      <c r="I28" s="312"/>
      <c r="J28" s="313"/>
      <c r="K28" s="314" t="s">
        <v>379</v>
      </c>
      <c r="L28" s="315"/>
      <c r="M28" s="315"/>
      <c r="N28" s="315"/>
      <c r="O28" s="352"/>
      <c r="P28" s="353"/>
      <c r="Q28" s="353"/>
      <c r="R28" s="353"/>
      <c r="S28" s="354" t="s">
        <v>407</v>
      </c>
      <c r="T28" s="354"/>
      <c r="U28" s="354"/>
      <c r="V28" s="354"/>
      <c r="W28" s="318"/>
      <c r="X28" s="318"/>
      <c r="Y28" s="318"/>
      <c r="Z28" s="318"/>
      <c r="AA28" s="319" t="s">
        <v>400</v>
      </c>
      <c r="AB28" s="319"/>
      <c r="AC28" s="319"/>
      <c r="AD28" s="319"/>
      <c r="AE28" s="44"/>
      <c r="AF28" s="44"/>
      <c r="AG28" s="44"/>
      <c r="AH28" s="42"/>
      <c r="AI28" s="43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31"/>
      <c r="AX28" s="45"/>
      <c r="AY28" s="210"/>
      <c r="AZ28" s="308" t="s">
        <v>369</v>
      </c>
      <c r="BA28" s="309"/>
      <c r="BB28" s="309"/>
      <c r="BC28" s="310"/>
      <c r="BD28" s="311" t="s">
        <v>378</v>
      </c>
      <c r="BE28" s="312"/>
      <c r="BF28" s="312"/>
      <c r="BG28" s="313"/>
      <c r="BH28" s="314" t="s">
        <v>379</v>
      </c>
      <c r="BI28" s="315"/>
      <c r="BJ28" s="315"/>
      <c r="BK28" s="315"/>
      <c r="BL28" s="318"/>
      <c r="BM28" s="318"/>
      <c r="BN28" s="318"/>
      <c r="BO28" s="318"/>
      <c r="BP28" s="318"/>
      <c r="BQ28" s="318"/>
      <c r="BR28" s="318"/>
      <c r="BS28" s="318"/>
      <c r="BT28" s="354" t="s">
        <v>411</v>
      </c>
      <c r="BU28" s="354"/>
      <c r="BV28" s="354"/>
      <c r="BW28" s="354"/>
      <c r="BX28" s="319" t="s">
        <v>400</v>
      </c>
      <c r="BY28" s="319"/>
      <c r="BZ28" s="319"/>
      <c r="CA28" s="319"/>
      <c r="CB28" s="44"/>
      <c r="CC28" s="44"/>
      <c r="CD28" s="44"/>
      <c r="CE28" s="42"/>
      <c r="CF28" s="43"/>
      <c r="CG28" s="42"/>
      <c r="CH28" s="42"/>
      <c r="CI28" s="42"/>
      <c r="CJ28" s="42"/>
      <c r="CK28" s="42"/>
      <c r="CL28" s="42"/>
      <c r="CM28" s="42"/>
      <c r="CN28" s="42"/>
      <c r="CO28" s="42"/>
      <c r="CP28" s="42"/>
      <c r="CQ28" s="42"/>
      <c r="CR28" s="42"/>
      <c r="CS28" s="31"/>
    </row>
    <row r="29" spans="1:220" s="23" customFormat="1" ht="12.75" customHeight="1" thickBot="1">
      <c r="A29" s="47"/>
      <c r="B29" s="48" t="s">
        <v>262</v>
      </c>
      <c r="C29" s="288">
        <v>0.10416666666666667</v>
      </c>
      <c r="D29" s="288"/>
      <c r="E29" s="288"/>
      <c r="F29" s="288"/>
      <c r="G29" s="288">
        <v>0.10416666666666667</v>
      </c>
      <c r="H29" s="288"/>
      <c r="I29" s="288"/>
      <c r="J29" s="288"/>
      <c r="K29" s="288">
        <v>0.10416666666666667</v>
      </c>
      <c r="L29" s="288"/>
      <c r="M29" s="288"/>
      <c r="N29" s="288"/>
      <c r="O29" s="288">
        <v>0.17708333333333334</v>
      </c>
      <c r="P29" s="288"/>
      <c r="Q29" s="288"/>
      <c r="R29" s="288"/>
      <c r="S29" s="288">
        <v>0.24305555555555555</v>
      </c>
      <c r="T29" s="288"/>
      <c r="U29" s="288"/>
      <c r="V29" s="288"/>
      <c r="W29" s="288">
        <v>0.27083333333333331</v>
      </c>
      <c r="X29" s="288"/>
      <c r="Y29" s="288"/>
      <c r="Z29" s="288"/>
      <c r="AA29" s="288">
        <v>0.125</v>
      </c>
      <c r="AB29" s="288"/>
      <c r="AC29" s="288"/>
      <c r="AD29" s="288"/>
      <c r="AE29" s="27"/>
      <c r="AF29" s="27"/>
      <c r="AG29" s="27"/>
      <c r="AH29" s="42"/>
      <c r="AI29" s="43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31"/>
      <c r="AW29" s="24"/>
      <c r="AX29" s="47"/>
      <c r="AY29" s="48" t="s">
        <v>262</v>
      </c>
      <c r="AZ29" s="288">
        <v>0.10416666666666667</v>
      </c>
      <c r="BA29" s="288"/>
      <c r="BB29" s="288"/>
      <c r="BC29" s="288"/>
      <c r="BD29" s="288">
        <v>0.10416666666666667</v>
      </c>
      <c r="BE29" s="288"/>
      <c r="BF29" s="288"/>
      <c r="BG29" s="288"/>
      <c r="BH29" s="288">
        <v>0.10416666666666667</v>
      </c>
      <c r="BI29" s="288"/>
      <c r="BJ29" s="288"/>
      <c r="BK29" s="288"/>
      <c r="BL29" s="288">
        <v>0.17708333333333334</v>
      </c>
      <c r="BM29" s="288"/>
      <c r="BN29" s="288"/>
      <c r="BO29" s="288"/>
      <c r="BP29" s="288">
        <v>0.24305555555555555</v>
      </c>
      <c r="BQ29" s="288"/>
      <c r="BR29" s="288"/>
      <c r="BS29" s="288"/>
      <c r="BT29" s="288">
        <v>0.27083333333333331</v>
      </c>
      <c r="BU29" s="288"/>
      <c r="BV29" s="288"/>
      <c r="BW29" s="288"/>
      <c r="BX29" s="288">
        <v>0.125</v>
      </c>
      <c r="BY29" s="288"/>
      <c r="BZ29" s="288"/>
      <c r="CA29" s="288"/>
      <c r="CB29" s="27"/>
      <c r="CC29" s="27"/>
      <c r="CD29" s="27"/>
      <c r="CE29" s="42"/>
      <c r="CF29" s="43"/>
      <c r="CG29" s="42"/>
      <c r="CH29" s="42"/>
      <c r="CI29" s="42"/>
      <c r="CJ29" s="42"/>
      <c r="CK29" s="42"/>
      <c r="CL29" s="42"/>
      <c r="CM29" s="42"/>
      <c r="CN29" s="42"/>
      <c r="CO29" s="42"/>
      <c r="CP29" s="42"/>
      <c r="CQ29" s="42"/>
      <c r="CR29" s="42"/>
      <c r="CS29" s="31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</row>
    <row r="30" spans="1:220" s="23" customFormat="1" ht="14.25" customHeight="1">
      <c r="B30" s="49"/>
      <c r="C30" s="49"/>
      <c r="D30" s="49"/>
      <c r="E30" s="49"/>
      <c r="F30" s="49"/>
      <c r="G30" s="49"/>
      <c r="H30" s="49"/>
      <c r="I30" s="49"/>
      <c r="J30" s="49"/>
      <c r="K30" s="50"/>
      <c r="L30" s="51"/>
      <c r="M30" s="51"/>
      <c r="N30" s="51"/>
      <c r="O30" s="51"/>
      <c r="P30" s="51"/>
      <c r="Q30" s="51"/>
      <c r="R30" s="51"/>
      <c r="S30" s="287"/>
      <c r="T30" s="287"/>
      <c r="U30" s="287"/>
      <c r="V30" s="287"/>
      <c r="W30" s="52"/>
      <c r="X30" s="52"/>
      <c r="Y30" s="52"/>
      <c r="Z30" s="52"/>
      <c r="AA30" s="287"/>
      <c r="AB30" s="287"/>
      <c r="AC30" s="287"/>
      <c r="AD30" s="287"/>
      <c r="AE30" s="27"/>
      <c r="AF30" s="27"/>
      <c r="AG30" s="27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31"/>
      <c r="AW30" s="24"/>
      <c r="AY30" s="49"/>
      <c r="AZ30" s="49"/>
      <c r="BA30" s="49"/>
      <c r="BB30" s="49"/>
      <c r="BC30" s="49"/>
      <c r="BD30" s="49"/>
      <c r="BE30" s="49"/>
      <c r="BF30" s="49"/>
      <c r="BG30" s="49"/>
      <c r="BH30" s="50"/>
      <c r="BI30" s="51"/>
      <c r="BJ30" s="51"/>
      <c r="BK30" s="51"/>
      <c r="BL30" s="51"/>
      <c r="BM30" s="51"/>
      <c r="BN30" s="51"/>
      <c r="BO30" s="51"/>
      <c r="BP30" s="287"/>
      <c r="BQ30" s="287"/>
      <c r="BR30" s="287"/>
      <c r="BS30" s="287"/>
      <c r="BT30" s="52"/>
      <c r="BU30" s="52"/>
      <c r="BV30" s="52"/>
      <c r="BW30" s="52"/>
      <c r="BX30" s="287"/>
      <c r="BY30" s="287"/>
      <c r="BZ30" s="287"/>
      <c r="CA30" s="287"/>
      <c r="CB30" s="27"/>
      <c r="CC30" s="27"/>
      <c r="CD30" s="27"/>
      <c r="CE30" s="53"/>
      <c r="CF30" s="53"/>
      <c r="CG30" s="53"/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31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</row>
    <row r="31" spans="1:220" s="23" customFormat="1" ht="14.25" customHeight="1">
      <c r="A31" s="54"/>
      <c r="B31" s="55" t="s">
        <v>263</v>
      </c>
      <c r="C31" s="56"/>
      <c r="D31" s="56" t="s">
        <v>264</v>
      </c>
      <c r="E31" s="56"/>
      <c r="F31" s="56"/>
      <c r="G31" s="56"/>
      <c r="H31" s="56"/>
      <c r="I31" s="56"/>
      <c r="J31" s="57"/>
      <c r="K31" s="283"/>
      <c r="L31" s="283"/>
      <c r="M31" s="283"/>
      <c r="N31" s="283"/>
      <c r="O31" s="283"/>
      <c r="P31" s="283"/>
      <c r="Q31" s="283"/>
      <c r="R31" s="283"/>
      <c r="S31" s="283"/>
      <c r="T31" s="52"/>
      <c r="U31" s="52"/>
      <c r="V31" s="52"/>
      <c r="W31" s="52" t="s">
        <v>383</v>
      </c>
      <c r="X31" s="52"/>
      <c r="Y31" s="52" t="s">
        <v>384</v>
      </c>
      <c r="Z31" s="52"/>
      <c r="AA31" s="52"/>
      <c r="AB31" s="52"/>
      <c r="AC31" s="52"/>
      <c r="AD31" s="58"/>
      <c r="AE31" s="27"/>
      <c r="AF31" s="27"/>
      <c r="AG31" s="59" t="s">
        <v>265</v>
      </c>
      <c r="AH31" s="60">
        <f>SUM(AH10:AH29)</f>
        <v>1.0833333333333335</v>
      </c>
      <c r="AI31" s="60">
        <f>SUM(AI10:AI28)</f>
        <v>1.208333333333333</v>
      </c>
      <c r="AJ31" s="60">
        <f t="shared" ref="AJ31:AU31" si="37">SUM(AJ10:AJ29)</f>
        <v>0.37500000000000011</v>
      </c>
      <c r="AK31" s="60">
        <f t="shared" si="37"/>
        <v>1.6874999999999998</v>
      </c>
      <c r="AL31" s="60">
        <f t="shared" si="37"/>
        <v>0.4166666666666668</v>
      </c>
      <c r="AM31" s="60">
        <f t="shared" si="37"/>
        <v>1.708333333333333</v>
      </c>
      <c r="AN31" s="60">
        <f t="shared" si="37"/>
        <v>0.39583333333333343</v>
      </c>
      <c r="AO31" s="60">
        <f t="shared" si="37"/>
        <v>2.875</v>
      </c>
      <c r="AP31" s="60">
        <f t="shared" si="37"/>
        <v>0.50000000000000022</v>
      </c>
      <c r="AQ31" s="60">
        <f t="shared" si="37"/>
        <v>3.2916666666666661</v>
      </c>
      <c r="AR31" s="60">
        <f t="shared" si="37"/>
        <v>0.50000000000000022</v>
      </c>
      <c r="AS31" s="60">
        <f t="shared" si="37"/>
        <v>3.125</v>
      </c>
      <c r="AT31" s="60">
        <f t="shared" si="37"/>
        <v>0.37500000000000011</v>
      </c>
      <c r="AU31" s="60">
        <f t="shared" si="37"/>
        <v>1.6874999999999998</v>
      </c>
      <c r="AV31" s="31"/>
      <c r="AW31" s="24"/>
      <c r="AX31" s="54"/>
      <c r="AY31" s="55" t="s">
        <v>263</v>
      </c>
      <c r="AZ31" s="56"/>
      <c r="BA31" s="56" t="s">
        <v>264</v>
      </c>
      <c r="BB31" s="56"/>
      <c r="BC31" s="56"/>
      <c r="BD31" s="56"/>
      <c r="BE31" s="56"/>
      <c r="BF31" s="56"/>
      <c r="BG31" s="57"/>
      <c r="BH31" s="283"/>
      <c r="BI31" s="283"/>
      <c r="BJ31" s="283"/>
      <c r="BK31" s="283"/>
      <c r="BL31" s="283"/>
      <c r="BM31" s="283"/>
      <c r="BN31" s="283"/>
      <c r="BO31" s="283"/>
      <c r="BP31" s="283"/>
      <c r="BQ31" s="52"/>
      <c r="BR31" s="52"/>
      <c r="BS31" s="52"/>
      <c r="BT31" s="52" t="s">
        <v>383</v>
      </c>
      <c r="BU31" s="52"/>
      <c r="BV31" s="52" t="s">
        <v>384</v>
      </c>
      <c r="BW31" s="52"/>
      <c r="BX31" s="52"/>
      <c r="BY31" s="52"/>
      <c r="BZ31" s="52"/>
      <c r="CA31" s="58"/>
      <c r="CB31" s="27"/>
      <c r="CC31" s="27"/>
      <c r="CD31" s="59" t="s">
        <v>265</v>
      </c>
      <c r="CE31" s="60">
        <f>SUM(CE10:CE29)</f>
        <v>0.16666666666666669</v>
      </c>
      <c r="CF31" s="60">
        <f>SUM(CF10:CF28)</f>
        <v>1.2499999999999998</v>
      </c>
      <c r="CG31" s="60">
        <f t="shared" ref="CG31:CR31" si="38">SUM(CG10:CG29)</f>
        <v>0.43750000000000006</v>
      </c>
      <c r="CH31" s="60">
        <f t="shared" si="38"/>
        <v>1.625</v>
      </c>
      <c r="CI31" s="60">
        <f t="shared" si="38"/>
        <v>0.43750000000000006</v>
      </c>
      <c r="CJ31" s="60">
        <f t="shared" si="38"/>
        <v>1.625</v>
      </c>
      <c r="CK31" s="60">
        <f t="shared" si="38"/>
        <v>0.4166666666666668</v>
      </c>
      <c r="CL31" s="60">
        <f t="shared" si="38"/>
        <v>1.8125</v>
      </c>
      <c r="CM31" s="60">
        <f t="shared" si="38"/>
        <v>0.50000000000000022</v>
      </c>
      <c r="CN31" s="60">
        <f t="shared" si="38"/>
        <v>2.9791666666666665</v>
      </c>
      <c r="CO31" s="60">
        <f t="shared" si="38"/>
        <v>0.50000000000000022</v>
      </c>
      <c r="CP31" s="60">
        <f t="shared" si="38"/>
        <v>3.1458333333333326</v>
      </c>
      <c r="CQ31" s="60">
        <f t="shared" si="38"/>
        <v>0.45833333333333337</v>
      </c>
      <c r="CR31" s="60">
        <f t="shared" si="38"/>
        <v>1.7291666666666665</v>
      </c>
      <c r="CS31" s="31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</row>
    <row r="32" spans="1:220" s="23" customFormat="1" ht="14.25" customHeight="1">
      <c r="A32" s="54"/>
      <c r="B32" s="61" t="s">
        <v>266</v>
      </c>
      <c r="C32" s="62"/>
      <c r="D32" s="62" t="s">
        <v>267</v>
      </c>
      <c r="E32" s="62"/>
      <c r="F32" s="62"/>
      <c r="G32" s="62"/>
      <c r="H32" s="62"/>
      <c r="I32" s="62"/>
      <c r="J32" s="63"/>
      <c r="K32" s="283"/>
      <c r="L32" s="283"/>
      <c r="M32" s="283"/>
      <c r="N32" s="283"/>
      <c r="O32" s="283"/>
      <c r="P32" s="283"/>
      <c r="Q32" s="283"/>
      <c r="R32" s="283"/>
      <c r="S32" s="283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8"/>
      <c r="AE32" s="27"/>
      <c r="AF32" s="27"/>
      <c r="AG32" s="64" t="s">
        <v>268</v>
      </c>
      <c r="AH32" s="284">
        <f>SUM(AH31:AI31)-C29</f>
        <v>2.1875</v>
      </c>
      <c r="AI32" s="284"/>
      <c r="AJ32" s="284">
        <f>SUM(AJ31:AK31)-G29</f>
        <v>1.9583333333333333</v>
      </c>
      <c r="AK32" s="284"/>
      <c r="AL32" s="284">
        <f>SUM(AL31:AM31)-K29</f>
        <v>2.0208333333333335</v>
      </c>
      <c r="AM32" s="284"/>
      <c r="AN32" s="284">
        <f>SUM(AN31:AO31)-O29</f>
        <v>3.09375</v>
      </c>
      <c r="AO32" s="284"/>
      <c r="AP32" s="284">
        <f>SUM(AP31:AQ31)-S29</f>
        <v>3.5486111111111107</v>
      </c>
      <c r="AQ32" s="284"/>
      <c r="AR32" s="284">
        <f>SUM(AR31:AS31)-W29</f>
        <v>3.3541666666666665</v>
      </c>
      <c r="AS32" s="284"/>
      <c r="AT32" s="284">
        <f>SUM(AT31:AU31)-AA29</f>
        <v>1.9375</v>
      </c>
      <c r="AU32" s="284"/>
      <c r="AV32" s="65">
        <f>SUM(AH32:AU32)</f>
        <v>18.100694444444443</v>
      </c>
      <c r="AW32" s="24">
        <v>1362</v>
      </c>
      <c r="AX32" s="54"/>
      <c r="AY32" s="61" t="s">
        <v>266</v>
      </c>
      <c r="AZ32" s="62"/>
      <c r="BA32" s="62" t="s">
        <v>267</v>
      </c>
      <c r="BB32" s="62"/>
      <c r="BC32" s="62"/>
      <c r="BD32" s="62"/>
      <c r="BE32" s="62"/>
      <c r="BF32" s="62"/>
      <c r="BG32" s="63"/>
      <c r="BH32" s="283"/>
      <c r="BI32" s="283"/>
      <c r="BJ32" s="283"/>
      <c r="BK32" s="283"/>
      <c r="BL32" s="283"/>
      <c r="BM32" s="283"/>
      <c r="BN32" s="283"/>
      <c r="BO32" s="283"/>
      <c r="BP32" s="283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8"/>
      <c r="CB32" s="27"/>
      <c r="CC32" s="27"/>
      <c r="CD32" s="64" t="s">
        <v>268</v>
      </c>
      <c r="CE32" s="284">
        <f>SUM(CE31:CF31)-AZ29</f>
        <v>1.3124999999999998</v>
      </c>
      <c r="CF32" s="284"/>
      <c r="CG32" s="284">
        <f>SUM(CG31:CH31)-BD29</f>
        <v>1.9583333333333333</v>
      </c>
      <c r="CH32" s="284"/>
      <c r="CI32" s="284">
        <f>SUM(CI31:CJ31)-BH29</f>
        <v>1.9583333333333333</v>
      </c>
      <c r="CJ32" s="284"/>
      <c r="CK32" s="284">
        <f>SUM(CK31:CL31)-BL29</f>
        <v>2.0520833333333335</v>
      </c>
      <c r="CL32" s="284"/>
      <c r="CM32" s="284">
        <f>SUM(CM31:CN31)-BP29</f>
        <v>3.2361111111111116</v>
      </c>
      <c r="CN32" s="284"/>
      <c r="CO32" s="284">
        <f>SUM(CO31:CP31)-BT29</f>
        <v>3.3749999999999996</v>
      </c>
      <c r="CP32" s="284"/>
      <c r="CQ32" s="284">
        <f>SUM(CQ31:CR31)-BX29</f>
        <v>2.0625</v>
      </c>
      <c r="CR32" s="284"/>
      <c r="CS32" s="65">
        <f>SUM(CE32:CR32)</f>
        <v>15.954861111111111</v>
      </c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</row>
    <row r="33" spans="1:200" s="23" customFormat="1" ht="14.25" customHeight="1">
      <c r="A33" s="54"/>
      <c r="B33" s="66" t="s">
        <v>269</v>
      </c>
      <c r="C33" s="67"/>
      <c r="D33" s="67" t="s">
        <v>270</v>
      </c>
      <c r="E33" s="67"/>
      <c r="F33" s="67"/>
      <c r="G33" s="67"/>
      <c r="H33" s="67"/>
      <c r="I33" s="67"/>
      <c r="J33" s="68"/>
      <c r="K33" s="285"/>
      <c r="L33" s="285"/>
      <c r="M33" s="285"/>
      <c r="N33" s="285"/>
      <c r="O33" s="285"/>
      <c r="P33" s="285"/>
      <c r="Q33" s="285"/>
      <c r="R33" s="285"/>
      <c r="S33" s="285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8"/>
      <c r="AE33" s="27"/>
      <c r="AF33" s="27"/>
      <c r="AG33" s="69">
        <f>AJ1</f>
        <v>28</v>
      </c>
      <c r="AH33" s="286">
        <f>AH32*24*AG33</f>
        <v>1470</v>
      </c>
      <c r="AI33" s="286"/>
      <c r="AJ33" s="286">
        <f>AJ32*24*AG33</f>
        <v>1316</v>
      </c>
      <c r="AK33" s="286"/>
      <c r="AL33" s="286">
        <f>AL32*24*AG33</f>
        <v>1358</v>
      </c>
      <c r="AM33" s="286"/>
      <c r="AN33" s="286">
        <f>AN32*24*AG33</f>
        <v>2079</v>
      </c>
      <c r="AO33" s="286"/>
      <c r="AP33" s="286">
        <f>AP32*24*AG33</f>
        <v>2384.6666666666665</v>
      </c>
      <c r="AQ33" s="286"/>
      <c r="AR33" s="286">
        <f>AR32*24*AG33</f>
        <v>2254</v>
      </c>
      <c r="AS33" s="286"/>
      <c r="AT33" s="286">
        <f>AT32*24*AG33</f>
        <v>1302</v>
      </c>
      <c r="AU33" s="286"/>
      <c r="AV33" s="31"/>
      <c r="AW33" s="24"/>
      <c r="AX33" s="54"/>
      <c r="AY33" s="66" t="s">
        <v>269</v>
      </c>
      <c r="AZ33" s="67"/>
      <c r="BA33" s="67" t="s">
        <v>270</v>
      </c>
      <c r="BB33" s="67"/>
      <c r="BC33" s="67"/>
      <c r="BD33" s="67"/>
      <c r="BE33" s="67"/>
      <c r="BF33" s="67"/>
      <c r="BG33" s="68"/>
      <c r="BH33" s="285"/>
      <c r="BI33" s="285"/>
      <c r="BJ33" s="285"/>
      <c r="BK33" s="285"/>
      <c r="BL33" s="285"/>
      <c r="BM33" s="285"/>
      <c r="BN33" s="285"/>
      <c r="BO33" s="285"/>
      <c r="BP33" s="285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8"/>
      <c r="CB33" s="27"/>
      <c r="CC33" s="27"/>
      <c r="CD33" s="69">
        <f>CG1</f>
        <v>28</v>
      </c>
      <c r="CE33" s="286">
        <f>CE32*24*CD33</f>
        <v>881.99999999999977</v>
      </c>
      <c r="CF33" s="286"/>
      <c r="CG33" s="286">
        <f>CG32*24*CD33</f>
        <v>1316</v>
      </c>
      <c r="CH33" s="286"/>
      <c r="CI33" s="286">
        <f>CI32*24*CD33</f>
        <v>1316</v>
      </c>
      <c r="CJ33" s="286"/>
      <c r="CK33" s="286">
        <f>CK32*24*CD33</f>
        <v>1379</v>
      </c>
      <c r="CL33" s="286"/>
      <c r="CM33" s="286">
        <f>CM32*24*CD33</f>
        <v>2174.666666666667</v>
      </c>
      <c r="CN33" s="286"/>
      <c r="CO33" s="286">
        <f>CO32*24*CD33</f>
        <v>2267.9999999999995</v>
      </c>
      <c r="CP33" s="286"/>
      <c r="CQ33" s="286">
        <f>CQ32*24*CD33</f>
        <v>1386</v>
      </c>
      <c r="CR33" s="286"/>
      <c r="CS33" s="31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</row>
    <row r="34" spans="1:200" s="23" customFormat="1" ht="14.25" customHeight="1">
      <c r="A34" s="54"/>
      <c r="B34" s="61" t="s">
        <v>271</v>
      </c>
      <c r="C34" s="71"/>
      <c r="D34" s="71" t="s">
        <v>272</v>
      </c>
      <c r="E34" s="71"/>
      <c r="F34" s="71"/>
      <c r="G34" s="71"/>
      <c r="H34" s="71"/>
      <c r="I34" s="71"/>
      <c r="J34" s="72"/>
      <c r="K34" s="290"/>
      <c r="L34" s="290"/>
      <c r="M34" s="290"/>
      <c r="N34" s="290"/>
      <c r="O34" s="290"/>
      <c r="P34" s="290"/>
      <c r="Q34" s="290"/>
      <c r="R34" s="290"/>
      <c r="S34" s="290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8"/>
      <c r="AE34" s="27"/>
      <c r="AF34" s="27"/>
      <c r="AG34" s="28" t="s">
        <v>258</v>
      </c>
      <c r="AH34" s="281">
        <f>100/AH5*AH33/100</f>
        <v>0.29400000000000004</v>
      </c>
      <c r="AI34" s="281"/>
      <c r="AJ34" s="281">
        <f>100/AJ5*AJ33/100</f>
        <v>0.21933333333333332</v>
      </c>
      <c r="AK34" s="281"/>
      <c r="AL34" s="281">
        <f>100/AL5*AL33/100</f>
        <v>0.22633333333333333</v>
      </c>
      <c r="AM34" s="281"/>
      <c r="AN34" s="281">
        <f>100/AN5*AN33/100</f>
        <v>0.25987500000000002</v>
      </c>
      <c r="AO34" s="281"/>
      <c r="AP34" s="281">
        <f>100/AP5*AP33/100</f>
        <v>0.19872222222222219</v>
      </c>
      <c r="AQ34" s="281"/>
      <c r="AR34" s="281">
        <f>100/AR5*AR33/100</f>
        <v>0.18783333333333332</v>
      </c>
      <c r="AS34" s="281"/>
      <c r="AT34" s="281">
        <f>100/AT5*AT33/100</f>
        <v>0.18599999999999997</v>
      </c>
      <c r="AU34" s="281"/>
      <c r="AV34" s="31"/>
      <c r="AW34" s="24"/>
      <c r="AX34" s="54"/>
      <c r="AY34" s="61" t="s">
        <v>271</v>
      </c>
      <c r="AZ34" s="71"/>
      <c r="BA34" s="71" t="s">
        <v>272</v>
      </c>
      <c r="BB34" s="71"/>
      <c r="BC34" s="71"/>
      <c r="BD34" s="71"/>
      <c r="BE34" s="71"/>
      <c r="BF34" s="71"/>
      <c r="BG34" s="72"/>
      <c r="BH34" s="290"/>
      <c r="BI34" s="290"/>
      <c r="BJ34" s="290"/>
      <c r="BK34" s="290"/>
      <c r="BL34" s="290"/>
      <c r="BM34" s="290"/>
      <c r="BN34" s="290"/>
      <c r="BO34" s="290"/>
      <c r="BP34" s="290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8"/>
      <c r="CB34" s="27"/>
      <c r="CC34" s="27"/>
      <c r="CD34" s="28" t="s">
        <v>258</v>
      </c>
      <c r="CE34" s="281">
        <f>100/CE5*CE33/100</f>
        <v>0.17639999999999997</v>
      </c>
      <c r="CF34" s="281"/>
      <c r="CG34" s="281">
        <f>100/CG5*CG33/100</f>
        <v>0.21933333333333332</v>
      </c>
      <c r="CH34" s="281"/>
      <c r="CI34" s="281">
        <f>100/CI5*CI33/100</f>
        <v>0.21933333333333332</v>
      </c>
      <c r="CJ34" s="281"/>
      <c r="CK34" s="281">
        <f>100/CK5*CK33/100</f>
        <v>0.172375</v>
      </c>
      <c r="CL34" s="281"/>
      <c r="CM34" s="281">
        <f>100/CM5*CM33/100</f>
        <v>0.18122222222222223</v>
      </c>
      <c r="CN34" s="281"/>
      <c r="CO34" s="281">
        <f>100/CO5*CO33/100</f>
        <v>0.18899999999999995</v>
      </c>
      <c r="CP34" s="281"/>
      <c r="CQ34" s="281">
        <f>100/CQ5*CQ33/100</f>
        <v>0.19800000000000001</v>
      </c>
      <c r="CR34" s="281"/>
      <c r="CS34" s="31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</row>
    <row r="35" spans="1:200" s="23" customFormat="1" ht="14.25" customHeight="1">
      <c r="A35" s="73"/>
      <c r="B35" s="74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E35" s="27"/>
      <c r="AF35" s="27"/>
      <c r="AG35" s="28" t="s">
        <v>273</v>
      </c>
      <c r="AH35" s="70">
        <f>SUM(AH34:AU34)</f>
        <v>1.5720972222222223</v>
      </c>
      <c r="AI35" s="76">
        <f>AH35/7</f>
        <v>0.22458531746031746</v>
      </c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31"/>
      <c r="AW35" s="24"/>
      <c r="AX35" s="73"/>
      <c r="AY35" s="74"/>
      <c r="AZ35" s="282"/>
      <c r="BA35" s="282"/>
      <c r="BB35" s="282"/>
      <c r="BC35" s="282"/>
      <c r="BD35" s="282"/>
      <c r="BE35" s="282"/>
      <c r="BF35" s="282"/>
      <c r="BG35" s="282"/>
      <c r="BH35" s="282"/>
      <c r="BI35" s="282"/>
      <c r="BJ35" s="282"/>
      <c r="BK35" s="282"/>
      <c r="BL35" s="282"/>
      <c r="BM35" s="282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B35" s="27"/>
      <c r="CC35" s="27"/>
      <c r="CD35" s="28" t="s">
        <v>273</v>
      </c>
      <c r="CE35" s="70">
        <f>SUM(CE34:CR34)</f>
        <v>1.3556638888888886</v>
      </c>
      <c r="CF35" s="76">
        <f>CE35/7</f>
        <v>0.19366626984126981</v>
      </c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31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</row>
    <row r="36" spans="1:200" s="23" customFormat="1" ht="14.25" customHeight="1">
      <c r="A36" s="20"/>
      <c r="B36" s="74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E36" s="192"/>
      <c r="AF36" s="24"/>
      <c r="AG36" s="24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25"/>
      <c r="AV36" s="26"/>
      <c r="AW36" s="24"/>
      <c r="AX36" s="20"/>
      <c r="AY36" s="74"/>
      <c r="AZ36" s="282"/>
      <c r="BA36" s="282"/>
      <c r="BB36" s="282"/>
      <c r="BC36" s="282"/>
      <c r="BD36" s="282"/>
      <c r="BE36" s="282"/>
      <c r="BF36" s="282"/>
      <c r="BG36" s="282"/>
      <c r="BH36" s="282"/>
      <c r="BI36" s="282"/>
      <c r="BJ36" s="282"/>
      <c r="BK36" s="282"/>
      <c r="BL36" s="282"/>
      <c r="BM36" s="282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B36" s="192"/>
      <c r="CC36" s="24"/>
      <c r="CD36" s="24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25"/>
      <c r="CS36" s="26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</row>
    <row r="37" spans="1:200" s="23" customFormat="1" ht="14.25" customHeight="1">
      <c r="A37" s="20"/>
      <c r="B37" s="74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E37" s="24"/>
      <c r="AF37" s="24"/>
      <c r="AG37" s="24"/>
      <c r="AH37" s="78"/>
      <c r="AI37" s="25"/>
      <c r="AJ37" s="78"/>
      <c r="AK37" s="25"/>
      <c r="AL37" s="78"/>
      <c r="AM37" s="25"/>
      <c r="AN37" s="78"/>
      <c r="AO37" s="25"/>
      <c r="AP37" s="78"/>
      <c r="AQ37" s="25"/>
      <c r="AR37" s="78"/>
      <c r="AS37" s="25"/>
      <c r="AT37" s="78"/>
      <c r="AU37" s="25"/>
      <c r="AV37" s="26"/>
      <c r="AW37" s="24"/>
      <c r="AX37" s="20"/>
      <c r="AY37" s="74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B37" s="24"/>
      <c r="CC37" s="24"/>
      <c r="CD37" s="24"/>
      <c r="CE37" s="78"/>
      <c r="CF37" s="25"/>
      <c r="CG37" s="78"/>
      <c r="CH37" s="25"/>
      <c r="CI37" s="78"/>
      <c r="CJ37" s="25"/>
      <c r="CK37" s="78"/>
      <c r="CL37" s="25"/>
      <c r="CM37" s="78"/>
      <c r="CN37" s="25"/>
      <c r="CO37" s="78"/>
      <c r="CP37" s="25"/>
      <c r="CQ37" s="78"/>
      <c r="CR37" s="25"/>
      <c r="CS37" s="26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4"/>
      <c r="FC37" s="24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4"/>
      <c r="FP37" s="24"/>
      <c r="FQ37" s="24"/>
      <c r="FR37" s="24"/>
      <c r="FS37" s="24"/>
      <c r="FT37" s="24"/>
      <c r="FU37" s="24"/>
      <c r="FV37" s="24"/>
      <c r="FW37" s="24"/>
      <c r="FX37" s="24"/>
      <c r="FY37" s="24"/>
      <c r="FZ37" s="24"/>
      <c r="GA37" s="24"/>
      <c r="GB37" s="24"/>
      <c r="GC37" s="24"/>
      <c r="GD37" s="24"/>
      <c r="GE37" s="24"/>
      <c r="GF37" s="24"/>
      <c r="GG37" s="24"/>
      <c r="GH37" s="24"/>
      <c r="GI37" s="24"/>
      <c r="GJ37" s="24"/>
      <c r="GK37" s="24"/>
      <c r="GL37" s="24"/>
      <c r="GM37" s="24"/>
      <c r="GN37" s="24"/>
      <c r="GO37" s="24"/>
      <c r="GP37" s="24"/>
      <c r="GQ37" s="24"/>
      <c r="GR37" s="24"/>
    </row>
    <row r="38" spans="1:200" s="23" customFormat="1" ht="14.25" customHeight="1">
      <c r="A38" s="348" t="s">
        <v>366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348"/>
      <c r="AB38" s="348"/>
      <c r="AC38" s="348"/>
      <c r="AD38" s="348"/>
      <c r="AE38" s="27"/>
      <c r="AF38" s="27"/>
      <c r="AG38" s="28" t="s">
        <v>244</v>
      </c>
      <c r="AH38" s="336" t="s">
        <v>245</v>
      </c>
      <c r="AI38" s="336"/>
      <c r="AJ38" s="29">
        <v>28</v>
      </c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1"/>
      <c r="AW38" s="24"/>
      <c r="AX38" s="348" t="s">
        <v>366</v>
      </c>
      <c r="AY38" s="348"/>
      <c r="AZ38" s="348"/>
      <c r="BA38" s="348"/>
      <c r="BB38" s="348"/>
      <c r="BC38" s="348"/>
      <c r="BD38" s="348"/>
      <c r="BE38" s="348"/>
      <c r="BF38" s="348"/>
      <c r="BG38" s="348"/>
      <c r="BH38" s="348"/>
      <c r="BI38" s="348"/>
      <c r="BJ38" s="348"/>
      <c r="BK38" s="348"/>
      <c r="BL38" s="348"/>
      <c r="BM38" s="348"/>
      <c r="BN38" s="348"/>
      <c r="BO38" s="348"/>
      <c r="BP38" s="348"/>
      <c r="BQ38" s="348"/>
      <c r="BR38" s="348"/>
      <c r="BS38" s="348"/>
      <c r="BT38" s="348"/>
      <c r="BU38" s="348"/>
      <c r="BV38" s="348"/>
      <c r="BW38" s="348"/>
      <c r="BX38" s="348"/>
      <c r="BY38" s="348"/>
      <c r="BZ38" s="348"/>
      <c r="CA38" s="348"/>
      <c r="CB38" s="27"/>
      <c r="CC38" s="27"/>
      <c r="CD38" s="28" t="s">
        <v>244</v>
      </c>
      <c r="CE38" s="336" t="s">
        <v>245</v>
      </c>
      <c r="CF38" s="336"/>
      <c r="CG38" s="29">
        <v>28</v>
      </c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1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</row>
    <row r="39" spans="1:200" s="23" customFormat="1" ht="14.25" customHeight="1" thickBot="1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27"/>
      <c r="AF39" s="27"/>
      <c r="AG39" s="32" t="str">
        <f>A40</f>
        <v>KW3</v>
      </c>
      <c r="AH39" s="337" t="s">
        <v>246</v>
      </c>
      <c r="AI39" s="337"/>
      <c r="AJ39" s="33">
        <v>42</v>
      </c>
      <c r="AK39" s="34">
        <f>AJ39/100</f>
        <v>0.42</v>
      </c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1"/>
      <c r="AW39" s="24"/>
      <c r="AX39" s="349"/>
      <c r="AY39" s="349"/>
      <c r="AZ39" s="349"/>
      <c r="BA39" s="349"/>
      <c r="BB39" s="349"/>
      <c r="BC39" s="349"/>
      <c r="BD39" s="349"/>
      <c r="BE39" s="349"/>
      <c r="BF39" s="349"/>
      <c r="BG39" s="349"/>
      <c r="BH39" s="349"/>
      <c r="BI39" s="349"/>
      <c r="BJ39" s="349"/>
      <c r="BK39" s="349"/>
      <c r="BL39" s="349"/>
      <c r="BM39" s="349"/>
      <c r="BN39" s="349"/>
      <c r="BO39" s="349"/>
      <c r="BP39" s="349"/>
      <c r="BQ39" s="349"/>
      <c r="BR39" s="349"/>
      <c r="BS39" s="349"/>
      <c r="BT39" s="349"/>
      <c r="BU39" s="349"/>
      <c r="BV39" s="349"/>
      <c r="BW39" s="349"/>
      <c r="BX39" s="349"/>
      <c r="BY39" s="349"/>
      <c r="BZ39" s="349"/>
      <c r="CA39" s="349"/>
      <c r="CB39" s="27"/>
      <c r="CC39" s="27"/>
      <c r="CD39" s="32" t="str">
        <f>AX40</f>
        <v>KW 4</v>
      </c>
      <c r="CE39" s="337" t="s">
        <v>246</v>
      </c>
      <c r="CF39" s="337"/>
      <c r="CG39" s="33">
        <v>42</v>
      </c>
      <c r="CH39" s="34">
        <f>CG39/100</f>
        <v>0.42</v>
      </c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1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</row>
    <row r="40" spans="1:200" s="23" customFormat="1" ht="14.25" customHeight="1" thickBot="1">
      <c r="A40" s="338" t="s">
        <v>409</v>
      </c>
      <c r="B40" s="339" t="s">
        <v>247</v>
      </c>
      <c r="C40" s="331" t="s">
        <v>248</v>
      </c>
      <c r="D40" s="331"/>
      <c r="E40" s="331"/>
      <c r="F40" s="331"/>
      <c r="G40" s="330" t="s">
        <v>249</v>
      </c>
      <c r="H40" s="330"/>
      <c r="I40" s="330"/>
      <c r="J40" s="330"/>
      <c r="K40" s="331" t="s">
        <v>250</v>
      </c>
      <c r="L40" s="331"/>
      <c r="M40" s="331"/>
      <c r="N40" s="331"/>
      <c r="O40" s="331" t="s">
        <v>251</v>
      </c>
      <c r="P40" s="331"/>
      <c r="Q40" s="331"/>
      <c r="R40" s="331"/>
      <c r="S40" s="331" t="s">
        <v>252</v>
      </c>
      <c r="T40" s="331"/>
      <c r="U40" s="331"/>
      <c r="V40" s="331"/>
      <c r="W40" s="331" t="s">
        <v>253</v>
      </c>
      <c r="X40" s="331"/>
      <c r="Y40" s="331"/>
      <c r="Z40" s="331"/>
      <c r="AA40" s="331" t="s">
        <v>254</v>
      </c>
      <c r="AB40" s="331"/>
      <c r="AC40" s="331"/>
      <c r="AD40" s="331"/>
      <c r="AE40" s="342" t="s">
        <v>255</v>
      </c>
      <c r="AF40" s="343" t="s">
        <v>256</v>
      </c>
      <c r="AG40" s="344" t="s">
        <v>257</v>
      </c>
      <c r="AH40" s="329" t="str">
        <f>C40</f>
        <v>MONTAG</v>
      </c>
      <c r="AI40" s="329"/>
      <c r="AJ40" s="329" t="str">
        <f>G40</f>
        <v>DIENSTAG</v>
      </c>
      <c r="AK40" s="329"/>
      <c r="AL40" s="329" t="str">
        <f>K40</f>
        <v>MITTWOCH</v>
      </c>
      <c r="AM40" s="329"/>
      <c r="AN40" s="329" t="str">
        <f>O40</f>
        <v>DONNERSTAG</v>
      </c>
      <c r="AO40" s="329"/>
      <c r="AP40" s="329" t="str">
        <f>S40</f>
        <v>FREITAG</v>
      </c>
      <c r="AQ40" s="329"/>
      <c r="AR40" s="329" t="str">
        <f>W40</f>
        <v>SAMSTAG</v>
      </c>
      <c r="AS40" s="329"/>
      <c r="AT40" s="329" t="str">
        <f>AA40</f>
        <v>SONNTAG</v>
      </c>
      <c r="AU40" s="329"/>
      <c r="AV40" s="35"/>
      <c r="AW40" s="24"/>
      <c r="AX40" s="338" t="s">
        <v>410</v>
      </c>
      <c r="AY40" s="339" t="s">
        <v>247</v>
      </c>
      <c r="AZ40" s="331" t="s">
        <v>248</v>
      </c>
      <c r="BA40" s="331"/>
      <c r="BB40" s="331"/>
      <c r="BC40" s="331"/>
      <c r="BD40" s="330" t="s">
        <v>249</v>
      </c>
      <c r="BE40" s="330"/>
      <c r="BF40" s="330"/>
      <c r="BG40" s="330"/>
      <c r="BH40" s="331" t="s">
        <v>250</v>
      </c>
      <c r="BI40" s="331"/>
      <c r="BJ40" s="331"/>
      <c r="BK40" s="331"/>
      <c r="BL40" s="331" t="s">
        <v>251</v>
      </c>
      <c r="BM40" s="331"/>
      <c r="BN40" s="331"/>
      <c r="BO40" s="331"/>
      <c r="BP40" s="331" t="s">
        <v>252</v>
      </c>
      <c r="BQ40" s="331"/>
      <c r="BR40" s="331"/>
      <c r="BS40" s="331"/>
      <c r="BT40" s="331" t="s">
        <v>253</v>
      </c>
      <c r="BU40" s="331"/>
      <c r="BV40" s="331"/>
      <c r="BW40" s="331"/>
      <c r="BX40" s="331" t="s">
        <v>254</v>
      </c>
      <c r="BY40" s="331"/>
      <c r="BZ40" s="331"/>
      <c r="CA40" s="331"/>
      <c r="CB40" s="342" t="s">
        <v>255</v>
      </c>
      <c r="CC40" s="343" t="s">
        <v>256</v>
      </c>
      <c r="CD40" s="344" t="s">
        <v>257</v>
      </c>
      <c r="CE40" s="329" t="str">
        <f>AZ40</f>
        <v>MONTAG</v>
      </c>
      <c r="CF40" s="329"/>
      <c r="CG40" s="329" t="str">
        <f>BD40</f>
        <v>DIENSTAG</v>
      </c>
      <c r="CH40" s="329"/>
      <c r="CI40" s="329" t="str">
        <f>BH40</f>
        <v>MITTWOCH</v>
      </c>
      <c r="CJ40" s="329"/>
      <c r="CK40" s="329" t="str">
        <f>BL40</f>
        <v>DONNERSTAG</v>
      </c>
      <c r="CL40" s="329"/>
      <c r="CM40" s="329" t="str">
        <f>BP40</f>
        <v>FREITAG</v>
      </c>
      <c r="CN40" s="329"/>
      <c r="CO40" s="329" t="str">
        <f>BT40</f>
        <v>SAMSTAG</v>
      </c>
      <c r="CP40" s="329"/>
      <c r="CQ40" s="329" t="str">
        <f>BX40</f>
        <v>SONNTAG</v>
      </c>
      <c r="CR40" s="329"/>
      <c r="CS40" s="35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</row>
    <row r="41" spans="1:200" s="23" customFormat="1" ht="14.25" customHeight="1" thickBot="1">
      <c r="A41" s="338"/>
      <c r="B41" s="339"/>
      <c r="C41" s="330">
        <v>46062</v>
      </c>
      <c r="D41" s="330"/>
      <c r="E41" s="330"/>
      <c r="F41" s="330"/>
      <c r="G41" s="331">
        <f>C41+1</f>
        <v>46063</v>
      </c>
      <c r="H41" s="331"/>
      <c r="I41" s="331"/>
      <c r="J41" s="331"/>
      <c r="K41" s="332">
        <f>G41+1</f>
        <v>46064</v>
      </c>
      <c r="L41" s="330"/>
      <c r="M41" s="330"/>
      <c r="N41" s="330"/>
      <c r="O41" s="330">
        <f>K41+1</f>
        <v>46065</v>
      </c>
      <c r="P41" s="330"/>
      <c r="Q41" s="330"/>
      <c r="R41" s="330"/>
      <c r="S41" s="330">
        <f>O41+1</f>
        <v>46066</v>
      </c>
      <c r="T41" s="330"/>
      <c r="U41" s="330"/>
      <c r="V41" s="330"/>
      <c r="W41" s="330">
        <f>S41+1</f>
        <v>46067</v>
      </c>
      <c r="X41" s="330"/>
      <c r="Y41" s="330"/>
      <c r="Z41" s="330"/>
      <c r="AA41" s="330">
        <f>W41+1</f>
        <v>46068</v>
      </c>
      <c r="AB41" s="330"/>
      <c r="AC41" s="330"/>
      <c r="AD41" s="330"/>
      <c r="AE41" s="342"/>
      <c r="AF41" s="343"/>
      <c r="AG41" s="344"/>
      <c r="AH41" s="333">
        <f>C41</f>
        <v>46062</v>
      </c>
      <c r="AI41" s="333"/>
      <c r="AJ41" s="334">
        <f>C41+1</f>
        <v>46063</v>
      </c>
      <c r="AK41" s="335"/>
      <c r="AL41" s="334">
        <f>G41+1</f>
        <v>46064</v>
      </c>
      <c r="AM41" s="335"/>
      <c r="AN41" s="334">
        <f>K41+1</f>
        <v>46065</v>
      </c>
      <c r="AO41" s="335"/>
      <c r="AP41" s="334">
        <f>S41</f>
        <v>46066</v>
      </c>
      <c r="AQ41" s="335"/>
      <c r="AR41" s="334">
        <f>W41</f>
        <v>46067</v>
      </c>
      <c r="AS41" s="335"/>
      <c r="AT41" s="334">
        <f>AA41</f>
        <v>46068</v>
      </c>
      <c r="AU41" s="335"/>
      <c r="AV41" s="35"/>
      <c r="AW41" s="24"/>
      <c r="AX41" s="338"/>
      <c r="AY41" s="339"/>
      <c r="AZ41" s="330">
        <v>46069</v>
      </c>
      <c r="BA41" s="330"/>
      <c r="BB41" s="330"/>
      <c r="BC41" s="330"/>
      <c r="BD41" s="331">
        <f>AZ41+1</f>
        <v>46070</v>
      </c>
      <c r="BE41" s="331"/>
      <c r="BF41" s="331"/>
      <c r="BG41" s="331"/>
      <c r="BH41" s="332">
        <f>BD41+1</f>
        <v>46071</v>
      </c>
      <c r="BI41" s="330"/>
      <c r="BJ41" s="330"/>
      <c r="BK41" s="330"/>
      <c r="BL41" s="330">
        <f>BH41+1</f>
        <v>46072</v>
      </c>
      <c r="BM41" s="330"/>
      <c r="BN41" s="330"/>
      <c r="BO41" s="330"/>
      <c r="BP41" s="330">
        <f>BL41+1</f>
        <v>46073</v>
      </c>
      <c r="BQ41" s="330"/>
      <c r="BR41" s="330"/>
      <c r="BS41" s="330"/>
      <c r="BT41" s="330">
        <f>BP41+1</f>
        <v>46074</v>
      </c>
      <c r="BU41" s="330"/>
      <c r="BV41" s="330"/>
      <c r="BW41" s="330"/>
      <c r="BX41" s="330">
        <f>BT41+1</f>
        <v>46075</v>
      </c>
      <c r="BY41" s="330"/>
      <c r="BZ41" s="330"/>
      <c r="CA41" s="330"/>
      <c r="CB41" s="342"/>
      <c r="CC41" s="343"/>
      <c r="CD41" s="344"/>
      <c r="CE41" s="333">
        <f>AZ41</f>
        <v>46069</v>
      </c>
      <c r="CF41" s="333"/>
      <c r="CG41" s="334">
        <f>AZ41+1</f>
        <v>46070</v>
      </c>
      <c r="CH41" s="335"/>
      <c r="CI41" s="334">
        <f>BD41+1</f>
        <v>46071</v>
      </c>
      <c r="CJ41" s="335"/>
      <c r="CK41" s="334">
        <f>BH41+1</f>
        <v>46072</v>
      </c>
      <c r="CL41" s="335"/>
      <c r="CM41" s="334">
        <f>BP41</f>
        <v>46073</v>
      </c>
      <c r="CN41" s="335"/>
      <c r="CO41" s="334">
        <f>BT41</f>
        <v>46074</v>
      </c>
      <c r="CP41" s="335"/>
      <c r="CQ41" s="334">
        <f>BX41</f>
        <v>46075</v>
      </c>
      <c r="CR41" s="335"/>
      <c r="CS41" s="35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4"/>
      <c r="FC41" s="24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4"/>
      <c r="FP41" s="24"/>
      <c r="FQ41" s="24"/>
      <c r="FR41" s="24"/>
      <c r="FS41" s="24"/>
      <c r="FT41" s="24"/>
      <c r="FU41" s="24"/>
      <c r="FV41" s="24"/>
      <c r="FW41" s="24"/>
      <c r="FX41" s="24"/>
      <c r="FY41" s="24"/>
      <c r="FZ41" s="24"/>
      <c r="GA41" s="24"/>
      <c r="GB41" s="24"/>
      <c r="GC41" s="24"/>
      <c r="GD41" s="24"/>
      <c r="GE41" s="24"/>
      <c r="GF41" s="24"/>
      <c r="GG41" s="24"/>
      <c r="GH41" s="24"/>
      <c r="GI41" s="24"/>
      <c r="GJ41" s="24"/>
      <c r="GK41" s="24"/>
      <c r="GL41" s="24"/>
      <c r="GM41" s="24"/>
      <c r="GN41" s="24"/>
      <c r="GO41" s="24"/>
      <c r="GP41" s="24"/>
      <c r="GQ41" s="24"/>
      <c r="GR41" s="24"/>
    </row>
    <row r="42" spans="1:200" s="23" customFormat="1" ht="14.25" customHeight="1" thickBot="1">
      <c r="A42" s="338"/>
      <c r="B42" s="339"/>
      <c r="C42" s="345" t="s">
        <v>258</v>
      </c>
      <c r="D42" s="345"/>
      <c r="E42" s="346">
        <f>AH70</f>
        <v>9.5199999999999993E-2</v>
      </c>
      <c r="F42" s="346"/>
      <c r="G42" s="293" t="s">
        <v>258</v>
      </c>
      <c r="H42" s="293"/>
      <c r="I42" s="294">
        <f>AJ70</f>
        <v>8.4000000000000019E-2</v>
      </c>
      <c r="J42" s="294"/>
      <c r="K42" s="347" t="s">
        <v>258</v>
      </c>
      <c r="L42" s="293"/>
      <c r="M42" s="294">
        <f>AL70</f>
        <v>8.4000000000000019E-2</v>
      </c>
      <c r="N42" s="294"/>
      <c r="O42" s="293" t="s">
        <v>258</v>
      </c>
      <c r="P42" s="293"/>
      <c r="Q42" s="294">
        <f>AN70</f>
        <v>9.3625000000000014E-2</v>
      </c>
      <c r="R42" s="294"/>
      <c r="S42" s="293" t="s">
        <v>258</v>
      </c>
      <c r="T42" s="293"/>
      <c r="U42" s="294">
        <f>AP70</f>
        <v>5.6388888888888884E-2</v>
      </c>
      <c r="V42" s="294"/>
      <c r="W42" s="293" t="s">
        <v>258</v>
      </c>
      <c r="X42" s="293"/>
      <c r="Y42" s="294">
        <f>AR70</f>
        <v>5.5999999999999994E-2</v>
      </c>
      <c r="Z42" s="294"/>
      <c r="AA42" s="293" t="s">
        <v>258</v>
      </c>
      <c r="AB42" s="293"/>
      <c r="AC42" s="294">
        <f>AT70</f>
        <v>7.3999999999999996E-2</v>
      </c>
      <c r="AD42" s="294"/>
      <c r="AE42" s="36">
        <f>AI71</f>
        <v>7.760198412698413E-2</v>
      </c>
      <c r="AF42" s="343"/>
      <c r="AG42" s="344"/>
      <c r="AH42" s="320">
        <v>5000</v>
      </c>
      <c r="AI42" s="320"/>
      <c r="AJ42" s="320">
        <v>6000</v>
      </c>
      <c r="AK42" s="320"/>
      <c r="AL42" s="320">
        <v>6000</v>
      </c>
      <c r="AM42" s="320"/>
      <c r="AN42" s="320">
        <v>8000</v>
      </c>
      <c r="AO42" s="320"/>
      <c r="AP42" s="320">
        <v>12000</v>
      </c>
      <c r="AQ42" s="320"/>
      <c r="AR42" s="320">
        <v>12000</v>
      </c>
      <c r="AS42" s="320"/>
      <c r="AT42" s="320">
        <v>7000</v>
      </c>
      <c r="AU42" s="320"/>
      <c r="AV42" s="35"/>
      <c r="AW42" s="24"/>
      <c r="AX42" s="338"/>
      <c r="AY42" s="339"/>
      <c r="AZ42" s="345" t="s">
        <v>258</v>
      </c>
      <c r="BA42" s="345"/>
      <c r="BB42" s="346">
        <f>CE70</f>
        <v>9.5199999999999993E-2</v>
      </c>
      <c r="BC42" s="346"/>
      <c r="BD42" s="293" t="s">
        <v>258</v>
      </c>
      <c r="BE42" s="293"/>
      <c r="BF42" s="294">
        <f>CG70</f>
        <v>8.4000000000000019E-2</v>
      </c>
      <c r="BG42" s="294"/>
      <c r="BH42" s="347" t="s">
        <v>258</v>
      </c>
      <c r="BI42" s="293"/>
      <c r="BJ42" s="294">
        <f>CI70</f>
        <v>8.4000000000000019E-2</v>
      </c>
      <c r="BK42" s="294"/>
      <c r="BL42" s="293" t="s">
        <v>258</v>
      </c>
      <c r="BM42" s="293"/>
      <c r="BN42" s="294">
        <f>CK70</f>
        <v>9.3625000000000014E-2</v>
      </c>
      <c r="BO42" s="294"/>
      <c r="BP42" s="293" t="s">
        <v>258</v>
      </c>
      <c r="BQ42" s="293"/>
      <c r="BR42" s="294">
        <f>CM70</f>
        <v>5.6388888888888884E-2</v>
      </c>
      <c r="BS42" s="294"/>
      <c r="BT42" s="293" t="s">
        <v>258</v>
      </c>
      <c r="BU42" s="293"/>
      <c r="BV42" s="294">
        <f>CO70</f>
        <v>5.5999999999999994E-2</v>
      </c>
      <c r="BW42" s="294"/>
      <c r="BX42" s="293" t="s">
        <v>258</v>
      </c>
      <c r="BY42" s="293"/>
      <c r="BZ42" s="294">
        <f>CQ70</f>
        <v>7.3999999999999996E-2</v>
      </c>
      <c r="CA42" s="294"/>
      <c r="CB42" s="36">
        <f>CF71</f>
        <v>7.760198412698413E-2</v>
      </c>
      <c r="CC42" s="343"/>
      <c r="CD42" s="344"/>
      <c r="CE42" s="320">
        <v>5000</v>
      </c>
      <c r="CF42" s="320"/>
      <c r="CG42" s="320">
        <v>6000</v>
      </c>
      <c r="CH42" s="320"/>
      <c r="CI42" s="320">
        <v>6000</v>
      </c>
      <c r="CJ42" s="320"/>
      <c r="CK42" s="320">
        <v>8000</v>
      </c>
      <c r="CL42" s="320"/>
      <c r="CM42" s="320">
        <v>12000</v>
      </c>
      <c r="CN42" s="320"/>
      <c r="CO42" s="320">
        <v>12000</v>
      </c>
      <c r="CP42" s="320"/>
      <c r="CQ42" s="320">
        <v>7000</v>
      </c>
      <c r="CR42" s="320"/>
      <c r="CS42" s="35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</row>
    <row r="43" spans="1:200" s="23" customFormat="1" ht="14.25" customHeight="1" thickBot="1">
      <c r="A43" s="338"/>
      <c r="B43" s="340"/>
      <c r="C43" s="221"/>
      <c r="D43" s="222"/>
      <c r="E43" s="223"/>
      <c r="F43" s="224"/>
      <c r="G43" s="221"/>
      <c r="H43" s="222"/>
      <c r="I43" s="223"/>
      <c r="J43" s="224"/>
      <c r="K43" s="221"/>
      <c r="L43" s="222"/>
      <c r="M43" s="223"/>
      <c r="N43" s="224"/>
      <c r="O43" s="221"/>
      <c r="P43" s="222"/>
      <c r="Q43" s="223"/>
      <c r="R43" s="224"/>
      <c r="S43" s="221"/>
      <c r="T43" s="222"/>
      <c r="U43" s="223"/>
      <c r="V43" s="224"/>
      <c r="W43" s="221"/>
      <c r="X43" s="222"/>
      <c r="Y43" s="223"/>
      <c r="Z43" s="224"/>
      <c r="AA43" s="221"/>
      <c r="AB43" s="222"/>
      <c r="AC43" s="223"/>
      <c r="AD43" s="224"/>
      <c r="AE43" s="38"/>
      <c r="AF43" s="343"/>
      <c r="AG43" s="344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35"/>
      <c r="AW43" s="24"/>
      <c r="AX43" s="338"/>
      <c r="AY43" s="340"/>
      <c r="AZ43" s="221"/>
      <c r="BA43" s="222"/>
      <c r="BB43" s="223"/>
      <c r="BC43" s="224"/>
      <c r="BD43" s="221"/>
      <c r="BE43" s="222"/>
      <c r="BF43" s="223"/>
      <c r="BG43" s="224"/>
      <c r="BH43" s="221"/>
      <c r="BI43" s="222"/>
      <c r="BJ43" s="223"/>
      <c r="BK43" s="224"/>
      <c r="BL43" s="221"/>
      <c r="BM43" s="222"/>
      <c r="BN43" s="223"/>
      <c r="BO43" s="224"/>
      <c r="BP43" s="221"/>
      <c r="BQ43" s="222"/>
      <c r="BR43" s="223"/>
      <c r="BS43" s="224"/>
      <c r="BT43" s="221"/>
      <c r="BU43" s="222"/>
      <c r="BV43" s="223"/>
      <c r="BW43" s="224"/>
      <c r="BX43" s="221"/>
      <c r="BY43" s="222"/>
      <c r="BZ43" s="223"/>
      <c r="CA43" s="224"/>
      <c r="CB43" s="38"/>
      <c r="CC43" s="343"/>
      <c r="CD43" s="344"/>
      <c r="CE43" s="220"/>
      <c r="CF43" s="220"/>
      <c r="CG43" s="220"/>
      <c r="CH43" s="220"/>
      <c r="CI43" s="220"/>
      <c r="CJ43" s="220"/>
      <c r="CK43" s="220"/>
      <c r="CL43" s="220"/>
      <c r="CM43" s="220"/>
      <c r="CN43" s="220"/>
      <c r="CO43" s="220"/>
      <c r="CP43" s="220"/>
      <c r="CQ43" s="220"/>
      <c r="CR43" s="220"/>
      <c r="CS43" s="35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</row>
    <row r="44" spans="1:200" s="23" customFormat="1" ht="14.25" customHeight="1" thickBot="1">
      <c r="A44" s="338"/>
      <c r="B44" s="340"/>
      <c r="C44" s="225"/>
      <c r="D44" s="226"/>
      <c r="E44" s="227"/>
      <c r="F44" s="228"/>
      <c r="G44" s="221"/>
      <c r="H44" s="222"/>
      <c r="I44" s="223"/>
      <c r="J44" s="224"/>
      <c r="K44" s="229"/>
      <c r="L44" s="222"/>
      <c r="M44" s="223"/>
      <c r="N44" s="224"/>
      <c r="O44" s="221"/>
      <c r="P44" s="222"/>
      <c r="Q44" s="223"/>
      <c r="R44" s="224"/>
      <c r="S44" s="221"/>
      <c r="T44" s="222"/>
      <c r="U44" s="223"/>
      <c r="V44" s="224"/>
      <c r="W44" s="221"/>
      <c r="X44" s="222"/>
      <c r="Y44" s="223"/>
      <c r="Z44" s="224"/>
      <c r="AA44" s="221"/>
      <c r="AB44" s="222"/>
      <c r="AC44" s="223"/>
      <c r="AD44" s="224"/>
      <c r="AE44" s="38"/>
      <c r="AF44" s="343"/>
      <c r="AG44" s="344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35"/>
      <c r="AW44" s="24"/>
      <c r="AX44" s="338"/>
      <c r="AY44" s="340"/>
      <c r="AZ44" s="225"/>
      <c r="BA44" s="226"/>
      <c r="BB44" s="227"/>
      <c r="BC44" s="228"/>
      <c r="BD44" s="221"/>
      <c r="BE44" s="222"/>
      <c r="BF44" s="223"/>
      <c r="BG44" s="224"/>
      <c r="BH44" s="229"/>
      <c r="BI44" s="222"/>
      <c r="BJ44" s="223"/>
      <c r="BK44" s="224"/>
      <c r="BL44" s="221"/>
      <c r="BM44" s="222"/>
      <c r="BN44" s="223"/>
      <c r="BO44" s="224"/>
      <c r="BP44" s="221"/>
      <c r="BQ44" s="222"/>
      <c r="BR44" s="223"/>
      <c r="BS44" s="224"/>
      <c r="BT44" s="221"/>
      <c r="BU44" s="222"/>
      <c r="BV44" s="223"/>
      <c r="BW44" s="224"/>
      <c r="BX44" s="221"/>
      <c r="BY44" s="222"/>
      <c r="BZ44" s="223"/>
      <c r="CA44" s="224"/>
      <c r="CB44" s="38"/>
      <c r="CC44" s="343"/>
      <c r="CD44" s="344"/>
      <c r="CE44" s="220"/>
      <c r="CF44" s="220"/>
      <c r="CG44" s="220"/>
      <c r="CH44" s="220"/>
      <c r="CI44" s="220"/>
      <c r="CJ44" s="220"/>
      <c r="CK44" s="220"/>
      <c r="CL44" s="220"/>
      <c r="CM44" s="220"/>
      <c r="CN44" s="220"/>
      <c r="CO44" s="220"/>
      <c r="CP44" s="220"/>
      <c r="CQ44" s="220"/>
      <c r="CR44" s="220"/>
      <c r="CS44" s="35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4"/>
      <c r="EY44" s="24"/>
      <c r="EZ44" s="24"/>
      <c r="FA44" s="24"/>
      <c r="FB44" s="24"/>
      <c r="FC44" s="24"/>
      <c r="FD44" s="24"/>
      <c r="FE44" s="24"/>
      <c r="FF44" s="24"/>
      <c r="FG44" s="24"/>
      <c r="FH44" s="24"/>
      <c r="FI44" s="24"/>
      <c r="FJ44" s="24"/>
      <c r="FK44" s="24"/>
      <c r="FL44" s="24"/>
      <c r="FM44" s="24"/>
      <c r="FN44" s="24"/>
      <c r="FO44" s="24"/>
      <c r="FP44" s="24"/>
      <c r="FQ44" s="24"/>
      <c r="FR44" s="24"/>
      <c r="FS44" s="24"/>
      <c r="FT44" s="24"/>
      <c r="FU44" s="24"/>
      <c r="FV44" s="24"/>
      <c r="FW44" s="24"/>
      <c r="FX44" s="24"/>
      <c r="FY44" s="24"/>
      <c r="FZ44" s="24"/>
      <c r="GA44" s="24"/>
      <c r="GB44" s="24"/>
      <c r="GC44" s="24"/>
      <c r="GD44" s="24"/>
      <c r="GE44" s="24"/>
      <c r="GF44" s="24"/>
      <c r="GG44" s="24"/>
      <c r="GH44" s="24"/>
      <c r="GI44" s="24"/>
      <c r="GJ44" s="24"/>
      <c r="GK44" s="24"/>
      <c r="GL44" s="24"/>
      <c r="GM44" s="24"/>
      <c r="GN44" s="24"/>
      <c r="GO44" s="24"/>
      <c r="GP44" s="24"/>
      <c r="GQ44" s="24"/>
      <c r="GR44" s="24"/>
    </row>
    <row r="45" spans="1:200" s="23" customFormat="1" ht="14.25" customHeight="1" thickBot="1">
      <c r="A45" s="338"/>
      <c r="B45" s="340"/>
      <c r="C45" s="225"/>
      <c r="D45" s="226"/>
      <c r="E45" s="227"/>
      <c r="F45" s="228"/>
      <c r="G45" s="221"/>
      <c r="H45" s="222"/>
      <c r="I45" s="223"/>
      <c r="J45" s="224"/>
      <c r="K45" s="229"/>
      <c r="L45" s="222"/>
      <c r="M45" s="223"/>
      <c r="N45" s="224"/>
      <c r="O45" s="221"/>
      <c r="P45" s="222"/>
      <c r="Q45" s="223"/>
      <c r="R45" s="224"/>
      <c r="S45" s="221"/>
      <c r="T45" s="222"/>
      <c r="U45" s="223"/>
      <c r="V45" s="224"/>
      <c r="W45" s="221"/>
      <c r="X45" s="222"/>
      <c r="Y45" s="223"/>
      <c r="Z45" s="224"/>
      <c r="AA45" s="221"/>
      <c r="AB45" s="222"/>
      <c r="AC45" s="223"/>
      <c r="AD45" s="224"/>
      <c r="AE45" s="38"/>
      <c r="AF45" s="343"/>
      <c r="AG45" s="344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35"/>
      <c r="AW45" s="24"/>
      <c r="AX45" s="338"/>
      <c r="AY45" s="340"/>
      <c r="AZ45" s="225"/>
      <c r="BA45" s="226"/>
      <c r="BB45" s="227"/>
      <c r="BC45" s="228"/>
      <c r="BD45" s="221"/>
      <c r="BE45" s="222"/>
      <c r="BF45" s="223"/>
      <c r="BG45" s="224"/>
      <c r="BH45" s="229"/>
      <c r="BI45" s="222"/>
      <c r="BJ45" s="223"/>
      <c r="BK45" s="224"/>
      <c r="BL45" s="221"/>
      <c r="BM45" s="222"/>
      <c r="BN45" s="223"/>
      <c r="BO45" s="224"/>
      <c r="BP45" s="221"/>
      <c r="BQ45" s="222"/>
      <c r="BR45" s="223"/>
      <c r="BS45" s="224"/>
      <c r="BT45" s="221"/>
      <c r="BU45" s="222"/>
      <c r="BV45" s="223"/>
      <c r="BW45" s="224"/>
      <c r="BX45" s="221"/>
      <c r="BY45" s="222"/>
      <c r="BZ45" s="223"/>
      <c r="CA45" s="224"/>
      <c r="CB45" s="38"/>
      <c r="CC45" s="343"/>
      <c r="CD45" s="344"/>
      <c r="CE45" s="220"/>
      <c r="CF45" s="220"/>
      <c r="CG45" s="220"/>
      <c r="CH45" s="220"/>
      <c r="CI45" s="220"/>
      <c r="CJ45" s="220"/>
      <c r="CK45" s="220"/>
      <c r="CL45" s="220"/>
      <c r="CM45" s="220"/>
      <c r="CN45" s="220"/>
      <c r="CO45" s="220"/>
      <c r="CP45" s="220"/>
      <c r="CQ45" s="220"/>
      <c r="CR45" s="220"/>
      <c r="CS45" s="35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4"/>
      <c r="FC45" s="24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4"/>
      <c r="FP45" s="24"/>
      <c r="FQ45" s="24"/>
      <c r="FR45" s="24"/>
      <c r="FS45" s="24"/>
      <c r="FT45" s="24"/>
      <c r="FU45" s="24"/>
      <c r="FV45" s="24"/>
      <c r="FW45" s="24"/>
      <c r="FX45" s="24"/>
      <c r="FY45" s="24"/>
      <c r="FZ45" s="24"/>
      <c r="GA45" s="24"/>
      <c r="GB45" s="24"/>
      <c r="GC45" s="24"/>
      <c r="GD45" s="24"/>
      <c r="GE45" s="24"/>
      <c r="GF45" s="24"/>
      <c r="GG45" s="24"/>
      <c r="GH45" s="24"/>
      <c r="GI45" s="24"/>
      <c r="GJ45" s="24"/>
      <c r="GK45" s="24"/>
      <c r="GL45" s="24"/>
      <c r="GM45" s="24"/>
      <c r="GN45" s="24"/>
      <c r="GO45" s="24"/>
      <c r="GP45" s="24"/>
      <c r="GQ45" s="24"/>
      <c r="GR45" s="24"/>
    </row>
    <row r="46" spans="1:200" s="23" customFormat="1" ht="14.25" customHeight="1" thickBot="1">
      <c r="A46" s="338"/>
      <c r="B46" s="341"/>
      <c r="C46" s="322" t="s">
        <v>259</v>
      </c>
      <c r="D46" s="322"/>
      <c r="E46" s="323" t="s">
        <v>260</v>
      </c>
      <c r="F46" s="323"/>
      <c r="G46" s="324" t="s">
        <v>259</v>
      </c>
      <c r="H46" s="324"/>
      <c r="I46" s="325" t="s">
        <v>260</v>
      </c>
      <c r="J46" s="325"/>
      <c r="K46" s="326" t="s">
        <v>259</v>
      </c>
      <c r="L46" s="324"/>
      <c r="M46" s="325" t="s">
        <v>260</v>
      </c>
      <c r="N46" s="325"/>
      <c r="O46" s="324" t="s">
        <v>259</v>
      </c>
      <c r="P46" s="324"/>
      <c r="Q46" s="325" t="s">
        <v>260</v>
      </c>
      <c r="R46" s="325"/>
      <c r="S46" s="327" t="s">
        <v>259</v>
      </c>
      <c r="T46" s="327"/>
      <c r="U46" s="328" t="s">
        <v>260</v>
      </c>
      <c r="V46" s="328"/>
      <c r="W46" s="327" t="s">
        <v>259</v>
      </c>
      <c r="X46" s="327"/>
      <c r="Y46" s="328" t="s">
        <v>260</v>
      </c>
      <c r="Z46" s="328"/>
      <c r="AA46" s="324" t="s">
        <v>259</v>
      </c>
      <c r="AB46" s="324"/>
      <c r="AC46" s="325" t="s">
        <v>260</v>
      </c>
      <c r="AD46" s="325"/>
      <c r="AE46" s="38" t="s">
        <v>261</v>
      </c>
      <c r="AF46" s="343"/>
      <c r="AG46" s="344"/>
      <c r="AH46" s="39" t="s">
        <v>259</v>
      </c>
      <c r="AI46" s="40" t="s">
        <v>260</v>
      </c>
      <c r="AJ46" s="39" t="s">
        <v>259</v>
      </c>
      <c r="AK46" s="40" t="s">
        <v>260</v>
      </c>
      <c r="AL46" s="39" t="s">
        <v>259</v>
      </c>
      <c r="AM46" s="40" t="s">
        <v>260</v>
      </c>
      <c r="AN46" s="39" t="s">
        <v>259</v>
      </c>
      <c r="AO46" s="40" t="s">
        <v>260</v>
      </c>
      <c r="AP46" s="39" t="s">
        <v>259</v>
      </c>
      <c r="AQ46" s="40" t="s">
        <v>260</v>
      </c>
      <c r="AR46" s="39" t="s">
        <v>259</v>
      </c>
      <c r="AS46" s="40" t="s">
        <v>260</v>
      </c>
      <c r="AT46" s="39" t="s">
        <v>259</v>
      </c>
      <c r="AU46" s="40" t="s">
        <v>260</v>
      </c>
      <c r="AV46" s="31"/>
      <c r="AW46" s="24"/>
      <c r="AX46" s="338"/>
      <c r="AY46" s="341"/>
      <c r="AZ46" s="322" t="s">
        <v>259</v>
      </c>
      <c r="BA46" s="322"/>
      <c r="BB46" s="323" t="s">
        <v>260</v>
      </c>
      <c r="BC46" s="323"/>
      <c r="BD46" s="324" t="s">
        <v>259</v>
      </c>
      <c r="BE46" s="324"/>
      <c r="BF46" s="325" t="s">
        <v>260</v>
      </c>
      <c r="BG46" s="325"/>
      <c r="BH46" s="326" t="s">
        <v>259</v>
      </c>
      <c r="BI46" s="324"/>
      <c r="BJ46" s="325" t="s">
        <v>260</v>
      </c>
      <c r="BK46" s="325"/>
      <c r="BL46" s="324" t="s">
        <v>259</v>
      </c>
      <c r="BM46" s="324"/>
      <c r="BN46" s="325" t="s">
        <v>260</v>
      </c>
      <c r="BO46" s="325"/>
      <c r="BP46" s="327" t="s">
        <v>259</v>
      </c>
      <c r="BQ46" s="327"/>
      <c r="BR46" s="328" t="s">
        <v>260</v>
      </c>
      <c r="BS46" s="328"/>
      <c r="BT46" s="327" t="s">
        <v>259</v>
      </c>
      <c r="BU46" s="327"/>
      <c r="BV46" s="328" t="s">
        <v>260</v>
      </c>
      <c r="BW46" s="328"/>
      <c r="BX46" s="324" t="s">
        <v>259</v>
      </c>
      <c r="BY46" s="324"/>
      <c r="BZ46" s="325" t="s">
        <v>260</v>
      </c>
      <c r="CA46" s="325"/>
      <c r="CB46" s="38" t="s">
        <v>261</v>
      </c>
      <c r="CC46" s="343"/>
      <c r="CD46" s="344"/>
      <c r="CE46" s="39" t="s">
        <v>259</v>
      </c>
      <c r="CF46" s="40" t="s">
        <v>260</v>
      </c>
      <c r="CG46" s="39" t="s">
        <v>259</v>
      </c>
      <c r="CH46" s="40" t="s">
        <v>260</v>
      </c>
      <c r="CI46" s="39" t="s">
        <v>259</v>
      </c>
      <c r="CJ46" s="40" t="s">
        <v>260</v>
      </c>
      <c r="CK46" s="39" t="s">
        <v>259</v>
      </c>
      <c r="CL46" s="40" t="s">
        <v>260</v>
      </c>
      <c r="CM46" s="39" t="s">
        <v>259</v>
      </c>
      <c r="CN46" s="40" t="s">
        <v>260</v>
      </c>
      <c r="CO46" s="39" t="s">
        <v>259</v>
      </c>
      <c r="CP46" s="40" t="s">
        <v>260</v>
      </c>
      <c r="CQ46" s="39" t="s">
        <v>259</v>
      </c>
      <c r="CR46" s="40" t="s">
        <v>260</v>
      </c>
      <c r="CS46" s="31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</row>
    <row r="47" spans="1:200" s="23" customFormat="1" ht="14.25" customHeight="1">
      <c r="A47" s="213"/>
      <c r="B47" s="231"/>
      <c r="C47" s="243"/>
      <c r="D47" s="244"/>
      <c r="E47" s="244"/>
      <c r="F47" s="245"/>
      <c r="G47" s="243"/>
      <c r="H47" s="244"/>
      <c r="I47" s="244"/>
      <c r="J47" s="245"/>
      <c r="K47" s="243"/>
      <c r="L47" s="244"/>
      <c r="M47" s="244"/>
      <c r="N47" s="245"/>
      <c r="O47" s="243"/>
      <c r="P47" s="244"/>
      <c r="Q47" s="244"/>
      <c r="R47" s="245"/>
      <c r="S47" s="243"/>
      <c r="T47" s="244"/>
      <c r="U47" s="244"/>
      <c r="V47" s="245"/>
      <c r="W47" s="243"/>
      <c r="X47" s="244"/>
      <c r="Y47" s="244"/>
      <c r="Z47" s="245"/>
      <c r="AA47" s="217"/>
      <c r="AB47" s="214"/>
      <c r="AC47" s="214"/>
      <c r="AD47" s="215"/>
      <c r="AE47" s="237"/>
      <c r="AF47" s="193"/>
      <c r="AG47" s="344"/>
      <c r="AH47" s="191">
        <f t="shared" ref="AH47:AH48" si="39">IF(ISERROR(VALUE((MOD(D47-C47,1))))=TRUE,0,MOD(D47-C47,1))</f>
        <v>0</v>
      </c>
      <c r="AI47" s="191">
        <f t="shared" ref="AI47:AI63" si="40">IF(ISERROR(VALUE((MOD(F47-E47,1))))=TRUE,0,MOD(F47-E47,1))</f>
        <v>0</v>
      </c>
      <c r="AJ47" s="191">
        <f t="shared" ref="AJ47:AJ51" si="41">IF(ISERROR(VALUE((MOD(H47-G47,1))))=TRUE,0,MOD(H47-G47,1))</f>
        <v>0</v>
      </c>
      <c r="AK47" s="191">
        <f t="shared" ref="AK47:AK51" si="42">IF(ISERROR(VALUE((MOD(J47-I47,1))))=TRUE,0,MOD(J47-I47,1))</f>
        <v>0</v>
      </c>
      <c r="AL47" s="191">
        <f t="shared" ref="AL47:AL63" si="43">IF(ISERROR(VALUE((MOD(L47-K47,1))))=TRUE,0,MOD(L47-K47,1))</f>
        <v>0</v>
      </c>
      <c r="AM47" s="191">
        <f t="shared" ref="AM47:AM63" si="44">IF(ISERROR(VALUE((MOD(N47-M47,1))))=TRUE,0,MOD(N47-M47,1))</f>
        <v>0</v>
      </c>
      <c r="AN47" s="191">
        <f t="shared" ref="AN47:AN63" si="45">IF(ISERROR(VALUE((MOD(P47-O47,1))))=TRUE,0,MOD(P47-O47,1))</f>
        <v>0</v>
      </c>
      <c r="AO47" s="191">
        <f t="shared" ref="AO47:AO63" si="46">IF(ISERROR(VALUE((MOD(R47-Q47,1))))=TRUE,0,MOD(R47-Q47,1))</f>
        <v>0</v>
      </c>
      <c r="AP47" s="191">
        <f t="shared" ref="AP47:AP63" si="47">IF(ISERROR(VALUE((MOD(T47-S47,1))))=TRUE,0,MOD(T47-S47,1))</f>
        <v>0</v>
      </c>
      <c r="AQ47" s="191">
        <f t="shared" ref="AQ47:AQ63" si="48">IF(ISERROR(VALUE((MOD(V47-U47,1))))=TRUE,0,MOD(V47-U47,1))</f>
        <v>0</v>
      </c>
      <c r="AR47" s="191">
        <f t="shared" ref="AR47:AR63" si="49">IF(ISERROR(VALUE((MOD(X47-W47,1))))=TRUE,0,MOD(X47-W47,1))</f>
        <v>0</v>
      </c>
      <c r="AS47" s="191">
        <f t="shared" ref="AS47:AS63" si="50">IF(ISERROR(VALUE((MOD(Z47-Y47,1))))=TRUE,0,MOD(Z47-Y47,1))</f>
        <v>0</v>
      </c>
      <c r="AT47" s="191">
        <f t="shared" ref="AT47" si="51">IF(ISERROR(VALUE((MOD(AB47-AA47,1))))=TRUE,0,MOD(AB47-AA47,1))</f>
        <v>0</v>
      </c>
      <c r="AU47" s="191">
        <f t="shared" ref="AU47" si="52">IF(ISERROR(VALUE((MOD(AD47-AC47,1))))=TRUE,0,MOD(AD47-AC47,1))</f>
        <v>0</v>
      </c>
      <c r="AV47" s="31"/>
      <c r="AW47" s="24"/>
      <c r="AX47" s="213"/>
      <c r="AY47" s="231"/>
      <c r="AZ47" s="243"/>
      <c r="BA47" s="244"/>
      <c r="BB47" s="244"/>
      <c r="BC47" s="245"/>
      <c r="BD47" s="243"/>
      <c r="BE47" s="244"/>
      <c r="BF47" s="244"/>
      <c r="BG47" s="245"/>
      <c r="BH47" s="243"/>
      <c r="BI47" s="244"/>
      <c r="BJ47" s="244"/>
      <c r="BK47" s="245"/>
      <c r="BL47" s="243"/>
      <c r="BM47" s="244"/>
      <c r="BN47" s="244"/>
      <c r="BO47" s="245"/>
      <c r="BP47" s="243"/>
      <c r="BQ47" s="244"/>
      <c r="BR47" s="244"/>
      <c r="BS47" s="245"/>
      <c r="BT47" s="243"/>
      <c r="BU47" s="244"/>
      <c r="BV47" s="244"/>
      <c r="BW47" s="245"/>
      <c r="BX47" s="217"/>
      <c r="BY47" s="214"/>
      <c r="BZ47" s="214"/>
      <c r="CA47" s="215"/>
      <c r="CB47" s="237"/>
      <c r="CC47" s="193"/>
      <c r="CD47" s="344"/>
      <c r="CE47" s="191">
        <f t="shared" ref="CE47:CE48" si="53">IF(ISERROR(VALUE((MOD(BA47-AZ47,1))))=TRUE,0,MOD(BA47-AZ47,1))</f>
        <v>0</v>
      </c>
      <c r="CF47" s="191">
        <f t="shared" ref="CF47:CF63" si="54">IF(ISERROR(VALUE((MOD(BC47-BB47,1))))=TRUE,0,MOD(BC47-BB47,1))</f>
        <v>0</v>
      </c>
      <c r="CG47" s="191">
        <f t="shared" ref="CG47:CG51" si="55">IF(ISERROR(VALUE((MOD(BE47-BD47,1))))=TRUE,0,MOD(BE47-BD47,1))</f>
        <v>0</v>
      </c>
      <c r="CH47" s="191">
        <f t="shared" ref="CH47:CH51" si="56">IF(ISERROR(VALUE((MOD(BG47-BF47,1))))=TRUE,0,MOD(BG47-BF47,1))</f>
        <v>0</v>
      </c>
      <c r="CI47" s="191">
        <f t="shared" ref="CI47:CI63" si="57">IF(ISERROR(VALUE((MOD(BI47-BH47,1))))=TRUE,0,MOD(BI47-BH47,1))</f>
        <v>0</v>
      </c>
      <c r="CJ47" s="191">
        <f t="shared" ref="CJ47:CJ63" si="58">IF(ISERROR(VALUE((MOD(BK47-BJ47,1))))=TRUE,0,MOD(BK47-BJ47,1))</f>
        <v>0</v>
      </c>
      <c r="CK47" s="191">
        <f t="shared" ref="CK47:CK63" si="59">IF(ISERROR(VALUE((MOD(BM47-BL47,1))))=TRUE,0,MOD(BM47-BL47,1))</f>
        <v>0</v>
      </c>
      <c r="CL47" s="191">
        <f t="shared" ref="CL47:CL63" si="60">IF(ISERROR(VALUE((MOD(BO47-BN47,1))))=TRUE,0,MOD(BO47-BN47,1))</f>
        <v>0</v>
      </c>
      <c r="CM47" s="191">
        <f t="shared" ref="CM47:CM63" si="61">IF(ISERROR(VALUE((MOD(BQ47-BP47,1))))=TRUE,0,MOD(BQ47-BP47,1))</f>
        <v>0</v>
      </c>
      <c r="CN47" s="191">
        <f t="shared" ref="CN47:CN63" si="62">IF(ISERROR(VALUE((MOD(BS47-BR47,1))))=TRUE,0,MOD(BS47-BR47,1))</f>
        <v>0</v>
      </c>
      <c r="CO47" s="191">
        <f t="shared" ref="CO47:CO63" si="63">IF(ISERROR(VALUE((MOD(BU47-BT47,1))))=TRUE,0,MOD(BU47-BT47,1))</f>
        <v>0</v>
      </c>
      <c r="CP47" s="191">
        <f t="shared" ref="CP47:CP63" si="64">IF(ISERROR(VALUE((MOD(BW47-BV47,1))))=TRUE,0,MOD(BW47-BV47,1))</f>
        <v>0</v>
      </c>
      <c r="CQ47" s="191">
        <f t="shared" ref="CQ47" si="65">IF(ISERROR(VALUE((MOD(BY47-BX47,1))))=TRUE,0,MOD(BY47-BX47,1))</f>
        <v>0</v>
      </c>
      <c r="CR47" s="191">
        <f t="shared" ref="CR47" si="66">IF(ISERROR(VALUE((MOD(CA47-BZ47,1))))=TRUE,0,MOD(CA47-BZ47,1))</f>
        <v>0</v>
      </c>
      <c r="CS47" s="31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4"/>
      <c r="FC47" s="24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4"/>
      <c r="FP47" s="24"/>
      <c r="FQ47" s="24"/>
      <c r="FR47" s="24"/>
      <c r="FS47" s="24"/>
      <c r="FT47" s="24"/>
      <c r="FU47" s="24"/>
      <c r="FV47" s="24"/>
      <c r="FW47" s="24"/>
      <c r="FX47" s="24"/>
      <c r="FY47" s="24"/>
      <c r="FZ47" s="24"/>
      <c r="GA47" s="24"/>
      <c r="GB47" s="24"/>
      <c r="GC47" s="24"/>
      <c r="GD47" s="24"/>
      <c r="GE47" s="24"/>
      <c r="GF47" s="24"/>
      <c r="GG47" s="24"/>
      <c r="GH47" s="24"/>
      <c r="GI47" s="24"/>
      <c r="GJ47" s="24"/>
      <c r="GK47" s="24"/>
      <c r="GL47" s="24"/>
      <c r="GM47" s="24"/>
      <c r="GN47" s="24"/>
      <c r="GO47" s="24"/>
      <c r="GP47" s="24"/>
      <c r="GQ47" s="24"/>
      <c r="GR47" s="24"/>
    </row>
    <row r="48" spans="1:200" s="23" customFormat="1" ht="14.25" customHeight="1">
      <c r="A48" s="213"/>
      <c r="B48" s="198" t="s">
        <v>377</v>
      </c>
      <c r="C48" s="217" t="s">
        <v>42</v>
      </c>
      <c r="D48" s="214" t="s">
        <v>42</v>
      </c>
      <c r="E48" s="214" t="s">
        <v>42</v>
      </c>
      <c r="F48" s="215" t="s">
        <v>42</v>
      </c>
      <c r="G48" s="217"/>
      <c r="H48" s="214"/>
      <c r="I48" s="214">
        <v>0.45833333333333331</v>
      </c>
      <c r="J48" s="215">
        <v>0.95833333333333337</v>
      </c>
      <c r="K48" s="217"/>
      <c r="L48" s="214"/>
      <c r="M48" s="214">
        <v>0.45833333333333331</v>
      </c>
      <c r="N48" s="215">
        <v>0.95833333333333337</v>
      </c>
      <c r="O48" s="217"/>
      <c r="P48" s="214"/>
      <c r="Q48" s="214">
        <v>0.45833333333333331</v>
      </c>
      <c r="R48" s="215">
        <v>0.95833333333333337</v>
      </c>
      <c r="S48" s="217"/>
      <c r="T48" s="214"/>
      <c r="U48" s="214">
        <v>0.45833333333333331</v>
      </c>
      <c r="V48" s="215">
        <v>0.95833333333333337</v>
      </c>
      <c r="W48" s="217"/>
      <c r="X48" s="214"/>
      <c r="Y48" s="214">
        <v>0.45833333333333331</v>
      </c>
      <c r="Z48" s="215">
        <v>0.97916666666666663</v>
      </c>
      <c r="AA48" s="217" t="s">
        <v>42</v>
      </c>
      <c r="AB48" s="214" t="s">
        <v>42</v>
      </c>
      <c r="AC48" s="214" t="s">
        <v>42</v>
      </c>
      <c r="AD48" s="215" t="s">
        <v>42</v>
      </c>
      <c r="AE48" s="238">
        <f t="shared" ref="AE48:AE63" si="67">AH48+AI48+AJ48+AK48++AL48+AM48+AN48+AO48+AP48++AQ48+AR48+AS48+AT48+AU48</f>
        <v>2.520833333333333</v>
      </c>
      <c r="AF48" s="193"/>
      <c r="AG48" s="344"/>
      <c r="AH48" s="191">
        <f t="shared" si="39"/>
        <v>0</v>
      </c>
      <c r="AI48" s="191">
        <f t="shared" si="40"/>
        <v>0</v>
      </c>
      <c r="AJ48" s="191">
        <f t="shared" si="41"/>
        <v>0</v>
      </c>
      <c r="AK48" s="191">
        <f t="shared" si="42"/>
        <v>0.5</v>
      </c>
      <c r="AL48" s="191">
        <f t="shared" si="43"/>
        <v>0</v>
      </c>
      <c r="AM48" s="191">
        <f t="shared" si="44"/>
        <v>0.5</v>
      </c>
      <c r="AN48" s="191">
        <f t="shared" si="45"/>
        <v>0</v>
      </c>
      <c r="AO48" s="191">
        <f t="shared" si="46"/>
        <v>0.5</v>
      </c>
      <c r="AP48" s="191">
        <f t="shared" si="47"/>
        <v>0</v>
      </c>
      <c r="AQ48" s="191">
        <f t="shared" si="48"/>
        <v>0.5</v>
      </c>
      <c r="AR48" s="191">
        <f t="shared" si="49"/>
        <v>0</v>
      </c>
      <c r="AS48" s="191">
        <f t="shared" si="50"/>
        <v>0.52083333333333326</v>
      </c>
      <c r="AT48" s="191">
        <f>IF(ISERROR(VALUE((MOD(AB48-AA48,1))))=TRUE,0,MOD(AB48-AA48,1))</f>
        <v>0</v>
      </c>
      <c r="AU48" s="191">
        <f>IF(ISERROR(VALUE((MOD(AD48-AC48,1))))=TRUE,0,MOD(AD48-AC48,1))</f>
        <v>0</v>
      </c>
      <c r="AV48" s="31"/>
      <c r="AW48" s="24"/>
      <c r="AX48" s="213"/>
      <c r="AY48" s="198" t="s">
        <v>377</v>
      </c>
      <c r="AZ48" s="217" t="s">
        <v>42</v>
      </c>
      <c r="BA48" s="214" t="s">
        <v>42</v>
      </c>
      <c r="BB48" s="214" t="s">
        <v>42</v>
      </c>
      <c r="BC48" s="215" t="s">
        <v>42</v>
      </c>
      <c r="BD48" s="217"/>
      <c r="BE48" s="214"/>
      <c r="BF48" s="214">
        <v>0.45833333333333331</v>
      </c>
      <c r="BG48" s="215">
        <v>0.95833333333333337</v>
      </c>
      <c r="BH48" s="217"/>
      <c r="BI48" s="214"/>
      <c r="BJ48" s="214">
        <v>0.45833333333333331</v>
      </c>
      <c r="BK48" s="215">
        <v>0.95833333333333337</v>
      </c>
      <c r="BL48" s="217"/>
      <c r="BM48" s="214"/>
      <c r="BN48" s="214">
        <v>0.45833333333333331</v>
      </c>
      <c r="BO48" s="215">
        <v>0.95833333333333337</v>
      </c>
      <c r="BP48" s="217"/>
      <c r="BQ48" s="214"/>
      <c r="BR48" s="214">
        <v>0.45833333333333331</v>
      </c>
      <c r="BS48" s="215">
        <v>0.95833333333333337</v>
      </c>
      <c r="BT48" s="217"/>
      <c r="BU48" s="214"/>
      <c r="BV48" s="214">
        <v>0.45833333333333331</v>
      </c>
      <c r="BW48" s="215">
        <v>0.97916666666666663</v>
      </c>
      <c r="BX48" s="217" t="s">
        <v>42</v>
      </c>
      <c r="BY48" s="214" t="s">
        <v>42</v>
      </c>
      <c r="BZ48" s="214" t="s">
        <v>42</v>
      </c>
      <c r="CA48" s="215" t="s">
        <v>42</v>
      </c>
      <c r="CB48" s="238">
        <f t="shared" ref="CB48:CB63" si="68">CE48+CF48+CG48+CH48++CI48+CJ48+CK48+CL48+CM48++CN48+CO48+CP48+CQ48+CR48</f>
        <v>2.520833333333333</v>
      </c>
      <c r="CC48" s="193"/>
      <c r="CD48" s="344"/>
      <c r="CE48" s="191">
        <f t="shared" si="53"/>
        <v>0</v>
      </c>
      <c r="CF48" s="191">
        <f t="shared" si="54"/>
        <v>0</v>
      </c>
      <c r="CG48" s="191">
        <f t="shared" si="55"/>
        <v>0</v>
      </c>
      <c r="CH48" s="191">
        <f t="shared" si="56"/>
        <v>0.5</v>
      </c>
      <c r="CI48" s="191">
        <f t="shared" si="57"/>
        <v>0</v>
      </c>
      <c r="CJ48" s="191">
        <f t="shared" si="58"/>
        <v>0.5</v>
      </c>
      <c r="CK48" s="191">
        <f t="shared" si="59"/>
        <v>0</v>
      </c>
      <c r="CL48" s="191">
        <f t="shared" si="60"/>
        <v>0.5</v>
      </c>
      <c r="CM48" s="191">
        <f t="shared" si="61"/>
        <v>0</v>
      </c>
      <c r="CN48" s="191">
        <f t="shared" si="62"/>
        <v>0.5</v>
      </c>
      <c r="CO48" s="191">
        <f t="shared" si="63"/>
        <v>0</v>
      </c>
      <c r="CP48" s="191">
        <f t="shared" si="64"/>
        <v>0.52083333333333326</v>
      </c>
      <c r="CQ48" s="191">
        <f>IF(ISERROR(VALUE((MOD(BY48-BX48,1))))=TRUE,0,MOD(BY48-BX48,1))</f>
        <v>0</v>
      </c>
      <c r="CR48" s="191">
        <f>IF(ISERROR(VALUE((MOD(CA48-BZ48,1))))=TRUE,0,MOD(CA48-BZ48,1))</f>
        <v>0</v>
      </c>
      <c r="CS48" s="31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  <c r="FG48" s="24"/>
      <c r="FH48" s="24"/>
      <c r="FI48" s="24"/>
      <c r="FJ48" s="24"/>
      <c r="FK48" s="24"/>
      <c r="FL48" s="24"/>
      <c r="FM48" s="24"/>
      <c r="FN48" s="24"/>
      <c r="FO48" s="24"/>
      <c r="FP48" s="24"/>
      <c r="FQ48" s="24"/>
      <c r="FR48" s="24"/>
      <c r="FS48" s="24"/>
      <c r="FT48" s="24"/>
      <c r="FU48" s="24"/>
      <c r="FV48" s="24"/>
      <c r="FW48" s="24"/>
      <c r="FX48" s="24"/>
      <c r="FY48" s="24"/>
      <c r="FZ48" s="24"/>
      <c r="GA48" s="24"/>
      <c r="GB48" s="24"/>
      <c r="GC48" s="24"/>
      <c r="GD48" s="24"/>
      <c r="GE48" s="24"/>
      <c r="GF48" s="24"/>
      <c r="GG48" s="24"/>
      <c r="GH48" s="24"/>
      <c r="GI48" s="24"/>
      <c r="GJ48" s="24"/>
      <c r="GK48" s="24"/>
      <c r="GL48" s="24"/>
      <c r="GM48" s="24"/>
      <c r="GN48" s="24"/>
      <c r="GO48" s="24"/>
      <c r="GP48" s="24"/>
      <c r="GQ48" s="24"/>
      <c r="GR48" s="24"/>
    </row>
    <row r="49" spans="1:200" s="23" customFormat="1" ht="14.25" customHeight="1">
      <c r="A49" s="213"/>
      <c r="B49" s="198" t="s">
        <v>370</v>
      </c>
      <c r="C49" s="217">
        <v>0.45833333333333331</v>
      </c>
      <c r="D49" s="214">
        <v>0.58333333333333337</v>
      </c>
      <c r="E49" s="214">
        <v>0.70833333333333337</v>
      </c>
      <c r="F49" s="215">
        <v>0.97916666666666663</v>
      </c>
      <c r="G49" s="217" t="s">
        <v>42</v>
      </c>
      <c r="H49" s="214" t="s">
        <v>42</v>
      </c>
      <c r="I49" s="214" t="s">
        <v>42</v>
      </c>
      <c r="J49" s="215" t="s">
        <v>42</v>
      </c>
      <c r="K49" s="217" t="s">
        <v>42</v>
      </c>
      <c r="L49" s="214" t="s">
        <v>42</v>
      </c>
      <c r="M49" s="214" t="s">
        <v>42</v>
      </c>
      <c r="N49" s="215" t="s">
        <v>42</v>
      </c>
      <c r="O49" s="217">
        <v>0.45833333333333331</v>
      </c>
      <c r="P49" s="214">
        <v>0.58333333333333337</v>
      </c>
      <c r="Q49" s="214">
        <v>0.70833333333333337</v>
      </c>
      <c r="R49" s="215">
        <v>0.97916666666666663</v>
      </c>
      <c r="S49" s="217">
        <v>0.45833333333333331</v>
      </c>
      <c r="T49" s="214">
        <v>0.58333333333333337</v>
      </c>
      <c r="U49" s="214">
        <v>0.70833333333333337</v>
      </c>
      <c r="V49" s="215">
        <v>0.97916666666666663</v>
      </c>
      <c r="W49" s="217">
        <v>0.45833333333333331</v>
      </c>
      <c r="X49" s="214">
        <v>0.58333333333333337</v>
      </c>
      <c r="Y49" s="214">
        <v>0.70833333333333337</v>
      </c>
      <c r="Z49" s="215">
        <v>0.97916666666666663</v>
      </c>
      <c r="AA49" s="217">
        <v>0.45833333333333331</v>
      </c>
      <c r="AB49" s="214">
        <v>0.58333333333333337</v>
      </c>
      <c r="AC49" s="214">
        <v>0.70833333333333337</v>
      </c>
      <c r="AD49" s="215">
        <v>0.97916666666666663</v>
      </c>
      <c r="AE49" s="238">
        <f t="shared" si="67"/>
        <v>1.8541666666666663</v>
      </c>
      <c r="AF49" s="240" t="s">
        <v>385</v>
      </c>
      <c r="AG49" s="344"/>
      <c r="AH49" s="191">
        <f>IF(ISERROR(VALUE((MOD(D49-#REF!,1))))=TRUE,0,MOD(D49-#REF!,1))</f>
        <v>0</v>
      </c>
      <c r="AI49" s="191">
        <f t="shared" si="40"/>
        <v>0.27083333333333326</v>
      </c>
      <c r="AJ49" s="191">
        <f t="shared" si="41"/>
        <v>0</v>
      </c>
      <c r="AK49" s="191">
        <f t="shared" si="42"/>
        <v>0</v>
      </c>
      <c r="AL49" s="191">
        <f t="shared" si="43"/>
        <v>0</v>
      </c>
      <c r="AM49" s="191">
        <f t="shared" si="44"/>
        <v>0</v>
      </c>
      <c r="AN49" s="191">
        <f t="shared" si="45"/>
        <v>0.12500000000000006</v>
      </c>
      <c r="AO49" s="191">
        <f t="shared" si="46"/>
        <v>0.27083333333333326</v>
      </c>
      <c r="AP49" s="191">
        <f t="shared" si="47"/>
        <v>0.12500000000000006</v>
      </c>
      <c r="AQ49" s="191">
        <f t="shared" si="48"/>
        <v>0.27083333333333326</v>
      </c>
      <c r="AR49" s="191">
        <f t="shared" si="49"/>
        <v>0.12500000000000006</v>
      </c>
      <c r="AS49" s="191">
        <f t="shared" si="50"/>
        <v>0.27083333333333326</v>
      </c>
      <c r="AT49" s="191">
        <f t="shared" ref="AT49:AT51" si="69">IF(ISERROR(VALUE((MOD(AB49-AA49,1))))=TRUE,0,MOD(AB49-AA49,1))</f>
        <v>0.12500000000000006</v>
      </c>
      <c r="AU49" s="191">
        <f t="shared" ref="AU49:AU51" si="70">IF(ISERROR(VALUE((MOD(AD49-AC49,1))))=TRUE,0,MOD(AD49-AC49,1))</f>
        <v>0.27083333333333326</v>
      </c>
      <c r="AV49" s="31"/>
      <c r="AW49" s="24"/>
      <c r="AX49" s="213"/>
      <c r="AY49" s="198" t="s">
        <v>370</v>
      </c>
      <c r="AZ49" s="217">
        <v>0.45833333333333331</v>
      </c>
      <c r="BA49" s="214">
        <v>0.58333333333333337</v>
      </c>
      <c r="BB49" s="214">
        <v>0.70833333333333337</v>
      </c>
      <c r="BC49" s="215">
        <v>0.97916666666666663</v>
      </c>
      <c r="BD49" s="217" t="s">
        <v>42</v>
      </c>
      <c r="BE49" s="214" t="s">
        <v>42</v>
      </c>
      <c r="BF49" s="214" t="s">
        <v>42</v>
      </c>
      <c r="BG49" s="215" t="s">
        <v>42</v>
      </c>
      <c r="BH49" s="217" t="s">
        <v>42</v>
      </c>
      <c r="BI49" s="214" t="s">
        <v>42</v>
      </c>
      <c r="BJ49" s="214" t="s">
        <v>42</v>
      </c>
      <c r="BK49" s="215" t="s">
        <v>42</v>
      </c>
      <c r="BL49" s="217">
        <v>0.45833333333333331</v>
      </c>
      <c r="BM49" s="214">
        <v>0.58333333333333337</v>
      </c>
      <c r="BN49" s="214">
        <v>0.70833333333333337</v>
      </c>
      <c r="BO49" s="215">
        <v>0.97916666666666663</v>
      </c>
      <c r="BP49" s="217">
        <v>0.45833333333333331</v>
      </c>
      <c r="BQ49" s="214">
        <v>0.58333333333333337</v>
      </c>
      <c r="BR49" s="214">
        <v>0.70833333333333337</v>
      </c>
      <c r="BS49" s="215">
        <v>0.97916666666666663</v>
      </c>
      <c r="BT49" s="217">
        <v>0.45833333333333331</v>
      </c>
      <c r="BU49" s="214">
        <v>0.58333333333333337</v>
      </c>
      <c r="BV49" s="214">
        <v>0.70833333333333337</v>
      </c>
      <c r="BW49" s="215">
        <v>0.97916666666666663</v>
      </c>
      <c r="BX49" s="217">
        <v>0.45833333333333331</v>
      </c>
      <c r="BY49" s="214">
        <v>0.58333333333333337</v>
      </c>
      <c r="BZ49" s="214">
        <v>0.70833333333333337</v>
      </c>
      <c r="CA49" s="215">
        <v>0.97916666666666663</v>
      </c>
      <c r="CB49" s="238">
        <f t="shared" si="68"/>
        <v>1.8541666666666663</v>
      </c>
      <c r="CC49" s="240" t="s">
        <v>385</v>
      </c>
      <c r="CD49" s="344"/>
      <c r="CE49" s="191">
        <f>IF(ISERROR(VALUE((MOD(BA49-#REF!,1))))=TRUE,0,MOD(BA49-#REF!,1))</f>
        <v>0</v>
      </c>
      <c r="CF49" s="191">
        <f t="shared" si="54"/>
        <v>0.27083333333333326</v>
      </c>
      <c r="CG49" s="191">
        <f t="shared" si="55"/>
        <v>0</v>
      </c>
      <c r="CH49" s="191">
        <f t="shared" si="56"/>
        <v>0</v>
      </c>
      <c r="CI49" s="191">
        <f t="shared" si="57"/>
        <v>0</v>
      </c>
      <c r="CJ49" s="191">
        <f t="shared" si="58"/>
        <v>0</v>
      </c>
      <c r="CK49" s="191">
        <f t="shared" si="59"/>
        <v>0.12500000000000006</v>
      </c>
      <c r="CL49" s="191">
        <f t="shared" si="60"/>
        <v>0.27083333333333326</v>
      </c>
      <c r="CM49" s="191">
        <f t="shared" si="61"/>
        <v>0.12500000000000006</v>
      </c>
      <c r="CN49" s="191">
        <f t="shared" si="62"/>
        <v>0.27083333333333326</v>
      </c>
      <c r="CO49" s="191">
        <f t="shared" si="63"/>
        <v>0.12500000000000006</v>
      </c>
      <c r="CP49" s="191">
        <f t="shared" si="64"/>
        <v>0.27083333333333326</v>
      </c>
      <c r="CQ49" s="191">
        <f t="shared" ref="CQ49:CQ51" si="71">IF(ISERROR(VALUE((MOD(BY49-BX49,1))))=TRUE,0,MOD(BY49-BX49,1))</f>
        <v>0.12500000000000006</v>
      </c>
      <c r="CR49" s="191">
        <f t="shared" ref="CR49:CR51" si="72">IF(ISERROR(VALUE((MOD(CA49-BZ49,1))))=TRUE,0,MOD(CA49-BZ49,1))</f>
        <v>0.27083333333333326</v>
      </c>
      <c r="CS49" s="31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</row>
    <row r="50" spans="1:200" s="23" customFormat="1" ht="14.25" customHeight="1">
      <c r="A50" s="213"/>
      <c r="B50" s="199" t="s">
        <v>381</v>
      </c>
      <c r="C50" s="217"/>
      <c r="D50" s="214"/>
      <c r="E50" s="214"/>
      <c r="F50" s="215"/>
      <c r="G50" s="217"/>
      <c r="H50" s="214"/>
      <c r="I50" s="214"/>
      <c r="J50" s="215"/>
      <c r="K50" s="217"/>
      <c r="L50" s="214"/>
      <c r="M50" s="214"/>
      <c r="N50" s="215"/>
      <c r="O50" s="217"/>
      <c r="P50" s="214"/>
      <c r="Q50" s="214"/>
      <c r="R50" s="215"/>
      <c r="S50" s="217"/>
      <c r="T50" s="214"/>
      <c r="U50" s="214"/>
      <c r="V50" s="215"/>
      <c r="W50" s="217"/>
      <c r="X50" s="214"/>
      <c r="Y50" s="214"/>
      <c r="Z50" s="215"/>
      <c r="AA50" s="217"/>
      <c r="AB50" s="214"/>
      <c r="AC50" s="218"/>
      <c r="AD50" s="219"/>
      <c r="AE50" s="238">
        <f t="shared" si="67"/>
        <v>0.54166666666666674</v>
      </c>
      <c r="AF50" s="238"/>
      <c r="AG50" s="344"/>
      <c r="AH50" s="191">
        <f>IF(ISERROR(VALUE((MOD(D50-C49,1))))=TRUE,0,MOD(D50-C49,1))</f>
        <v>0.54166666666666674</v>
      </c>
      <c r="AI50" s="191">
        <f t="shared" si="40"/>
        <v>0</v>
      </c>
      <c r="AJ50" s="191">
        <f t="shared" si="41"/>
        <v>0</v>
      </c>
      <c r="AK50" s="191">
        <f t="shared" si="42"/>
        <v>0</v>
      </c>
      <c r="AL50" s="191">
        <f t="shared" si="43"/>
        <v>0</v>
      </c>
      <c r="AM50" s="191">
        <f t="shared" si="44"/>
        <v>0</v>
      </c>
      <c r="AN50" s="191">
        <f t="shared" si="45"/>
        <v>0</v>
      </c>
      <c r="AO50" s="191">
        <f t="shared" si="46"/>
        <v>0</v>
      </c>
      <c r="AP50" s="191">
        <f t="shared" si="47"/>
        <v>0</v>
      </c>
      <c r="AQ50" s="191">
        <f t="shared" si="48"/>
        <v>0</v>
      </c>
      <c r="AR50" s="191">
        <f t="shared" si="49"/>
        <v>0</v>
      </c>
      <c r="AS50" s="191">
        <f t="shared" si="50"/>
        <v>0</v>
      </c>
      <c r="AT50" s="191">
        <f t="shared" si="69"/>
        <v>0</v>
      </c>
      <c r="AU50" s="191">
        <f t="shared" si="70"/>
        <v>0</v>
      </c>
      <c r="AV50" s="31"/>
      <c r="AW50" s="24"/>
      <c r="AX50" s="213"/>
      <c r="AY50" s="199" t="s">
        <v>381</v>
      </c>
      <c r="AZ50" s="217"/>
      <c r="BA50" s="214"/>
      <c r="BB50" s="214"/>
      <c r="BC50" s="215"/>
      <c r="BD50" s="217"/>
      <c r="BE50" s="214"/>
      <c r="BF50" s="214"/>
      <c r="BG50" s="215"/>
      <c r="BH50" s="217"/>
      <c r="BI50" s="214"/>
      <c r="BJ50" s="214"/>
      <c r="BK50" s="215"/>
      <c r="BL50" s="217"/>
      <c r="BM50" s="214"/>
      <c r="BN50" s="214"/>
      <c r="BO50" s="215"/>
      <c r="BP50" s="217"/>
      <c r="BQ50" s="214"/>
      <c r="BR50" s="214"/>
      <c r="BS50" s="215"/>
      <c r="BT50" s="217"/>
      <c r="BU50" s="214"/>
      <c r="BV50" s="214"/>
      <c r="BW50" s="215"/>
      <c r="BX50" s="217"/>
      <c r="BY50" s="214"/>
      <c r="BZ50" s="218"/>
      <c r="CA50" s="219"/>
      <c r="CB50" s="238">
        <f t="shared" si="68"/>
        <v>0.54166666666666674</v>
      </c>
      <c r="CC50" s="238"/>
      <c r="CD50" s="344"/>
      <c r="CE50" s="191">
        <f>IF(ISERROR(VALUE((MOD(BA50-AZ49,1))))=TRUE,0,MOD(BA50-AZ49,1))</f>
        <v>0.54166666666666674</v>
      </c>
      <c r="CF50" s="191">
        <f t="shared" si="54"/>
        <v>0</v>
      </c>
      <c r="CG50" s="191">
        <f t="shared" si="55"/>
        <v>0</v>
      </c>
      <c r="CH50" s="191">
        <f t="shared" si="56"/>
        <v>0</v>
      </c>
      <c r="CI50" s="191">
        <f t="shared" si="57"/>
        <v>0</v>
      </c>
      <c r="CJ50" s="191">
        <f t="shared" si="58"/>
        <v>0</v>
      </c>
      <c r="CK50" s="191">
        <f t="shared" si="59"/>
        <v>0</v>
      </c>
      <c r="CL50" s="191">
        <f t="shared" si="60"/>
        <v>0</v>
      </c>
      <c r="CM50" s="191">
        <f t="shared" si="61"/>
        <v>0</v>
      </c>
      <c r="CN50" s="191">
        <f t="shared" si="62"/>
        <v>0</v>
      </c>
      <c r="CO50" s="191">
        <f t="shared" si="63"/>
        <v>0</v>
      </c>
      <c r="CP50" s="191">
        <f t="shared" si="64"/>
        <v>0</v>
      </c>
      <c r="CQ50" s="191">
        <f t="shared" si="71"/>
        <v>0</v>
      </c>
      <c r="CR50" s="191">
        <f t="shared" si="72"/>
        <v>0</v>
      </c>
      <c r="CS50" s="31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</row>
    <row r="51" spans="1:200" s="23" customFormat="1" ht="14.25" customHeight="1">
      <c r="A51" s="213"/>
      <c r="B51" s="248" t="s">
        <v>388</v>
      </c>
      <c r="C51" s="217"/>
      <c r="D51" s="214"/>
      <c r="E51" s="214"/>
      <c r="F51" s="215"/>
      <c r="G51" s="217"/>
      <c r="H51" s="214"/>
      <c r="I51" s="214"/>
      <c r="J51" s="215"/>
      <c r="K51" s="217"/>
      <c r="L51" s="214"/>
      <c r="M51" s="214"/>
      <c r="N51" s="215"/>
      <c r="O51" s="217">
        <v>0.45833333333333331</v>
      </c>
      <c r="P51" s="214">
        <v>0.58333333333333337</v>
      </c>
      <c r="Q51" s="214"/>
      <c r="R51" s="215"/>
      <c r="S51" s="217"/>
      <c r="T51" s="214"/>
      <c r="U51" s="214"/>
      <c r="V51" s="215"/>
      <c r="W51" s="217"/>
      <c r="X51" s="214"/>
      <c r="Y51" s="214"/>
      <c r="Z51" s="215"/>
      <c r="AA51" s="217"/>
      <c r="AB51" s="214"/>
      <c r="AC51" s="214"/>
      <c r="AD51" s="215"/>
      <c r="AE51" s="249">
        <f t="shared" si="67"/>
        <v>0.12500000000000006</v>
      </c>
      <c r="AF51" s="238">
        <v>0</v>
      </c>
      <c r="AG51" s="41"/>
      <c r="AH51" s="191">
        <f t="shared" ref="AH51:AH63" si="73">IF(ISERROR(VALUE((MOD(D51-C51,1))))=TRUE,0,MOD(D51-C51,1))</f>
        <v>0</v>
      </c>
      <c r="AI51" s="191">
        <f t="shared" si="40"/>
        <v>0</v>
      </c>
      <c r="AJ51" s="191">
        <f t="shared" si="41"/>
        <v>0</v>
      </c>
      <c r="AK51" s="191">
        <f t="shared" si="42"/>
        <v>0</v>
      </c>
      <c r="AL51" s="191">
        <f t="shared" si="43"/>
        <v>0</v>
      </c>
      <c r="AM51" s="191">
        <f t="shared" si="44"/>
        <v>0</v>
      </c>
      <c r="AN51" s="191">
        <f t="shared" si="45"/>
        <v>0.12500000000000006</v>
      </c>
      <c r="AO51" s="191">
        <f t="shared" si="46"/>
        <v>0</v>
      </c>
      <c r="AP51" s="191">
        <f t="shared" si="47"/>
        <v>0</v>
      </c>
      <c r="AQ51" s="191">
        <f t="shared" si="48"/>
        <v>0</v>
      </c>
      <c r="AR51" s="191">
        <f t="shared" si="49"/>
        <v>0</v>
      </c>
      <c r="AS51" s="191">
        <f t="shared" si="50"/>
        <v>0</v>
      </c>
      <c r="AT51" s="191">
        <f t="shared" si="69"/>
        <v>0</v>
      </c>
      <c r="AU51" s="191">
        <f t="shared" si="70"/>
        <v>0</v>
      </c>
      <c r="AV51" s="31"/>
      <c r="AW51" s="24"/>
      <c r="AX51" s="213"/>
      <c r="AY51" s="248" t="s">
        <v>388</v>
      </c>
      <c r="AZ51" s="217"/>
      <c r="BA51" s="214"/>
      <c r="BB51" s="214"/>
      <c r="BC51" s="215"/>
      <c r="BD51" s="217"/>
      <c r="BE51" s="214"/>
      <c r="BF51" s="214"/>
      <c r="BG51" s="215"/>
      <c r="BH51" s="217"/>
      <c r="BI51" s="214"/>
      <c r="BJ51" s="214"/>
      <c r="BK51" s="215"/>
      <c r="BL51" s="217">
        <v>0.45833333333333331</v>
      </c>
      <c r="BM51" s="214">
        <v>0.58333333333333337</v>
      </c>
      <c r="BN51" s="214"/>
      <c r="BO51" s="215"/>
      <c r="BP51" s="217"/>
      <c r="BQ51" s="214"/>
      <c r="BR51" s="214"/>
      <c r="BS51" s="215"/>
      <c r="BT51" s="217"/>
      <c r="BU51" s="214"/>
      <c r="BV51" s="214"/>
      <c r="BW51" s="215"/>
      <c r="BX51" s="217"/>
      <c r="BY51" s="214"/>
      <c r="BZ51" s="214"/>
      <c r="CA51" s="215"/>
      <c r="CB51" s="249">
        <f t="shared" si="68"/>
        <v>0.12500000000000006</v>
      </c>
      <c r="CC51" s="238">
        <v>0</v>
      </c>
      <c r="CD51" s="41"/>
      <c r="CE51" s="191">
        <f t="shared" ref="CE51:CE63" si="74">IF(ISERROR(VALUE((MOD(BA51-AZ51,1))))=TRUE,0,MOD(BA51-AZ51,1))</f>
        <v>0</v>
      </c>
      <c r="CF51" s="191">
        <f t="shared" si="54"/>
        <v>0</v>
      </c>
      <c r="CG51" s="191">
        <f t="shared" si="55"/>
        <v>0</v>
      </c>
      <c r="CH51" s="191">
        <f t="shared" si="56"/>
        <v>0</v>
      </c>
      <c r="CI51" s="191">
        <f t="shared" si="57"/>
        <v>0</v>
      </c>
      <c r="CJ51" s="191">
        <f t="shared" si="58"/>
        <v>0</v>
      </c>
      <c r="CK51" s="191">
        <f t="shared" si="59"/>
        <v>0.12500000000000006</v>
      </c>
      <c r="CL51" s="191">
        <f t="shared" si="60"/>
        <v>0</v>
      </c>
      <c r="CM51" s="191">
        <f t="shared" si="61"/>
        <v>0</v>
      </c>
      <c r="CN51" s="191">
        <f t="shared" si="62"/>
        <v>0</v>
      </c>
      <c r="CO51" s="191">
        <f t="shared" si="63"/>
        <v>0</v>
      </c>
      <c r="CP51" s="191">
        <f t="shared" si="64"/>
        <v>0</v>
      </c>
      <c r="CQ51" s="191">
        <f t="shared" si="71"/>
        <v>0</v>
      </c>
      <c r="CR51" s="191">
        <f t="shared" si="72"/>
        <v>0</v>
      </c>
      <c r="CS51" s="31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</row>
    <row r="52" spans="1:200" s="23" customFormat="1" ht="14.25" customHeight="1">
      <c r="A52" s="321"/>
      <c r="B52" s="248" t="s">
        <v>380</v>
      </c>
      <c r="C52" s="217" t="s">
        <v>42</v>
      </c>
      <c r="D52" s="214" t="s">
        <v>42</v>
      </c>
      <c r="E52" s="214" t="s">
        <v>42</v>
      </c>
      <c r="F52" s="215" t="s">
        <v>42</v>
      </c>
      <c r="G52" s="217">
        <v>0.45833333333333331</v>
      </c>
      <c r="H52" s="214">
        <v>0.58333333333333337</v>
      </c>
      <c r="I52" s="214">
        <v>0.70833333333333337</v>
      </c>
      <c r="J52" s="215">
        <v>0.9375</v>
      </c>
      <c r="K52" s="217">
        <v>0.45833333333333331</v>
      </c>
      <c r="L52" s="214">
        <v>0.58333333333333337</v>
      </c>
      <c r="M52" s="214">
        <v>0.70833333333333337</v>
      </c>
      <c r="N52" s="215">
        <v>0.9375</v>
      </c>
      <c r="O52" s="217" t="s">
        <v>42</v>
      </c>
      <c r="P52" s="214" t="s">
        <v>42</v>
      </c>
      <c r="Q52" s="214" t="s">
        <v>42</v>
      </c>
      <c r="R52" s="215" t="s">
        <v>42</v>
      </c>
      <c r="S52" s="217"/>
      <c r="T52" s="214"/>
      <c r="U52" s="214">
        <v>0.66666666666666663</v>
      </c>
      <c r="V52" s="215">
        <v>2.0833333333333332E-2</v>
      </c>
      <c r="W52" s="217"/>
      <c r="X52" s="214"/>
      <c r="Y52" s="214">
        <v>0.66666666666666663</v>
      </c>
      <c r="Z52" s="215">
        <v>2.0833333333333332E-2</v>
      </c>
      <c r="AA52" s="217" t="s">
        <v>42</v>
      </c>
      <c r="AB52" s="214" t="s">
        <v>42</v>
      </c>
      <c r="AC52" s="214" t="s">
        <v>42</v>
      </c>
      <c r="AD52" s="215" t="s">
        <v>42</v>
      </c>
      <c r="AE52" s="249">
        <f t="shared" si="67"/>
        <v>1.4166666666666667</v>
      </c>
      <c r="AF52" s="238">
        <v>0.64097222222222228</v>
      </c>
      <c r="AG52" s="41"/>
      <c r="AH52" s="191">
        <f t="shared" si="73"/>
        <v>0</v>
      </c>
      <c r="AI52" s="191">
        <f t="shared" si="40"/>
        <v>0</v>
      </c>
      <c r="AJ52" s="191">
        <f>IF(ISERROR(VALUE((MOD(H52-G52,1))))=TRUE,0,MOD(H52-G52,1))</f>
        <v>0.12500000000000006</v>
      </c>
      <c r="AK52" s="191">
        <f>IF(ISERROR(VALUE((MOD(J52-I52,1))))=TRUE,0,MOD(J52-I52,1))</f>
        <v>0.22916666666666663</v>
      </c>
      <c r="AL52" s="191">
        <f t="shared" si="43"/>
        <v>0.12500000000000006</v>
      </c>
      <c r="AM52" s="191">
        <f t="shared" si="44"/>
        <v>0.22916666666666663</v>
      </c>
      <c r="AN52" s="191">
        <f t="shared" si="45"/>
        <v>0</v>
      </c>
      <c r="AO52" s="191">
        <f t="shared" si="46"/>
        <v>0</v>
      </c>
      <c r="AP52" s="191">
        <f t="shared" si="47"/>
        <v>0</v>
      </c>
      <c r="AQ52" s="191">
        <f t="shared" si="48"/>
        <v>0.35416666666666674</v>
      </c>
      <c r="AR52" s="191">
        <f t="shared" si="49"/>
        <v>0</v>
      </c>
      <c r="AS52" s="191">
        <f t="shared" si="50"/>
        <v>0.35416666666666674</v>
      </c>
      <c r="AT52" s="191">
        <f>IF(ISERROR(VALUE((MOD(AB52-AA52,1))))=TRUE,0,MOD(AB52-AA52,1))</f>
        <v>0</v>
      </c>
      <c r="AU52" s="191">
        <f>IF(ISERROR(VALUE((MOD(AD52-AC52,1))))=TRUE,0,MOD(AD52-AC52,1))</f>
        <v>0</v>
      </c>
      <c r="AV52" s="31"/>
      <c r="AW52" s="24"/>
      <c r="AX52" s="321"/>
      <c r="AY52" s="248" t="s">
        <v>380</v>
      </c>
      <c r="AZ52" s="217" t="s">
        <v>42</v>
      </c>
      <c r="BA52" s="214" t="s">
        <v>42</v>
      </c>
      <c r="BB52" s="214" t="s">
        <v>42</v>
      </c>
      <c r="BC52" s="215" t="s">
        <v>42</v>
      </c>
      <c r="BD52" s="217">
        <v>0.45833333333333331</v>
      </c>
      <c r="BE52" s="214">
        <v>0.58333333333333337</v>
      </c>
      <c r="BF52" s="214">
        <v>0.70833333333333337</v>
      </c>
      <c r="BG52" s="215">
        <v>0.9375</v>
      </c>
      <c r="BH52" s="217">
        <v>0.45833333333333331</v>
      </c>
      <c r="BI52" s="214">
        <v>0.58333333333333337</v>
      </c>
      <c r="BJ52" s="214">
        <v>0.70833333333333337</v>
      </c>
      <c r="BK52" s="215">
        <v>0.9375</v>
      </c>
      <c r="BL52" s="217" t="s">
        <v>42</v>
      </c>
      <c r="BM52" s="214" t="s">
        <v>42</v>
      </c>
      <c r="BN52" s="214" t="s">
        <v>42</v>
      </c>
      <c r="BO52" s="215" t="s">
        <v>42</v>
      </c>
      <c r="BP52" s="217"/>
      <c r="BQ52" s="214"/>
      <c r="BR52" s="214">
        <v>0.66666666666666663</v>
      </c>
      <c r="BS52" s="215">
        <v>2.0833333333333332E-2</v>
      </c>
      <c r="BT52" s="217"/>
      <c r="BU52" s="214"/>
      <c r="BV52" s="214">
        <v>0.66666666666666663</v>
      </c>
      <c r="BW52" s="215">
        <v>2.0833333333333332E-2</v>
      </c>
      <c r="BX52" s="217" t="s">
        <v>42</v>
      </c>
      <c r="BY52" s="214" t="s">
        <v>42</v>
      </c>
      <c r="BZ52" s="214" t="s">
        <v>42</v>
      </c>
      <c r="CA52" s="215" t="s">
        <v>42</v>
      </c>
      <c r="CB52" s="249">
        <f t="shared" si="68"/>
        <v>1.4166666666666667</v>
      </c>
      <c r="CC52" s="238">
        <v>0.64097222222222228</v>
      </c>
      <c r="CD52" s="41"/>
      <c r="CE52" s="191">
        <f t="shared" si="74"/>
        <v>0</v>
      </c>
      <c r="CF52" s="191">
        <f t="shared" si="54"/>
        <v>0</v>
      </c>
      <c r="CG52" s="191">
        <f>IF(ISERROR(VALUE((MOD(BE52-BD52,1))))=TRUE,0,MOD(BE52-BD52,1))</f>
        <v>0.12500000000000006</v>
      </c>
      <c r="CH52" s="191">
        <f>IF(ISERROR(VALUE((MOD(BG52-BF52,1))))=TRUE,0,MOD(BG52-BF52,1))</f>
        <v>0.22916666666666663</v>
      </c>
      <c r="CI52" s="191">
        <f t="shared" si="57"/>
        <v>0.12500000000000006</v>
      </c>
      <c r="CJ52" s="191">
        <f t="shared" si="58"/>
        <v>0.22916666666666663</v>
      </c>
      <c r="CK52" s="191">
        <f t="shared" si="59"/>
        <v>0</v>
      </c>
      <c r="CL52" s="191">
        <f t="shared" si="60"/>
        <v>0</v>
      </c>
      <c r="CM52" s="191">
        <f t="shared" si="61"/>
        <v>0</v>
      </c>
      <c r="CN52" s="191">
        <f t="shared" si="62"/>
        <v>0.35416666666666674</v>
      </c>
      <c r="CO52" s="191">
        <f t="shared" si="63"/>
        <v>0</v>
      </c>
      <c r="CP52" s="191">
        <f t="shared" si="64"/>
        <v>0.35416666666666674</v>
      </c>
      <c r="CQ52" s="191">
        <f>IF(ISERROR(VALUE((MOD(BY52-BX52,1))))=TRUE,0,MOD(BY52-BX52,1))</f>
        <v>0</v>
      </c>
      <c r="CR52" s="191">
        <f>IF(ISERROR(VALUE((MOD(CA52-BZ52,1))))=TRUE,0,MOD(CA52-BZ52,1))</f>
        <v>0</v>
      </c>
      <c r="CS52" s="31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</row>
    <row r="53" spans="1:200" s="23" customFormat="1" ht="14.25" customHeight="1">
      <c r="A53" s="321"/>
      <c r="B53" s="250" t="s">
        <v>382</v>
      </c>
      <c r="C53" s="217" t="s">
        <v>401</v>
      </c>
      <c r="D53" s="214" t="s">
        <v>401</v>
      </c>
      <c r="E53" s="214" t="s">
        <v>401</v>
      </c>
      <c r="F53" s="215" t="s">
        <v>401</v>
      </c>
      <c r="G53" s="217" t="s">
        <v>401</v>
      </c>
      <c r="H53" s="214" t="s">
        <v>401</v>
      </c>
      <c r="I53" s="214" t="s">
        <v>401</v>
      </c>
      <c r="J53" s="215" t="s">
        <v>401</v>
      </c>
      <c r="K53" s="217" t="s">
        <v>401</v>
      </c>
      <c r="L53" s="214" t="s">
        <v>401</v>
      </c>
      <c r="M53" s="214" t="s">
        <v>401</v>
      </c>
      <c r="N53" s="215" t="s">
        <v>401</v>
      </c>
      <c r="O53" s="217" t="s">
        <v>401</v>
      </c>
      <c r="P53" s="214" t="s">
        <v>401</v>
      </c>
      <c r="Q53" s="214" t="s">
        <v>401</v>
      </c>
      <c r="R53" s="215" t="s">
        <v>401</v>
      </c>
      <c r="S53" s="217" t="s">
        <v>401</v>
      </c>
      <c r="T53" s="214" t="s">
        <v>401</v>
      </c>
      <c r="U53" s="214" t="s">
        <v>401</v>
      </c>
      <c r="V53" s="215" t="s">
        <v>401</v>
      </c>
      <c r="W53" s="217" t="s">
        <v>401</v>
      </c>
      <c r="X53" s="214" t="s">
        <v>401</v>
      </c>
      <c r="Y53" s="214" t="s">
        <v>401</v>
      </c>
      <c r="Z53" s="215" t="s">
        <v>401</v>
      </c>
      <c r="AA53" s="217" t="s">
        <v>401</v>
      </c>
      <c r="AB53" s="214" t="s">
        <v>401</v>
      </c>
      <c r="AC53" s="214" t="s">
        <v>401</v>
      </c>
      <c r="AD53" s="215" t="s">
        <v>401</v>
      </c>
      <c r="AE53" s="249">
        <f t="shared" si="67"/>
        <v>0</v>
      </c>
      <c r="AF53" s="239" t="s">
        <v>386</v>
      </c>
      <c r="AG53" s="41"/>
      <c r="AH53" s="191">
        <f t="shared" si="73"/>
        <v>0</v>
      </c>
      <c r="AI53" s="191">
        <f t="shared" si="40"/>
        <v>0</v>
      </c>
      <c r="AJ53" s="191">
        <f t="shared" ref="AJ53:AJ63" si="75">IF(ISERROR(VALUE((MOD(H53-G53,1))))=TRUE,0,MOD(H53-G53,1))</f>
        <v>0</v>
      </c>
      <c r="AK53" s="191">
        <f t="shared" ref="AK53:AK63" si="76">IF(ISERROR(VALUE((MOD(J53-I53,1))))=TRUE,0,MOD(J53-I53,1))</f>
        <v>0</v>
      </c>
      <c r="AL53" s="191">
        <f t="shared" si="43"/>
        <v>0</v>
      </c>
      <c r="AM53" s="191">
        <f t="shared" si="44"/>
        <v>0</v>
      </c>
      <c r="AN53" s="191">
        <f t="shared" si="45"/>
        <v>0</v>
      </c>
      <c r="AO53" s="191">
        <f t="shared" si="46"/>
        <v>0</v>
      </c>
      <c r="AP53" s="191">
        <f t="shared" si="47"/>
        <v>0</v>
      </c>
      <c r="AQ53" s="191">
        <f t="shared" si="48"/>
        <v>0</v>
      </c>
      <c r="AR53" s="191">
        <f t="shared" si="49"/>
        <v>0</v>
      </c>
      <c r="AS53" s="191">
        <f t="shared" si="50"/>
        <v>0</v>
      </c>
      <c r="AT53" s="191">
        <f t="shared" ref="AT53:AT63" si="77">IF(ISERROR(VALUE((MOD(AB53-AA53,1))))=TRUE,0,MOD(AB53-AA53,1))</f>
        <v>0</v>
      </c>
      <c r="AU53" s="191">
        <f t="shared" ref="AU53:AU63" si="78">IF(ISERROR(VALUE((MOD(AD53-AC53,1))))=TRUE,0,MOD(AD53-AC53,1))</f>
        <v>0</v>
      </c>
      <c r="AV53" s="31"/>
      <c r="AW53" s="24"/>
      <c r="AX53" s="321"/>
      <c r="AY53" s="250" t="s">
        <v>382</v>
      </c>
      <c r="AZ53" s="217" t="s">
        <v>401</v>
      </c>
      <c r="BA53" s="214" t="s">
        <v>401</v>
      </c>
      <c r="BB53" s="214" t="s">
        <v>401</v>
      </c>
      <c r="BC53" s="215" t="s">
        <v>401</v>
      </c>
      <c r="BD53" s="217" t="s">
        <v>401</v>
      </c>
      <c r="BE53" s="214" t="s">
        <v>401</v>
      </c>
      <c r="BF53" s="214" t="s">
        <v>401</v>
      </c>
      <c r="BG53" s="215" t="s">
        <v>401</v>
      </c>
      <c r="BH53" s="217" t="s">
        <v>401</v>
      </c>
      <c r="BI53" s="214" t="s">
        <v>401</v>
      </c>
      <c r="BJ53" s="214" t="s">
        <v>401</v>
      </c>
      <c r="BK53" s="215" t="s">
        <v>401</v>
      </c>
      <c r="BL53" s="217" t="s">
        <v>401</v>
      </c>
      <c r="BM53" s="214" t="s">
        <v>401</v>
      </c>
      <c r="BN53" s="214" t="s">
        <v>401</v>
      </c>
      <c r="BO53" s="215" t="s">
        <v>401</v>
      </c>
      <c r="BP53" s="217" t="s">
        <v>401</v>
      </c>
      <c r="BQ53" s="214" t="s">
        <v>401</v>
      </c>
      <c r="BR53" s="214" t="s">
        <v>401</v>
      </c>
      <c r="BS53" s="215" t="s">
        <v>401</v>
      </c>
      <c r="BT53" s="217" t="s">
        <v>401</v>
      </c>
      <c r="BU53" s="214" t="s">
        <v>401</v>
      </c>
      <c r="BV53" s="214" t="s">
        <v>401</v>
      </c>
      <c r="BW53" s="215" t="s">
        <v>401</v>
      </c>
      <c r="BX53" s="217" t="s">
        <v>401</v>
      </c>
      <c r="BY53" s="214" t="s">
        <v>401</v>
      </c>
      <c r="BZ53" s="214" t="s">
        <v>401</v>
      </c>
      <c r="CA53" s="215" t="s">
        <v>401</v>
      </c>
      <c r="CB53" s="249">
        <f t="shared" si="68"/>
        <v>0</v>
      </c>
      <c r="CC53" s="239" t="s">
        <v>386</v>
      </c>
      <c r="CD53" s="41"/>
      <c r="CE53" s="191">
        <f t="shared" si="74"/>
        <v>0</v>
      </c>
      <c r="CF53" s="191">
        <f t="shared" si="54"/>
        <v>0</v>
      </c>
      <c r="CG53" s="191">
        <f t="shared" ref="CG53:CG63" si="79">IF(ISERROR(VALUE((MOD(BE53-BD53,1))))=TRUE,0,MOD(BE53-BD53,1))</f>
        <v>0</v>
      </c>
      <c r="CH53" s="191">
        <f t="shared" ref="CH53:CH63" si="80">IF(ISERROR(VALUE((MOD(BG53-BF53,1))))=TRUE,0,MOD(BG53-BF53,1))</f>
        <v>0</v>
      </c>
      <c r="CI53" s="191">
        <f t="shared" si="57"/>
        <v>0</v>
      </c>
      <c r="CJ53" s="191">
        <f t="shared" si="58"/>
        <v>0</v>
      </c>
      <c r="CK53" s="191">
        <f t="shared" si="59"/>
        <v>0</v>
      </c>
      <c r="CL53" s="191">
        <f t="shared" si="60"/>
        <v>0</v>
      </c>
      <c r="CM53" s="191">
        <f t="shared" si="61"/>
        <v>0</v>
      </c>
      <c r="CN53" s="191">
        <f t="shared" si="62"/>
        <v>0</v>
      </c>
      <c r="CO53" s="191">
        <f t="shared" si="63"/>
        <v>0</v>
      </c>
      <c r="CP53" s="191">
        <f t="shared" si="64"/>
        <v>0</v>
      </c>
      <c r="CQ53" s="191">
        <f t="shared" ref="CQ53:CQ63" si="81">IF(ISERROR(VALUE((MOD(BY53-BX53,1))))=TRUE,0,MOD(BY53-BX53,1))</f>
        <v>0</v>
      </c>
      <c r="CR53" s="191">
        <f t="shared" ref="CR53:CR63" si="82">IF(ISERROR(VALUE((MOD(CA53-BZ53,1))))=TRUE,0,MOD(CA53-BZ53,1))</f>
        <v>0</v>
      </c>
      <c r="CS53" s="31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</row>
    <row r="54" spans="1:200" s="23" customFormat="1" ht="14.25" customHeight="1" thickBot="1">
      <c r="A54" s="321"/>
      <c r="B54" s="251" t="s">
        <v>376</v>
      </c>
      <c r="C54" s="217" t="s">
        <v>42</v>
      </c>
      <c r="D54" s="214" t="s">
        <v>42</v>
      </c>
      <c r="E54" s="214" t="s">
        <v>42</v>
      </c>
      <c r="F54" s="215" t="s">
        <v>42</v>
      </c>
      <c r="G54" s="217" t="s">
        <v>42</v>
      </c>
      <c r="H54" s="214" t="s">
        <v>42</v>
      </c>
      <c r="I54" s="214" t="s">
        <v>42</v>
      </c>
      <c r="J54" s="215" t="s">
        <v>42</v>
      </c>
      <c r="K54" s="217" t="s">
        <v>42</v>
      </c>
      <c r="L54" s="214" t="s">
        <v>42</v>
      </c>
      <c r="M54" s="214" t="s">
        <v>42</v>
      </c>
      <c r="N54" s="215" t="s">
        <v>42</v>
      </c>
      <c r="O54" s="217"/>
      <c r="P54" s="214"/>
      <c r="Q54" s="214">
        <v>0.70833333333333337</v>
      </c>
      <c r="R54" s="215">
        <v>0.97916666666666663</v>
      </c>
      <c r="S54" s="217" t="s">
        <v>42</v>
      </c>
      <c r="T54" s="214" t="s">
        <v>42</v>
      </c>
      <c r="U54" s="214" t="s">
        <v>42</v>
      </c>
      <c r="V54" s="215" t="s">
        <v>42</v>
      </c>
      <c r="W54" s="217" t="s">
        <v>42</v>
      </c>
      <c r="X54" s="214" t="s">
        <v>42</v>
      </c>
      <c r="Y54" s="214" t="s">
        <v>42</v>
      </c>
      <c r="Z54" s="215" t="s">
        <v>42</v>
      </c>
      <c r="AA54" s="216"/>
      <c r="AB54" s="216"/>
      <c r="AC54" s="264">
        <v>0.375</v>
      </c>
      <c r="AD54" s="265">
        <v>0.875</v>
      </c>
      <c r="AE54" s="249">
        <f t="shared" si="67"/>
        <v>0.77083333333333326</v>
      </c>
      <c r="AF54" s="238"/>
      <c r="AG54" s="41"/>
      <c r="AH54" s="191">
        <f t="shared" si="73"/>
        <v>0</v>
      </c>
      <c r="AI54" s="191">
        <f t="shared" si="40"/>
        <v>0</v>
      </c>
      <c r="AJ54" s="191">
        <f t="shared" si="75"/>
        <v>0</v>
      </c>
      <c r="AK54" s="191">
        <f t="shared" si="76"/>
        <v>0</v>
      </c>
      <c r="AL54" s="191">
        <f t="shared" si="43"/>
        <v>0</v>
      </c>
      <c r="AM54" s="191">
        <f t="shared" si="44"/>
        <v>0</v>
      </c>
      <c r="AN54" s="191">
        <f t="shared" si="45"/>
        <v>0</v>
      </c>
      <c r="AO54" s="191">
        <f t="shared" si="46"/>
        <v>0.27083333333333326</v>
      </c>
      <c r="AP54" s="191">
        <f t="shared" si="47"/>
        <v>0</v>
      </c>
      <c r="AQ54" s="191">
        <f t="shared" si="48"/>
        <v>0</v>
      </c>
      <c r="AR54" s="191">
        <f t="shared" si="49"/>
        <v>0</v>
      </c>
      <c r="AS54" s="191">
        <f t="shared" si="50"/>
        <v>0</v>
      </c>
      <c r="AT54" s="191">
        <f t="shared" si="77"/>
        <v>0</v>
      </c>
      <c r="AU54" s="191">
        <f t="shared" si="78"/>
        <v>0.5</v>
      </c>
      <c r="AV54" s="31"/>
      <c r="AW54" s="24"/>
      <c r="AX54" s="321"/>
      <c r="AY54" s="251" t="s">
        <v>376</v>
      </c>
      <c r="AZ54" s="217" t="s">
        <v>42</v>
      </c>
      <c r="BA54" s="214" t="s">
        <v>42</v>
      </c>
      <c r="BB54" s="214" t="s">
        <v>42</v>
      </c>
      <c r="BC54" s="215" t="s">
        <v>42</v>
      </c>
      <c r="BD54" s="217" t="s">
        <v>42</v>
      </c>
      <c r="BE54" s="214" t="s">
        <v>42</v>
      </c>
      <c r="BF54" s="214" t="s">
        <v>42</v>
      </c>
      <c r="BG54" s="215" t="s">
        <v>42</v>
      </c>
      <c r="BH54" s="217" t="s">
        <v>42</v>
      </c>
      <c r="BI54" s="214" t="s">
        <v>42</v>
      </c>
      <c r="BJ54" s="214" t="s">
        <v>42</v>
      </c>
      <c r="BK54" s="215" t="s">
        <v>42</v>
      </c>
      <c r="BL54" s="217"/>
      <c r="BM54" s="214"/>
      <c r="BN54" s="214">
        <v>0.70833333333333337</v>
      </c>
      <c r="BO54" s="215">
        <v>0.97916666666666663</v>
      </c>
      <c r="BP54" s="217" t="s">
        <v>42</v>
      </c>
      <c r="BQ54" s="214" t="s">
        <v>42</v>
      </c>
      <c r="BR54" s="214" t="s">
        <v>42</v>
      </c>
      <c r="BS54" s="215" t="s">
        <v>42</v>
      </c>
      <c r="BT54" s="217" t="s">
        <v>42</v>
      </c>
      <c r="BU54" s="214" t="s">
        <v>42</v>
      </c>
      <c r="BV54" s="214" t="s">
        <v>42</v>
      </c>
      <c r="BW54" s="215" t="s">
        <v>42</v>
      </c>
      <c r="BX54" s="216"/>
      <c r="BY54" s="216"/>
      <c r="BZ54" s="264">
        <v>0.375</v>
      </c>
      <c r="CA54" s="265">
        <v>0.875</v>
      </c>
      <c r="CB54" s="249">
        <f t="shared" si="68"/>
        <v>0.77083333333333326</v>
      </c>
      <c r="CC54" s="238"/>
      <c r="CD54" s="41"/>
      <c r="CE54" s="191">
        <f t="shared" si="74"/>
        <v>0</v>
      </c>
      <c r="CF54" s="191">
        <f t="shared" si="54"/>
        <v>0</v>
      </c>
      <c r="CG54" s="191">
        <f t="shared" si="79"/>
        <v>0</v>
      </c>
      <c r="CH54" s="191">
        <f t="shared" si="80"/>
        <v>0</v>
      </c>
      <c r="CI54" s="191">
        <f t="shared" si="57"/>
        <v>0</v>
      </c>
      <c r="CJ54" s="191">
        <f t="shared" si="58"/>
        <v>0</v>
      </c>
      <c r="CK54" s="191">
        <f t="shared" si="59"/>
        <v>0</v>
      </c>
      <c r="CL54" s="191">
        <f t="shared" si="60"/>
        <v>0.27083333333333326</v>
      </c>
      <c r="CM54" s="191">
        <f t="shared" si="61"/>
        <v>0</v>
      </c>
      <c r="CN54" s="191">
        <f t="shared" si="62"/>
        <v>0</v>
      </c>
      <c r="CO54" s="191">
        <f t="shared" si="63"/>
        <v>0</v>
      </c>
      <c r="CP54" s="191">
        <f t="shared" si="64"/>
        <v>0</v>
      </c>
      <c r="CQ54" s="191">
        <f t="shared" si="81"/>
        <v>0</v>
      </c>
      <c r="CR54" s="191">
        <f t="shared" si="82"/>
        <v>0.5</v>
      </c>
      <c r="CS54" s="31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</row>
    <row r="55" spans="1:200" s="23" customFormat="1" ht="14.25" customHeight="1">
      <c r="A55" s="321"/>
      <c r="B55" s="252" t="s">
        <v>374</v>
      </c>
      <c r="C55" s="217"/>
      <c r="D55" s="214"/>
      <c r="E55" s="214"/>
      <c r="F55" s="215"/>
      <c r="G55" s="217" t="s">
        <v>42</v>
      </c>
      <c r="H55" s="214" t="s">
        <v>42</v>
      </c>
      <c r="I55" s="214" t="s">
        <v>42</v>
      </c>
      <c r="J55" s="215" t="s">
        <v>42</v>
      </c>
      <c r="K55" s="217" t="s">
        <v>42</v>
      </c>
      <c r="L55" s="214" t="s">
        <v>42</v>
      </c>
      <c r="M55" s="214" t="s">
        <v>42</v>
      </c>
      <c r="N55" s="215" t="s">
        <v>42</v>
      </c>
      <c r="O55" s="217"/>
      <c r="P55" s="214"/>
      <c r="Q55" s="214"/>
      <c r="R55" s="215"/>
      <c r="S55" s="217"/>
      <c r="T55" s="214"/>
      <c r="U55" s="214"/>
      <c r="V55" s="215"/>
      <c r="W55" s="217"/>
      <c r="X55" s="214"/>
      <c r="Y55" s="214"/>
      <c r="Z55" s="215"/>
      <c r="AA55" s="217"/>
      <c r="AB55" s="214"/>
      <c r="AC55" s="214"/>
      <c r="AD55" s="215"/>
      <c r="AE55" s="249">
        <f t="shared" si="67"/>
        <v>0</v>
      </c>
      <c r="AF55" s="239">
        <v>0.86111111111111116</v>
      </c>
      <c r="AG55" s="41"/>
      <c r="AH55" s="191">
        <f t="shared" si="73"/>
        <v>0</v>
      </c>
      <c r="AI55" s="191">
        <f t="shared" si="40"/>
        <v>0</v>
      </c>
      <c r="AJ55" s="191">
        <f t="shared" si="75"/>
        <v>0</v>
      </c>
      <c r="AK55" s="191">
        <f t="shared" si="76"/>
        <v>0</v>
      </c>
      <c r="AL55" s="191">
        <f t="shared" si="43"/>
        <v>0</v>
      </c>
      <c r="AM55" s="191">
        <f t="shared" si="44"/>
        <v>0</v>
      </c>
      <c r="AN55" s="191">
        <f t="shared" si="45"/>
        <v>0</v>
      </c>
      <c r="AO55" s="191">
        <f t="shared" si="46"/>
        <v>0</v>
      </c>
      <c r="AP55" s="191">
        <f t="shared" si="47"/>
        <v>0</v>
      </c>
      <c r="AQ55" s="191">
        <f t="shared" si="48"/>
        <v>0</v>
      </c>
      <c r="AR55" s="191">
        <f t="shared" si="49"/>
        <v>0</v>
      </c>
      <c r="AS55" s="191">
        <f t="shared" si="50"/>
        <v>0</v>
      </c>
      <c r="AT55" s="191">
        <f t="shared" si="77"/>
        <v>0</v>
      </c>
      <c r="AU55" s="191">
        <f t="shared" si="78"/>
        <v>0</v>
      </c>
      <c r="AV55" s="31"/>
      <c r="AW55" s="24"/>
      <c r="AX55" s="321"/>
      <c r="AY55" s="252" t="s">
        <v>374</v>
      </c>
      <c r="AZ55" s="217" t="s">
        <v>42</v>
      </c>
      <c r="BA55" s="214" t="s">
        <v>42</v>
      </c>
      <c r="BB55" s="214" t="s">
        <v>42</v>
      </c>
      <c r="BC55" s="215" t="s">
        <v>42</v>
      </c>
      <c r="BD55" s="217"/>
      <c r="BE55" s="214"/>
      <c r="BF55" s="214"/>
      <c r="BG55" s="215"/>
      <c r="BH55" s="217" t="s">
        <v>42</v>
      </c>
      <c r="BI55" s="214" t="s">
        <v>42</v>
      </c>
      <c r="BJ55" s="214" t="s">
        <v>42</v>
      </c>
      <c r="BK55" s="215" t="s">
        <v>42</v>
      </c>
      <c r="BL55" s="217"/>
      <c r="BM55" s="214"/>
      <c r="BN55" s="214"/>
      <c r="BO55" s="215"/>
      <c r="BP55" s="217"/>
      <c r="BQ55" s="214"/>
      <c r="BR55" s="214"/>
      <c r="BS55" s="215"/>
      <c r="BT55" s="217"/>
      <c r="BU55" s="214"/>
      <c r="BV55" s="214"/>
      <c r="BW55" s="215"/>
      <c r="BX55" s="217"/>
      <c r="BY55" s="214"/>
      <c r="BZ55" s="214"/>
      <c r="CA55" s="215"/>
      <c r="CB55" s="249">
        <f t="shared" si="68"/>
        <v>0</v>
      </c>
      <c r="CC55" s="239">
        <v>0.86111111111111116</v>
      </c>
      <c r="CD55" s="41"/>
      <c r="CE55" s="191">
        <f t="shared" si="74"/>
        <v>0</v>
      </c>
      <c r="CF55" s="191">
        <f t="shared" si="54"/>
        <v>0</v>
      </c>
      <c r="CG55" s="191">
        <f t="shared" si="79"/>
        <v>0</v>
      </c>
      <c r="CH55" s="191">
        <f t="shared" si="80"/>
        <v>0</v>
      </c>
      <c r="CI55" s="191">
        <f t="shared" si="57"/>
        <v>0</v>
      </c>
      <c r="CJ55" s="191">
        <f t="shared" si="58"/>
        <v>0</v>
      </c>
      <c r="CK55" s="191">
        <f t="shared" si="59"/>
        <v>0</v>
      </c>
      <c r="CL55" s="191">
        <f t="shared" si="60"/>
        <v>0</v>
      </c>
      <c r="CM55" s="191">
        <f t="shared" si="61"/>
        <v>0</v>
      </c>
      <c r="CN55" s="191">
        <f t="shared" si="62"/>
        <v>0</v>
      </c>
      <c r="CO55" s="191">
        <f t="shared" si="63"/>
        <v>0</v>
      </c>
      <c r="CP55" s="191">
        <f t="shared" si="64"/>
        <v>0</v>
      </c>
      <c r="CQ55" s="191">
        <f t="shared" si="81"/>
        <v>0</v>
      </c>
      <c r="CR55" s="191">
        <f t="shared" si="82"/>
        <v>0</v>
      </c>
      <c r="CS55" s="31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</row>
    <row r="56" spans="1:200" s="23" customFormat="1" ht="14.25" customHeight="1">
      <c r="A56" s="321"/>
      <c r="B56" s="248" t="s">
        <v>375</v>
      </c>
      <c r="C56" s="217" t="s">
        <v>42</v>
      </c>
      <c r="D56" s="214" t="s">
        <v>42</v>
      </c>
      <c r="E56" s="214" t="s">
        <v>42</v>
      </c>
      <c r="F56" s="215" t="s">
        <v>42</v>
      </c>
      <c r="G56" s="217" t="s">
        <v>412</v>
      </c>
      <c r="H56" s="214" t="s">
        <v>412</v>
      </c>
      <c r="I56" s="214" t="s">
        <v>412</v>
      </c>
      <c r="J56" s="215" t="s">
        <v>412</v>
      </c>
      <c r="K56" s="217"/>
      <c r="L56" s="214"/>
      <c r="M56" s="214"/>
      <c r="N56" s="215"/>
      <c r="O56" s="217"/>
      <c r="P56" s="214"/>
      <c r="Q56" s="214"/>
      <c r="R56" s="215"/>
      <c r="S56" s="217"/>
      <c r="T56" s="214"/>
      <c r="U56" s="214"/>
      <c r="V56" s="215"/>
      <c r="W56" s="217"/>
      <c r="X56" s="214"/>
      <c r="Y56" s="214"/>
      <c r="Z56" s="215"/>
      <c r="AA56" s="217"/>
      <c r="AB56" s="214"/>
      <c r="AC56" s="214"/>
      <c r="AD56" s="215"/>
      <c r="AE56" s="249">
        <f t="shared" si="67"/>
        <v>0</v>
      </c>
      <c r="AF56" s="238"/>
      <c r="AG56" s="41"/>
      <c r="AH56" s="191">
        <f t="shared" si="73"/>
        <v>0</v>
      </c>
      <c r="AI56" s="191">
        <f t="shared" si="40"/>
        <v>0</v>
      </c>
      <c r="AJ56" s="191">
        <f t="shared" si="75"/>
        <v>0</v>
      </c>
      <c r="AK56" s="191">
        <f t="shared" si="76"/>
        <v>0</v>
      </c>
      <c r="AL56" s="191">
        <f t="shared" si="43"/>
        <v>0</v>
      </c>
      <c r="AM56" s="191">
        <f t="shared" si="44"/>
        <v>0</v>
      </c>
      <c r="AN56" s="191">
        <f t="shared" si="45"/>
        <v>0</v>
      </c>
      <c r="AO56" s="191">
        <f t="shared" si="46"/>
        <v>0</v>
      </c>
      <c r="AP56" s="191">
        <f t="shared" si="47"/>
        <v>0</v>
      </c>
      <c r="AQ56" s="191">
        <f t="shared" si="48"/>
        <v>0</v>
      </c>
      <c r="AR56" s="191">
        <f t="shared" si="49"/>
        <v>0</v>
      </c>
      <c r="AS56" s="191">
        <f t="shared" si="50"/>
        <v>0</v>
      </c>
      <c r="AT56" s="191">
        <f t="shared" si="77"/>
        <v>0</v>
      </c>
      <c r="AU56" s="191">
        <f t="shared" si="78"/>
        <v>0</v>
      </c>
      <c r="AV56" s="31"/>
      <c r="AW56" s="24"/>
      <c r="AX56" s="321"/>
      <c r="AY56" s="248" t="s">
        <v>375</v>
      </c>
      <c r="AZ56" s="217" t="s">
        <v>42</v>
      </c>
      <c r="BA56" s="214" t="s">
        <v>42</v>
      </c>
      <c r="BB56" s="214" t="s">
        <v>42</v>
      </c>
      <c r="BC56" s="215" t="s">
        <v>42</v>
      </c>
      <c r="BD56" s="217"/>
      <c r="BE56" s="214"/>
      <c r="BF56" s="214"/>
      <c r="BG56" s="215"/>
      <c r="BH56" s="217"/>
      <c r="BI56" s="214"/>
      <c r="BJ56" s="214"/>
      <c r="BK56" s="215"/>
      <c r="BL56" s="217"/>
      <c r="BM56" s="214"/>
      <c r="BN56" s="214"/>
      <c r="BO56" s="215"/>
      <c r="BP56" s="217"/>
      <c r="BQ56" s="214"/>
      <c r="BR56" s="214"/>
      <c r="BS56" s="215"/>
      <c r="BT56" s="217"/>
      <c r="BU56" s="214"/>
      <c r="BV56" s="214"/>
      <c r="BW56" s="215"/>
      <c r="BX56" s="217"/>
      <c r="BY56" s="214"/>
      <c r="BZ56" s="214"/>
      <c r="CA56" s="215"/>
      <c r="CB56" s="249">
        <f t="shared" si="68"/>
        <v>0</v>
      </c>
      <c r="CC56" s="238"/>
      <c r="CD56" s="41"/>
      <c r="CE56" s="191">
        <f t="shared" si="74"/>
        <v>0</v>
      </c>
      <c r="CF56" s="191">
        <f t="shared" si="54"/>
        <v>0</v>
      </c>
      <c r="CG56" s="191">
        <f t="shared" si="79"/>
        <v>0</v>
      </c>
      <c r="CH56" s="191">
        <f t="shared" si="80"/>
        <v>0</v>
      </c>
      <c r="CI56" s="191">
        <f t="shared" si="57"/>
        <v>0</v>
      </c>
      <c r="CJ56" s="191">
        <f t="shared" si="58"/>
        <v>0</v>
      </c>
      <c r="CK56" s="191">
        <f t="shared" si="59"/>
        <v>0</v>
      </c>
      <c r="CL56" s="191">
        <f t="shared" si="60"/>
        <v>0</v>
      </c>
      <c r="CM56" s="191">
        <f t="shared" si="61"/>
        <v>0</v>
      </c>
      <c r="CN56" s="191">
        <f t="shared" si="62"/>
        <v>0</v>
      </c>
      <c r="CO56" s="191">
        <f t="shared" si="63"/>
        <v>0</v>
      </c>
      <c r="CP56" s="191">
        <f t="shared" si="64"/>
        <v>0</v>
      </c>
      <c r="CQ56" s="191">
        <f t="shared" si="81"/>
        <v>0</v>
      </c>
      <c r="CR56" s="191">
        <f t="shared" si="82"/>
        <v>0</v>
      </c>
      <c r="CS56" s="31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</row>
    <row r="57" spans="1:200" s="23" customFormat="1" ht="14.25" customHeight="1">
      <c r="A57" s="321"/>
      <c r="B57" s="248" t="s">
        <v>399</v>
      </c>
      <c r="C57" s="217"/>
      <c r="D57" s="214"/>
      <c r="E57" s="214"/>
      <c r="F57" s="215"/>
      <c r="G57" s="217"/>
      <c r="H57" s="214"/>
      <c r="I57" s="214"/>
      <c r="J57" s="215"/>
      <c r="K57" s="217"/>
      <c r="L57" s="214"/>
      <c r="M57" s="214"/>
      <c r="N57" s="215"/>
      <c r="O57" s="217"/>
      <c r="P57" s="214"/>
      <c r="Q57" s="214"/>
      <c r="R57" s="215"/>
      <c r="S57" s="236"/>
      <c r="T57" s="218"/>
      <c r="U57" s="216"/>
      <c r="V57" s="215"/>
      <c r="W57" s="236"/>
      <c r="X57" s="218"/>
      <c r="Y57" s="216"/>
      <c r="Z57" s="215"/>
      <c r="AA57" s="217"/>
      <c r="AB57" s="214"/>
      <c r="AC57" s="218"/>
      <c r="AD57" s="219"/>
      <c r="AE57" s="249">
        <f t="shared" si="67"/>
        <v>0</v>
      </c>
      <c r="AF57" s="238"/>
      <c r="AG57" s="41"/>
      <c r="AH57" s="191">
        <f t="shared" si="73"/>
        <v>0</v>
      </c>
      <c r="AI57" s="191">
        <f t="shared" si="40"/>
        <v>0</v>
      </c>
      <c r="AJ57" s="191">
        <f t="shared" si="75"/>
        <v>0</v>
      </c>
      <c r="AK57" s="191">
        <f t="shared" si="76"/>
        <v>0</v>
      </c>
      <c r="AL57" s="191">
        <f t="shared" si="43"/>
        <v>0</v>
      </c>
      <c r="AM57" s="191">
        <f t="shared" si="44"/>
        <v>0</v>
      </c>
      <c r="AN57" s="191">
        <f t="shared" si="45"/>
        <v>0</v>
      </c>
      <c r="AO57" s="191">
        <f t="shared" si="46"/>
        <v>0</v>
      </c>
      <c r="AP57" s="191">
        <f t="shared" si="47"/>
        <v>0</v>
      </c>
      <c r="AQ57" s="191">
        <f t="shared" si="48"/>
        <v>0</v>
      </c>
      <c r="AR57" s="191">
        <f t="shared" si="49"/>
        <v>0</v>
      </c>
      <c r="AS57" s="191">
        <f t="shared" si="50"/>
        <v>0</v>
      </c>
      <c r="AT57" s="191">
        <f t="shared" si="77"/>
        <v>0</v>
      </c>
      <c r="AU57" s="191">
        <f t="shared" si="78"/>
        <v>0</v>
      </c>
      <c r="AV57" s="31"/>
      <c r="AW57" s="24"/>
      <c r="AX57" s="321"/>
      <c r="AY57" s="248" t="s">
        <v>399</v>
      </c>
      <c r="AZ57" s="217"/>
      <c r="BA57" s="214"/>
      <c r="BB57" s="214"/>
      <c r="BC57" s="215"/>
      <c r="BD57" s="217"/>
      <c r="BE57" s="214"/>
      <c r="BF57" s="214"/>
      <c r="BG57" s="215"/>
      <c r="BH57" s="217"/>
      <c r="BI57" s="214"/>
      <c r="BJ57" s="214"/>
      <c r="BK57" s="215"/>
      <c r="BL57" s="217"/>
      <c r="BM57" s="214"/>
      <c r="BN57" s="214"/>
      <c r="BO57" s="215"/>
      <c r="BP57" s="236"/>
      <c r="BQ57" s="218"/>
      <c r="BR57" s="216"/>
      <c r="BS57" s="215"/>
      <c r="BT57" s="236"/>
      <c r="BU57" s="218"/>
      <c r="BV57" s="216"/>
      <c r="BW57" s="215"/>
      <c r="BX57" s="217"/>
      <c r="BY57" s="214"/>
      <c r="BZ57" s="218"/>
      <c r="CA57" s="219"/>
      <c r="CB57" s="249">
        <f t="shared" si="68"/>
        <v>0</v>
      </c>
      <c r="CC57" s="238"/>
      <c r="CD57" s="41"/>
      <c r="CE57" s="191">
        <f t="shared" si="74"/>
        <v>0</v>
      </c>
      <c r="CF57" s="191">
        <f t="shared" si="54"/>
        <v>0</v>
      </c>
      <c r="CG57" s="191">
        <f t="shared" si="79"/>
        <v>0</v>
      </c>
      <c r="CH57" s="191">
        <f t="shared" si="80"/>
        <v>0</v>
      </c>
      <c r="CI57" s="191">
        <f t="shared" si="57"/>
        <v>0</v>
      </c>
      <c r="CJ57" s="191">
        <f t="shared" si="58"/>
        <v>0</v>
      </c>
      <c r="CK57" s="191">
        <f t="shared" si="59"/>
        <v>0</v>
      </c>
      <c r="CL57" s="191">
        <f t="shared" si="60"/>
        <v>0</v>
      </c>
      <c r="CM57" s="191">
        <f t="shared" si="61"/>
        <v>0</v>
      </c>
      <c r="CN57" s="191">
        <f t="shared" si="62"/>
        <v>0</v>
      </c>
      <c r="CO57" s="191">
        <f t="shared" si="63"/>
        <v>0</v>
      </c>
      <c r="CP57" s="191">
        <f t="shared" si="64"/>
        <v>0</v>
      </c>
      <c r="CQ57" s="191">
        <f t="shared" si="81"/>
        <v>0</v>
      </c>
      <c r="CR57" s="191">
        <f t="shared" si="82"/>
        <v>0</v>
      </c>
      <c r="CS57" s="31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</row>
    <row r="58" spans="1:200" s="23" customFormat="1" ht="14.25" customHeight="1">
      <c r="A58" s="321"/>
      <c r="B58" s="253" t="s">
        <v>403</v>
      </c>
      <c r="C58" s="217"/>
      <c r="D58" s="214"/>
      <c r="E58" s="214"/>
      <c r="F58" s="215"/>
      <c r="G58" s="217"/>
      <c r="H58" s="214"/>
      <c r="I58" s="214"/>
      <c r="J58" s="215"/>
      <c r="K58" s="217"/>
      <c r="L58" s="214"/>
      <c r="M58" s="214"/>
      <c r="N58" s="215"/>
      <c r="O58" s="217"/>
      <c r="P58" s="214"/>
      <c r="Q58" s="214"/>
      <c r="R58" s="215"/>
      <c r="S58" s="217"/>
      <c r="T58" s="214"/>
      <c r="U58" s="214"/>
      <c r="V58" s="215"/>
      <c r="W58" s="217"/>
      <c r="X58" s="214"/>
      <c r="Y58" s="214"/>
      <c r="Z58" s="215"/>
      <c r="AA58" s="217"/>
      <c r="AB58" s="214"/>
      <c r="AC58" s="214"/>
      <c r="AD58" s="215"/>
      <c r="AE58" s="249">
        <f t="shared" si="67"/>
        <v>0</v>
      </c>
      <c r="AF58" s="238"/>
      <c r="AG58" s="41"/>
      <c r="AH58" s="191">
        <f t="shared" si="73"/>
        <v>0</v>
      </c>
      <c r="AI58" s="191">
        <f t="shared" si="40"/>
        <v>0</v>
      </c>
      <c r="AJ58" s="191">
        <f t="shared" si="75"/>
        <v>0</v>
      </c>
      <c r="AK58" s="191">
        <f t="shared" si="76"/>
        <v>0</v>
      </c>
      <c r="AL58" s="191">
        <f t="shared" si="43"/>
        <v>0</v>
      </c>
      <c r="AM58" s="191">
        <f t="shared" si="44"/>
        <v>0</v>
      </c>
      <c r="AN58" s="191">
        <f t="shared" si="45"/>
        <v>0</v>
      </c>
      <c r="AO58" s="191">
        <f t="shared" si="46"/>
        <v>0</v>
      </c>
      <c r="AP58" s="191">
        <f t="shared" si="47"/>
        <v>0</v>
      </c>
      <c r="AQ58" s="191">
        <f t="shared" si="48"/>
        <v>0</v>
      </c>
      <c r="AR58" s="191">
        <f t="shared" si="49"/>
        <v>0</v>
      </c>
      <c r="AS58" s="191">
        <f t="shared" si="50"/>
        <v>0</v>
      </c>
      <c r="AT58" s="191">
        <f t="shared" si="77"/>
        <v>0</v>
      </c>
      <c r="AU58" s="191">
        <f t="shared" si="78"/>
        <v>0</v>
      </c>
      <c r="AV58" s="31"/>
      <c r="AW58" s="24"/>
      <c r="AX58" s="321"/>
      <c r="AY58" s="253" t="s">
        <v>403</v>
      </c>
      <c r="AZ58" s="217"/>
      <c r="BA58" s="214"/>
      <c r="BB58" s="214"/>
      <c r="BC58" s="215"/>
      <c r="BD58" s="217"/>
      <c r="BE58" s="214"/>
      <c r="BF58" s="214"/>
      <c r="BG58" s="215"/>
      <c r="BH58" s="217"/>
      <c r="BI58" s="214"/>
      <c r="BJ58" s="214"/>
      <c r="BK58" s="215"/>
      <c r="BL58" s="217"/>
      <c r="BM58" s="214"/>
      <c r="BN58" s="214"/>
      <c r="BO58" s="215"/>
      <c r="BP58" s="217"/>
      <c r="BQ58" s="214"/>
      <c r="BR58" s="214"/>
      <c r="BS58" s="215"/>
      <c r="BT58" s="217"/>
      <c r="BU58" s="214"/>
      <c r="BV58" s="214"/>
      <c r="BW58" s="215"/>
      <c r="BX58" s="217"/>
      <c r="BY58" s="214"/>
      <c r="BZ58" s="214"/>
      <c r="CA58" s="215"/>
      <c r="CB58" s="249">
        <f t="shared" si="68"/>
        <v>0</v>
      </c>
      <c r="CC58" s="238"/>
      <c r="CD58" s="41"/>
      <c r="CE58" s="191">
        <f t="shared" si="74"/>
        <v>0</v>
      </c>
      <c r="CF58" s="191">
        <f t="shared" si="54"/>
        <v>0</v>
      </c>
      <c r="CG58" s="191">
        <f t="shared" si="79"/>
        <v>0</v>
      </c>
      <c r="CH58" s="191">
        <f t="shared" si="80"/>
        <v>0</v>
      </c>
      <c r="CI58" s="191">
        <f t="shared" si="57"/>
        <v>0</v>
      </c>
      <c r="CJ58" s="191">
        <f t="shared" si="58"/>
        <v>0</v>
      </c>
      <c r="CK58" s="191">
        <f t="shared" si="59"/>
        <v>0</v>
      </c>
      <c r="CL58" s="191">
        <f t="shared" si="60"/>
        <v>0</v>
      </c>
      <c r="CM58" s="191">
        <f t="shared" si="61"/>
        <v>0</v>
      </c>
      <c r="CN58" s="191">
        <f t="shared" si="62"/>
        <v>0</v>
      </c>
      <c r="CO58" s="191">
        <f t="shared" si="63"/>
        <v>0</v>
      </c>
      <c r="CP58" s="191">
        <f t="shared" si="64"/>
        <v>0</v>
      </c>
      <c r="CQ58" s="191">
        <f t="shared" si="81"/>
        <v>0</v>
      </c>
      <c r="CR58" s="191">
        <f t="shared" si="82"/>
        <v>0</v>
      </c>
      <c r="CS58" s="31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</row>
    <row r="59" spans="1:200" s="23" customFormat="1" ht="14.25" customHeight="1">
      <c r="A59" s="321"/>
      <c r="B59" s="253" t="s">
        <v>404</v>
      </c>
      <c r="C59" s="217" t="s">
        <v>401</v>
      </c>
      <c r="D59" s="214" t="s">
        <v>401</v>
      </c>
      <c r="E59" s="214" t="s">
        <v>401</v>
      </c>
      <c r="F59" s="215" t="s">
        <v>401</v>
      </c>
      <c r="G59" s="217" t="s">
        <v>401</v>
      </c>
      <c r="H59" s="214" t="s">
        <v>401</v>
      </c>
      <c r="I59" s="214" t="s">
        <v>401</v>
      </c>
      <c r="J59" s="215" t="s">
        <v>401</v>
      </c>
      <c r="K59" s="217" t="s">
        <v>401</v>
      </c>
      <c r="L59" s="214" t="s">
        <v>401</v>
      </c>
      <c r="M59" s="214" t="s">
        <v>401</v>
      </c>
      <c r="N59" s="215" t="s">
        <v>401</v>
      </c>
      <c r="O59" s="217" t="s">
        <v>401</v>
      </c>
      <c r="P59" s="214" t="s">
        <v>401</v>
      </c>
      <c r="Q59" s="214" t="s">
        <v>401</v>
      </c>
      <c r="R59" s="215" t="s">
        <v>401</v>
      </c>
      <c r="S59" s="217" t="s">
        <v>401</v>
      </c>
      <c r="T59" s="214" t="s">
        <v>401</v>
      </c>
      <c r="U59" s="214" t="s">
        <v>401</v>
      </c>
      <c r="V59" s="215" t="s">
        <v>401</v>
      </c>
      <c r="W59" s="217" t="s">
        <v>401</v>
      </c>
      <c r="X59" s="214" t="s">
        <v>401</v>
      </c>
      <c r="Y59" s="214" t="s">
        <v>401</v>
      </c>
      <c r="Z59" s="215" t="s">
        <v>401</v>
      </c>
      <c r="AA59" s="217" t="s">
        <v>401</v>
      </c>
      <c r="AB59" s="214" t="s">
        <v>401</v>
      </c>
      <c r="AC59" s="214" t="s">
        <v>401</v>
      </c>
      <c r="AD59" s="215" t="s">
        <v>401</v>
      </c>
      <c r="AE59" s="249">
        <f t="shared" si="67"/>
        <v>0</v>
      </c>
      <c r="AF59" s="238"/>
      <c r="AG59" s="41"/>
      <c r="AH59" s="191">
        <f t="shared" si="73"/>
        <v>0</v>
      </c>
      <c r="AI59" s="191">
        <f t="shared" si="40"/>
        <v>0</v>
      </c>
      <c r="AJ59" s="191">
        <f t="shared" si="75"/>
        <v>0</v>
      </c>
      <c r="AK59" s="191">
        <f t="shared" si="76"/>
        <v>0</v>
      </c>
      <c r="AL59" s="191">
        <f t="shared" si="43"/>
        <v>0</v>
      </c>
      <c r="AM59" s="191">
        <f t="shared" si="44"/>
        <v>0</v>
      </c>
      <c r="AN59" s="191">
        <f t="shared" si="45"/>
        <v>0</v>
      </c>
      <c r="AO59" s="191">
        <f t="shared" si="46"/>
        <v>0</v>
      </c>
      <c r="AP59" s="191">
        <f t="shared" si="47"/>
        <v>0</v>
      </c>
      <c r="AQ59" s="191">
        <f t="shared" si="48"/>
        <v>0</v>
      </c>
      <c r="AR59" s="191">
        <f t="shared" si="49"/>
        <v>0</v>
      </c>
      <c r="AS59" s="191">
        <f t="shared" si="50"/>
        <v>0</v>
      </c>
      <c r="AT59" s="191">
        <f t="shared" si="77"/>
        <v>0</v>
      </c>
      <c r="AU59" s="191">
        <f t="shared" si="78"/>
        <v>0</v>
      </c>
      <c r="AV59" s="31"/>
      <c r="AW59" s="24"/>
      <c r="AX59" s="321"/>
      <c r="AY59" s="253"/>
      <c r="AZ59" s="217"/>
      <c r="BA59" s="214"/>
      <c r="BB59" s="214"/>
      <c r="BC59" s="215"/>
      <c r="BD59" s="217"/>
      <c r="BE59" s="214"/>
      <c r="BF59" s="214"/>
      <c r="BG59" s="215"/>
      <c r="BH59" s="217"/>
      <c r="BI59" s="214"/>
      <c r="BJ59" s="214"/>
      <c r="BK59" s="215"/>
      <c r="BL59" s="217"/>
      <c r="BM59" s="214"/>
      <c r="BN59" s="214"/>
      <c r="BO59" s="215"/>
      <c r="BP59" s="217"/>
      <c r="BQ59" s="214"/>
      <c r="BR59" s="214"/>
      <c r="BS59" s="215"/>
      <c r="BT59" s="217"/>
      <c r="BU59" s="214"/>
      <c r="BV59" s="214"/>
      <c r="BW59" s="215"/>
      <c r="BX59" s="217"/>
      <c r="BY59" s="214"/>
      <c r="BZ59" s="214"/>
      <c r="CA59" s="215"/>
      <c r="CB59" s="249">
        <f t="shared" si="68"/>
        <v>0</v>
      </c>
      <c r="CC59" s="238"/>
      <c r="CD59" s="41"/>
      <c r="CE59" s="191">
        <f t="shared" si="74"/>
        <v>0</v>
      </c>
      <c r="CF59" s="191">
        <f t="shared" si="54"/>
        <v>0</v>
      </c>
      <c r="CG59" s="191">
        <f t="shared" si="79"/>
        <v>0</v>
      </c>
      <c r="CH59" s="191">
        <f t="shared" si="80"/>
        <v>0</v>
      </c>
      <c r="CI59" s="191">
        <f t="shared" si="57"/>
        <v>0</v>
      </c>
      <c r="CJ59" s="191">
        <f t="shared" si="58"/>
        <v>0</v>
      </c>
      <c r="CK59" s="191">
        <f t="shared" si="59"/>
        <v>0</v>
      </c>
      <c r="CL59" s="191">
        <f t="shared" si="60"/>
        <v>0</v>
      </c>
      <c r="CM59" s="191">
        <f t="shared" si="61"/>
        <v>0</v>
      </c>
      <c r="CN59" s="191">
        <f t="shared" si="62"/>
        <v>0</v>
      </c>
      <c r="CO59" s="191">
        <f t="shared" si="63"/>
        <v>0</v>
      </c>
      <c r="CP59" s="191">
        <f t="shared" si="64"/>
        <v>0</v>
      </c>
      <c r="CQ59" s="191">
        <f t="shared" si="81"/>
        <v>0</v>
      </c>
      <c r="CR59" s="191">
        <f t="shared" si="82"/>
        <v>0</v>
      </c>
      <c r="CS59" s="31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</row>
    <row r="60" spans="1:200" s="23" customFormat="1" ht="14.25" customHeight="1">
      <c r="A60" s="321"/>
      <c r="B60" s="253"/>
      <c r="C60" s="217"/>
      <c r="D60" s="214"/>
      <c r="E60" s="214"/>
      <c r="F60" s="215"/>
      <c r="G60" s="217"/>
      <c r="H60" s="214"/>
      <c r="I60" s="214"/>
      <c r="J60" s="215"/>
      <c r="K60" s="217"/>
      <c r="L60" s="214"/>
      <c r="M60" s="214"/>
      <c r="N60" s="215"/>
      <c r="O60" s="217"/>
      <c r="P60" s="214"/>
      <c r="Q60" s="214"/>
      <c r="R60" s="215"/>
      <c r="S60" s="217"/>
      <c r="T60" s="214"/>
      <c r="U60" s="214"/>
      <c r="V60" s="215"/>
      <c r="W60" s="217"/>
      <c r="X60" s="214"/>
      <c r="Y60" s="214"/>
      <c r="Z60" s="215"/>
      <c r="AA60" s="217"/>
      <c r="AB60" s="214"/>
      <c r="AC60" s="214"/>
      <c r="AD60" s="215"/>
      <c r="AE60" s="249">
        <f t="shared" si="67"/>
        <v>0</v>
      </c>
      <c r="AF60" s="238"/>
      <c r="AG60" s="41"/>
      <c r="AH60" s="191">
        <f t="shared" si="73"/>
        <v>0</v>
      </c>
      <c r="AI60" s="191">
        <f t="shared" si="40"/>
        <v>0</v>
      </c>
      <c r="AJ60" s="191">
        <f t="shared" si="75"/>
        <v>0</v>
      </c>
      <c r="AK60" s="191">
        <f t="shared" si="76"/>
        <v>0</v>
      </c>
      <c r="AL60" s="191">
        <f t="shared" si="43"/>
        <v>0</v>
      </c>
      <c r="AM60" s="191">
        <f t="shared" si="44"/>
        <v>0</v>
      </c>
      <c r="AN60" s="191">
        <f t="shared" si="45"/>
        <v>0</v>
      </c>
      <c r="AO60" s="191">
        <f t="shared" si="46"/>
        <v>0</v>
      </c>
      <c r="AP60" s="191">
        <f t="shared" si="47"/>
        <v>0</v>
      </c>
      <c r="AQ60" s="191">
        <f t="shared" si="48"/>
        <v>0</v>
      </c>
      <c r="AR60" s="191">
        <f t="shared" si="49"/>
        <v>0</v>
      </c>
      <c r="AS60" s="191">
        <f t="shared" si="50"/>
        <v>0</v>
      </c>
      <c r="AT60" s="191">
        <f t="shared" si="77"/>
        <v>0</v>
      </c>
      <c r="AU60" s="191">
        <f t="shared" si="78"/>
        <v>0</v>
      </c>
      <c r="AV60" s="31"/>
      <c r="AW60" s="24"/>
      <c r="AX60" s="321"/>
      <c r="AY60" s="253" t="s">
        <v>404</v>
      </c>
      <c r="AZ60" s="217"/>
      <c r="BA60" s="214"/>
      <c r="BB60" s="214"/>
      <c r="BC60" s="215"/>
      <c r="BD60" s="217" t="s">
        <v>42</v>
      </c>
      <c r="BE60" s="214" t="s">
        <v>42</v>
      </c>
      <c r="BF60" s="214" t="s">
        <v>42</v>
      </c>
      <c r="BG60" s="215" t="s">
        <v>42</v>
      </c>
      <c r="BH60" s="217" t="s">
        <v>42</v>
      </c>
      <c r="BI60" s="214" t="s">
        <v>42</v>
      </c>
      <c r="BJ60" s="214" t="s">
        <v>42</v>
      </c>
      <c r="BK60" s="215" t="s">
        <v>42</v>
      </c>
      <c r="BL60" s="217"/>
      <c r="BM60" s="214"/>
      <c r="BN60" s="214"/>
      <c r="BO60" s="215"/>
      <c r="BP60" s="217"/>
      <c r="BQ60" s="214"/>
      <c r="BR60" s="214"/>
      <c r="BS60" s="215"/>
      <c r="BT60" s="217"/>
      <c r="BU60" s="214"/>
      <c r="BV60" s="214"/>
      <c r="BW60" s="215"/>
      <c r="BX60" s="217"/>
      <c r="BY60" s="214"/>
      <c r="BZ60" s="214"/>
      <c r="CA60" s="215"/>
      <c r="CB60" s="249">
        <f t="shared" si="68"/>
        <v>0</v>
      </c>
      <c r="CC60" s="238"/>
      <c r="CD60" s="41"/>
      <c r="CE60" s="191">
        <f t="shared" si="74"/>
        <v>0</v>
      </c>
      <c r="CF60" s="191">
        <f t="shared" si="54"/>
        <v>0</v>
      </c>
      <c r="CG60" s="191">
        <f t="shared" si="79"/>
        <v>0</v>
      </c>
      <c r="CH60" s="191">
        <f t="shared" si="80"/>
        <v>0</v>
      </c>
      <c r="CI60" s="191">
        <f t="shared" si="57"/>
        <v>0</v>
      </c>
      <c r="CJ60" s="191">
        <f t="shared" si="58"/>
        <v>0</v>
      </c>
      <c r="CK60" s="191">
        <f t="shared" si="59"/>
        <v>0</v>
      </c>
      <c r="CL60" s="191">
        <f t="shared" si="60"/>
        <v>0</v>
      </c>
      <c r="CM60" s="191">
        <f t="shared" si="61"/>
        <v>0</v>
      </c>
      <c r="CN60" s="191">
        <f t="shared" si="62"/>
        <v>0</v>
      </c>
      <c r="CO60" s="191">
        <f t="shared" si="63"/>
        <v>0</v>
      </c>
      <c r="CP60" s="191">
        <f t="shared" si="64"/>
        <v>0</v>
      </c>
      <c r="CQ60" s="191">
        <f t="shared" si="81"/>
        <v>0</v>
      </c>
      <c r="CR60" s="191">
        <f t="shared" si="82"/>
        <v>0</v>
      </c>
      <c r="CS60" s="31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</row>
    <row r="61" spans="1:200" s="23" customFormat="1" ht="14.25" customHeight="1">
      <c r="A61" s="321"/>
      <c r="B61" s="253"/>
      <c r="C61" s="236"/>
      <c r="D61" s="218"/>
      <c r="E61" s="216"/>
      <c r="F61" s="215"/>
      <c r="G61" s="236"/>
      <c r="H61" s="218"/>
      <c r="I61" s="216"/>
      <c r="J61" s="215"/>
      <c r="K61" s="236"/>
      <c r="L61" s="218"/>
      <c r="M61" s="216"/>
      <c r="N61" s="215"/>
      <c r="O61" s="217"/>
      <c r="P61" s="214"/>
      <c r="Q61" s="214"/>
      <c r="R61" s="215"/>
      <c r="S61" s="217"/>
      <c r="T61" s="214"/>
      <c r="U61" s="214"/>
      <c r="V61" s="219"/>
      <c r="W61" s="230"/>
      <c r="X61" s="218"/>
      <c r="Y61" s="214"/>
      <c r="Z61" s="215"/>
      <c r="AA61" s="236"/>
      <c r="AB61" s="218"/>
      <c r="AC61" s="216"/>
      <c r="AD61" s="215"/>
      <c r="AE61" s="249">
        <f t="shared" si="67"/>
        <v>0</v>
      </c>
      <c r="AF61" s="238"/>
      <c r="AG61" s="41"/>
      <c r="AH61" s="191">
        <f t="shared" si="73"/>
        <v>0</v>
      </c>
      <c r="AI61" s="191">
        <f t="shared" si="40"/>
        <v>0</v>
      </c>
      <c r="AJ61" s="191">
        <f t="shared" si="75"/>
        <v>0</v>
      </c>
      <c r="AK61" s="191">
        <f t="shared" si="76"/>
        <v>0</v>
      </c>
      <c r="AL61" s="191">
        <f t="shared" si="43"/>
        <v>0</v>
      </c>
      <c r="AM61" s="191">
        <f t="shared" si="44"/>
        <v>0</v>
      </c>
      <c r="AN61" s="191">
        <f t="shared" si="45"/>
        <v>0</v>
      </c>
      <c r="AO61" s="191">
        <f t="shared" si="46"/>
        <v>0</v>
      </c>
      <c r="AP61" s="191">
        <f t="shared" si="47"/>
        <v>0</v>
      </c>
      <c r="AQ61" s="191">
        <f t="shared" si="48"/>
        <v>0</v>
      </c>
      <c r="AR61" s="191">
        <f t="shared" si="49"/>
        <v>0</v>
      </c>
      <c r="AS61" s="191">
        <f t="shared" si="50"/>
        <v>0</v>
      </c>
      <c r="AT61" s="191">
        <f t="shared" si="77"/>
        <v>0</v>
      </c>
      <c r="AU61" s="191">
        <f t="shared" si="78"/>
        <v>0</v>
      </c>
      <c r="AV61" s="31"/>
      <c r="AW61" s="24"/>
      <c r="AX61" s="321"/>
      <c r="AY61" s="253"/>
      <c r="AZ61" s="236"/>
      <c r="BA61" s="218"/>
      <c r="BB61" s="216"/>
      <c r="BC61" s="215"/>
      <c r="BD61" s="236"/>
      <c r="BE61" s="218"/>
      <c r="BF61" s="216"/>
      <c r="BG61" s="215"/>
      <c r="BH61" s="236"/>
      <c r="BI61" s="218"/>
      <c r="BJ61" s="216"/>
      <c r="BK61" s="215"/>
      <c r="BL61" s="217"/>
      <c r="BM61" s="214"/>
      <c r="BN61" s="214"/>
      <c r="BO61" s="215"/>
      <c r="BP61" s="217"/>
      <c r="BQ61" s="214"/>
      <c r="BR61" s="214"/>
      <c r="BS61" s="219"/>
      <c r="BT61" s="230"/>
      <c r="BU61" s="218"/>
      <c r="BV61" s="214"/>
      <c r="BW61" s="215"/>
      <c r="BX61" s="236"/>
      <c r="BY61" s="218"/>
      <c r="BZ61" s="216"/>
      <c r="CA61" s="215"/>
      <c r="CB61" s="249">
        <f t="shared" si="68"/>
        <v>0</v>
      </c>
      <c r="CC61" s="238"/>
      <c r="CD61" s="41"/>
      <c r="CE61" s="191">
        <f t="shared" si="74"/>
        <v>0</v>
      </c>
      <c r="CF61" s="191">
        <f t="shared" si="54"/>
        <v>0</v>
      </c>
      <c r="CG61" s="191">
        <f t="shared" si="79"/>
        <v>0</v>
      </c>
      <c r="CH61" s="191">
        <f t="shared" si="80"/>
        <v>0</v>
      </c>
      <c r="CI61" s="191">
        <f t="shared" si="57"/>
        <v>0</v>
      </c>
      <c r="CJ61" s="191">
        <f t="shared" si="58"/>
        <v>0</v>
      </c>
      <c r="CK61" s="191">
        <f t="shared" si="59"/>
        <v>0</v>
      </c>
      <c r="CL61" s="191">
        <f t="shared" si="60"/>
        <v>0</v>
      </c>
      <c r="CM61" s="191">
        <f t="shared" si="61"/>
        <v>0</v>
      </c>
      <c r="CN61" s="191">
        <f t="shared" si="62"/>
        <v>0</v>
      </c>
      <c r="CO61" s="191">
        <f t="shared" si="63"/>
        <v>0</v>
      </c>
      <c r="CP61" s="191">
        <f t="shared" si="64"/>
        <v>0</v>
      </c>
      <c r="CQ61" s="191">
        <f t="shared" si="81"/>
        <v>0</v>
      </c>
      <c r="CR61" s="191">
        <f t="shared" si="82"/>
        <v>0</v>
      </c>
      <c r="CS61" s="31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</row>
    <row r="62" spans="1:200" s="23" customFormat="1" ht="14.25" customHeight="1">
      <c r="A62" s="321"/>
      <c r="B62" s="255" t="s">
        <v>398</v>
      </c>
      <c r="C62" s="256"/>
      <c r="D62" s="257"/>
      <c r="E62" s="258"/>
      <c r="F62" s="259"/>
      <c r="G62" s="256"/>
      <c r="H62" s="257"/>
      <c r="I62" s="258"/>
      <c r="J62" s="259"/>
      <c r="K62" s="256"/>
      <c r="L62" s="257"/>
      <c r="M62" s="258"/>
      <c r="N62" s="259"/>
      <c r="O62" s="260"/>
      <c r="P62" s="261"/>
      <c r="Q62" s="261"/>
      <c r="R62" s="259"/>
      <c r="S62" s="260"/>
      <c r="T62" s="261"/>
      <c r="U62" s="261"/>
      <c r="V62" s="262"/>
      <c r="W62" s="263"/>
      <c r="X62" s="257"/>
      <c r="Y62" s="261"/>
      <c r="Z62" s="259"/>
      <c r="AA62" s="256"/>
      <c r="AB62" s="257"/>
      <c r="AC62" s="258"/>
      <c r="AD62" s="259"/>
      <c r="AE62" s="238">
        <f t="shared" si="67"/>
        <v>0</v>
      </c>
      <c r="AF62" s="238">
        <v>0</v>
      </c>
      <c r="AG62" s="41"/>
      <c r="AH62" s="191">
        <f t="shared" si="73"/>
        <v>0</v>
      </c>
      <c r="AI62" s="191">
        <f t="shared" si="40"/>
        <v>0</v>
      </c>
      <c r="AJ62" s="191">
        <f t="shared" si="75"/>
        <v>0</v>
      </c>
      <c r="AK62" s="191">
        <f t="shared" si="76"/>
        <v>0</v>
      </c>
      <c r="AL62" s="191">
        <f t="shared" si="43"/>
        <v>0</v>
      </c>
      <c r="AM62" s="191">
        <f t="shared" si="44"/>
        <v>0</v>
      </c>
      <c r="AN62" s="191">
        <f t="shared" si="45"/>
        <v>0</v>
      </c>
      <c r="AO62" s="191">
        <f t="shared" si="46"/>
        <v>0</v>
      </c>
      <c r="AP62" s="191">
        <f t="shared" si="47"/>
        <v>0</v>
      </c>
      <c r="AQ62" s="191">
        <f t="shared" si="48"/>
        <v>0</v>
      </c>
      <c r="AR62" s="191">
        <f t="shared" si="49"/>
        <v>0</v>
      </c>
      <c r="AS62" s="191">
        <f t="shared" si="50"/>
        <v>0</v>
      </c>
      <c r="AT62" s="191">
        <f t="shared" si="77"/>
        <v>0</v>
      </c>
      <c r="AU62" s="191">
        <f t="shared" si="78"/>
        <v>0</v>
      </c>
      <c r="AV62" s="31"/>
      <c r="AW62" s="24"/>
      <c r="AX62" s="321"/>
      <c r="AY62" s="255" t="s">
        <v>398</v>
      </c>
      <c r="AZ62" s="256"/>
      <c r="BA62" s="257"/>
      <c r="BB62" s="258"/>
      <c r="BC62" s="259"/>
      <c r="BD62" s="256"/>
      <c r="BE62" s="257"/>
      <c r="BF62" s="258"/>
      <c r="BG62" s="259"/>
      <c r="BH62" s="256"/>
      <c r="BI62" s="257"/>
      <c r="BJ62" s="258"/>
      <c r="BK62" s="259"/>
      <c r="BL62" s="260"/>
      <c r="BM62" s="261"/>
      <c r="BN62" s="261"/>
      <c r="BO62" s="259"/>
      <c r="BP62" s="260"/>
      <c r="BQ62" s="261"/>
      <c r="BR62" s="261"/>
      <c r="BS62" s="262"/>
      <c r="BT62" s="263"/>
      <c r="BU62" s="257"/>
      <c r="BV62" s="261"/>
      <c r="BW62" s="259"/>
      <c r="BX62" s="256"/>
      <c r="BY62" s="257"/>
      <c r="BZ62" s="258"/>
      <c r="CA62" s="259"/>
      <c r="CB62" s="238">
        <f t="shared" si="68"/>
        <v>0</v>
      </c>
      <c r="CC62" s="238">
        <v>0</v>
      </c>
      <c r="CD62" s="41"/>
      <c r="CE62" s="191">
        <f t="shared" si="74"/>
        <v>0</v>
      </c>
      <c r="CF62" s="191">
        <f t="shared" si="54"/>
        <v>0</v>
      </c>
      <c r="CG62" s="191">
        <f t="shared" si="79"/>
        <v>0</v>
      </c>
      <c r="CH62" s="191">
        <f t="shared" si="80"/>
        <v>0</v>
      </c>
      <c r="CI62" s="191">
        <f t="shared" si="57"/>
        <v>0</v>
      </c>
      <c r="CJ62" s="191">
        <f t="shared" si="58"/>
        <v>0</v>
      </c>
      <c r="CK62" s="191">
        <f t="shared" si="59"/>
        <v>0</v>
      </c>
      <c r="CL62" s="191">
        <f t="shared" si="60"/>
        <v>0</v>
      </c>
      <c r="CM62" s="191">
        <f t="shared" si="61"/>
        <v>0</v>
      </c>
      <c r="CN62" s="191">
        <f t="shared" si="62"/>
        <v>0</v>
      </c>
      <c r="CO62" s="191">
        <f t="shared" si="63"/>
        <v>0</v>
      </c>
      <c r="CP62" s="191">
        <f t="shared" si="64"/>
        <v>0</v>
      </c>
      <c r="CQ62" s="191">
        <f t="shared" si="81"/>
        <v>0</v>
      </c>
      <c r="CR62" s="191">
        <f t="shared" si="82"/>
        <v>0</v>
      </c>
      <c r="CS62" s="31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</row>
    <row r="63" spans="1:200" s="23" customFormat="1" ht="14.25" customHeight="1" thickBot="1">
      <c r="A63" s="321"/>
      <c r="B63" s="232"/>
      <c r="C63" s="216"/>
      <c r="D63" s="214"/>
      <c r="E63" s="214"/>
      <c r="F63" s="215"/>
      <c r="G63" s="217"/>
      <c r="H63" s="214"/>
      <c r="I63" s="214"/>
      <c r="J63" s="215"/>
      <c r="K63" s="217"/>
      <c r="L63" s="214"/>
      <c r="M63" s="214"/>
      <c r="N63" s="215"/>
      <c r="O63" s="217"/>
      <c r="P63" s="214"/>
      <c r="Q63" s="214"/>
      <c r="R63" s="215"/>
      <c r="S63" s="217"/>
      <c r="T63" s="214"/>
      <c r="U63" s="214"/>
      <c r="V63" s="215"/>
      <c r="W63" s="217"/>
      <c r="X63" s="214"/>
      <c r="Y63" s="214"/>
      <c r="Z63" s="215"/>
      <c r="AA63" s="217"/>
      <c r="AB63" s="214"/>
      <c r="AC63" s="214"/>
      <c r="AD63" s="215"/>
      <c r="AE63" s="238">
        <f t="shared" si="67"/>
        <v>0</v>
      </c>
      <c r="AF63" s="238"/>
      <c r="AG63" s="41"/>
      <c r="AH63" s="191">
        <f t="shared" si="73"/>
        <v>0</v>
      </c>
      <c r="AI63" s="191">
        <f t="shared" si="40"/>
        <v>0</v>
      </c>
      <c r="AJ63" s="191">
        <f t="shared" si="75"/>
        <v>0</v>
      </c>
      <c r="AK63" s="191">
        <f t="shared" si="76"/>
        <v>0</v>
      </c>
      <c r="AL63" s="191">
        <f t="shared" si="43"/>
        <v>0</v>
      </c>
      <c r="AM63" s="191">
        <f t="shared" si="44"/>
        <v>0</v>
      </c>
      <c r="AN63" s="191">
        <f t="shared" si="45"/>
        <v>0</v>
      </c>
      <c r="AO63" s="191">
        <f t="shared" si="46"/>
        <v>0</v>
      </c>
      <c r="AP63" s="191">
        <f t="shared" si="47"/>
        <v>0</v>
      </c>
      <c r="AQ63" s="191">
        <f t="shared" si="48"/>
        <v>0</v>
      </c>
      <c r="AR63" s="191">
        <f t="shared" si="49"/>
        <v>0</v>
      </c>
      <c r="AS63" s="191">
        <f t="shared" si="50"/>
        <v>0</v>
      </c>
      <c r="AT63" s="191">
        <f t="shared" si="77"/>
        <v>0</v>
      </c>
      <c r="AU63" s="191">
        <f t="shared" si="78"/>
        <v>0</v>
      </c>
      <c r="AV63" s="31"/>
      <c r="AW63" s="24"/>
      <c r="AX63" s="321"/>
      <c r="AY63" s="232"/>
      <c r="AZ63" s="216"/>
      <c r="BA63" s="214"/>
      <c r="BB63" s="214"/>
      <c r="BC63" s="215"/>
      <c r="BD63" s="217"/>
      <c r="BE63" s="214"/>
      <c r="BF63" s="214"/>
      <c r="BG63" s="215"/>
      <c r="BH63" s="217"/>
      <c r="BI63" s="214"/>
      <c r="BJ63" s="214"/>
      <c r="BK63" s="215"/>
      <c r="BL63" s="217"/>
      <c r="BM63" s="214"/>
      <c r="BN63" s="214"/>
      <c r="BO63" s="215"/>
      <c r="BP63" s="217"/>
      <c r="BQ63" s="214"/>
      <c r="BR63" s="214"/>
      <c r="BS63" s="215"/>
      <c r="BT63" s="217"/>
      <c r="BU63" s="214"/>
      <c r="BV63" s="214"/>
      <c r="BW63" s="215"/>
      <c r="BX63" s="217"/>
      <c r="BY63" s="214"/>
      <c r="BZ63" s="214"/>
      <c r="CA63" s="215"/>
      <c r="CB63" s="238">
        <f t="shared" si="68"/>
        <v>0</v>
      </c>
      <c r="CC63" s="238"/>
      <c r="CD63" s="41"/>
      <c r="CE63" s="191">
        <f t="shared" si="74"/>
        <v>0</v>
      </c>
      <c r="CF63" s="191">
        <f t="shared" si="54"/>
        <v>0</v>
      </c>
      <c r="CG63" s="191">
        <f t="shared" si="79"/>
        <v>0</v>
      </c>
      <c r="CH63" s="191">
        <f t="shared" si="80"/>
        <v>0</v>
      </c>
      <c r="CI63" s="191">
        <f t="shared" si="57"/>
        <v>0</v>
      </c>
      <c r="CJ63" s="191">
        <f t="shared" si="58"/>
        <v>0</v>
      </c>
      <c r="CK63" s="191">
        <f t="shared" si="59"/>
        <v>0</v>
      </c>
      <c r="CL63" s="191">
        <f t="shared" si="60"/>
        <v>0</v>
      </c>
      <c r="CM63" s="191">
        <f t="shared" si="61"/>
        <v>0</v>
      </c>
      <c r="CN63" s="191">
        <f t="shared" si="62"/>
        <v>0</v>
      </c>
      <c r="CO63" s="191">
        <f t="shared" si="63"/>
        <v>0</v>
      </c>
      <c r="CP63" s="191">
        <f t="shared" si="64"/>
        <v>0</v>
      </c>
      <c r="CQ63" s="191">
        <f t="shared" si="81"/>
        <v>0</v>
      </c>
      <c r="CR63" s="191">
        <f t="shared" si="82"/>
        <v>0</v>
      </c>
      <c r="CS63" s="31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</row>
    <row r="64" spans="1:200" s="23" customFormat="1" ht="14.25" customHeight="1" thickBot="1">
      <c r="A64" s="45"/>
      <c r="B64" s="210"/>
      <c r="C64" s="308" t="s">
        <v>369</v>
      </c>
      <c r="D64" s="309"/>
      <c r="E64" s="309"/>
      <c r="F64" s="310"/>
      <c r="G64" s="311" t="s">
        <v>378</v>
      </c>
      <c r="H64" s="312"/>
      <c r="I64" s="312"/>
      <c r="J64" s="313"/>
      <c r="K64" s="314" t="s">
        <v>379</v>
      </c>
      <c r="L64" s="315"/>
      <c r="M64" s="315"/>
      <c r="N64" s="315"/>
      <c r="O64" s="316" t="s">
        <v>390</v>
      </c>
      <c r="P64" s="317"/>
      <c r="Q64" s="317"/>
      <c r="R64" s="317"/>
      <c r="S64" s="354" t="s">
        <v>402</v>
      </c>
      <c r="T64" s="354"/>
      <c r="U64" s="354"/>
      <c r="V64" s="354"/>
      <c r="W64" s="318"/>
      <c r="X64" s="318"/>
      <c r="Y64" s="318"/>
      <c r="Z64" s="318"/>
      <c r="AA64" s="319" t="s">
        <v>400</v>
      </c>
      <c r="AB64" s="319"/>
      <c r="AC64" s="319"/>
      <c r="AD64" s="319"/>
      <c r="AE64" s="44"/>
      <c r="AF64" s="44"/>
      <c r="AG64" s="44"/>
      <c r="AH64" s="42"/>
      <c r="AI64" s="43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31"/>
      <c r="AW64" s="24"/>
      <c r="AX64" s="45"/>
      <c r="AY64" s="210"/>
      <c r="AZ64" s="308" t="s">
        <v>369</v>
      </c>
      <c r="BA64" s="309"/>
      <c r="BB64" s="309"/>
      <c r="BC64" s="310"/>
      <c r="BD64" s="311" t="s">
        <v>378</v>
      </c>
      <c r="BE64" s="312"/>
      <c r="BF64" s="312"/>
      <c r="BG64" s="313"/>
      <c r="BH64" s="314" t="s">
        <v>379</v>
      </c>
      <c r="BI64" s="315"/>
      <c r="BJ64" s="315"/>
      <c r="BK64" s="315"/>
      <c r="BL64" s="316" t="s">
        <v>390</v>
      </c>
      <c r="BM64" s="317"/>
      <c r="BN64" s="317"/>
      <c r="BO64" s="317"/>
      <c r="BP64" s="354" t="s">
        <v>402</v>
      </c>
      <c r="BQ64" s="354"/>
      <c r="BR64" s="354"/>
      <c r="BS64" s="354"/>
      <c r="BT64" s="318"/>
      <c r="BU64" s="318"/>
      <c r="BV64" s="318"/>
      <c r="BW64" s="318"/>
      <c r="BX64" s="319" t="s">
        <v>400</v>
      </c>
      <c r="BY64" s="319"/>
      <c r="BZ64" s="319"/>
      <c r="CA64" s="319"/>
      <c r="CB64" s="44"/>
      <c r="CC64" s="44"/>
      <c r="CD64" s="44"/>
      <c r="CE64" s="42"/>
      <c r="CF64" s="43"/>
      <c r="CG64" s="42"/>
      <c r="CH64" s="42"/>
      <c r="CI64" s="42"/>
      <c r="CJ64" s="42"/>
      <c r="CK64" s="42"/>
      <c r="CL64" s="42"/>
      <c r="CM64" s="42"/>
      <c r="CN64" s="42"/>
      <c r="CO64" s="42"/>
      <c r="CP64" s="42"/>
      <c r="CQ64" s="42"/>
      <c r="CR64" s="42"/>
      <c r="CS64" s="31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</row>
    <row r="65" spans="1:200" s="23" customFormat="1" ht="14.25" customHeight="1" thickBot="1">
      <c r="A65" s="47"/>
      <c r="B65" s="48" t="s">
        <v>262</v>
      </c>
      <c r="C65" s="288">
        <v>0.10416666666666667</v>
      </c>
      <c r="D65" s="288"/>
      <c r="E65" s="288"/>
      <c r="F65" s="288"/>
      <c r="G65" s="288">
        <v>0.10416666666666667</v>
      </c>
      <c r="H65" s="288"/>
      <c r="I65" s="288"/>
      <c r="J65" s="288"/>
      <c r="K65" s="288">
        <v>0.10416666666666667</v>
      </c>
      <c r="L65" s="288"/>
      <c r="M65" s="288"/>
      <c r="N65" s="288"/>
      <c r="O65" s="288">
        <v>0.17708333333333334</v>
      </c>
      <c r="P65" s="288"/>
      <c r="Q65" s="288"/>
      <c r="R65" s="288"/>
      <c r="S65" s="288">
        <v>0.24305555555555555</v>
      </c>
      <c r="T65" s="288"/>
      <c r="U65" s="288"/>
      <c r="V65" s="288"/>
      <c r="W65" s="288">
        <v>0.27083333333333331</v>
      </c>
      <c r="X65" s="288"/>
      <c r="Y65" s="288"/>
      <c r="Z65" s="288"/>
      <c r="AA65" s="288">
        <v>0.125</v>
      </c>
      <c r="AB65" s="288"/>
      <c r="AC65" s="288"/>
      <c r="AD65" s="288"/>
      <c r="AE65" s="27"/>
      <c r="AF65" s="27"/>
      <c r="AG65" s="27"/>
      <c r="AH65" s="42"/>
      <c r="AI65" s="43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31"/>
      <c r="AW65" s="24"/>
      <c r="AX65" s="47"/>
      <c r="AY65" s="48" t="s">
        <v>262</v>
      </c>
      <c r="AZ65" s="288">
        <v>0.10416666666666667</v>
      </c>
      <c r="BA65" s="288"/>
      <c r="BB65" s="288"/>
      <c r="BC65" s="288"/>
      <c r="BD65" s="288">
        <v>0.10416666666666667</v>
      </c>
      <c r="BE65" s="288"/>
      <c r="BF65" s="288"/>
      <c r="BG65" s="288"/>
      <c r="BH65" s="288">
        <v>0.10416666666666667</v>
      </c>
      <c r="BI65" s="288"/>
      <c r="BJ65" s="288"/>
      <c r="BK65" s="288"/>
      <c r="BL65" s="288">
        <v>0.17708333333333334</v>
      </c>
      <c r="BM65" s="288"/>
      <c r="BN65" s="288"/>
      <c r="BO65" s="288"/>
      <c r="BP65" s="288">
        <v>0.24305555555555555</v>
      </c>
      <c r="BQ65" s="288"/>
      <c r="BR65" s="288"/>
      <c r="BS65" s="288"/>
      <c r="BT65" s="288">
        <v>0.27083333333333331</v>
      </c>
      <c r="BU65" s="288"/>
      <c r="BV65" s="288"/>
      <c r="BW65" s="288"/>
      <c r="BX65" s="288">
        <v>0.125</v>
      </c>
      <c r="BY65" s="288"/>
      <c r="BZ65" s="288"/>
      <c r="CA65" s="288"/>
      <c r="CB65" s="27"/>
      <c r="CC65" s="27"/>
      <c r="CD65" s="27"/>
      <c r="CE65" s="42"/>
      <c r="CF65" s="43"/>
      <c r="CG65" s="42"/>
      <c r="CH65" s="42"/>
      <c r="CI65" s="42"/>
      <c r="CJ65" s="42"/>
      <c r="CK65" s="42"/>
      <c r="CL65" s="42"/>
      <c r="CM65" s="42"/>
      <c r="CN65" s="42"/>
      <c r="CO65" s="42"/>
      <c r="CP65" s="42"/>
      <c r="CQ65" s="42"/>
      <c r="CR65" s="42"/>
      <c r="CS65" s="31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</row>
    <row r="66" spans="1:200" s="23" customFormat="1" ht="14.25" customHeight="1">
      <c r="B66" s="49"/>
      <c r="C66" s="49"/>
      <c r="D66" s="49"/>
      <c r="E66" s="49"/>
      <c r="F66" s="49"/>
      <c r="G66" s="49"/>
      <c r="H66" s="49"/>
      <c r="I66" s="49"/>
      <c r="J66" s="49"/>
      <c r="K66" s="50"/>
      <c r="L66" s="51"/>
      <c r="M66" s="51"/>
      <c r="N66" s="51"/>
      <c r="O66" s="51"/>
      <c r="P66" s="51"/>
      <c r="Q66" s="51"/>
      <c r="R66" s="51"/>
      <c r="S66" s="287"/>
      <c r="T66" s="287"/>
      <c r="U66" s="287"/>
      <c r="V66" s="287"/>
      <c r="W66" s="52"/>
      <c r="X66" s="52"/>
      <c r="Y66" s="52"/>
      <c r="Z66" s="52"/>
      <c r="AA66" s="287"/>
      <c r="AB66" s="287"/>
      <c r="AC66" s="287"/>
      <c r="AD66" s="287"/>
      <c r="AE66" s="27"/>
      <c r="AF66" s="27"/>
      <c r="AG66" s="27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31"/>
      <c r="AW66" s="24"/>
      <c r="AY66" s="49"/>
      <c r="AZ66" s="49"/>
      <c r="BA66" s="49"/>
      <c r="BB66" s="49"/>
      <c r="BC66" s="49"/>
      <c r="BD66" s="49"/>
      <c r="BE66" s="49"/>
      <c r="BF66" s="49"/>
      <c r="BG66" s="49"/>
      <c r="BH66" s="50"/>
      <c r="BI66" s="51"/>
      <c r="BJ66" s="51"/>
      <c r="BK66" s="51"/>
      <c r="BL66" s="51"/>
      <c r="BM66" s="51"/>
      <c r="BN66" s="51"/>
      <c r="BO66" s="51"/>
      <c r="BP66" s="287"/>
      <c r="BQ66" s="287"/>
      <c r="BR66" s="287"/>
      <c r="BS66" s="287"/>
      <c r="BT66" s="52"/>
      <c r="BU66" s="52"/>
      <c r="BV66" s="52"/>
      <c r="BW66" s="52"/>
      <c r="BX66" s="287"/>
      <c r="BY66" s="287"/>
      <c r="BZ66" s="287"/>
      <c r="CA66" s="287"/>
      <c r="CB66" s="27"/>
      <c r="CC66" s="27"/>
      <c r="CD66" s="27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31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</row>
    <row r="67" spans="1:200" s="23" customFormat="1" ht="14.25" customHeight="1">
      <c r="A67" s="54"/>
      <c r="B67" s="55" t="s">
        <v>263</v>
      </c>
      <c r="C67" s="56"/>
      <c r="D67" s="56" t="s">
        <v>264</v>
      </c>
      <c r="E67" s="56"/>
      <c r="F67" s="56"/>
      <c r="G67" s="56"/>
      <c r="H67" s="56"/>
      <c r="I67" s="56"/>
      <c r="J67" s="57"/>
      <c r="K67" s="283"/>
      <c r="L67" s="283"/>
      <c r="M67" s="283"/>
      <c r="N67" s="283"/>
      <c r="O67" s="283"/>
      <c r="P67" s="283"/>
      <c r="Q67" s="283"/>
      <c r="R67" s="283"/>
      <c r="S67" s="283"/>
      <c r="T67" s="52"/>
      <c r="U67" s="52"/>
      <c r="V67" s="52"/>
      <c r="W67" s="52" t="s">
        <v>383</v>
      </c>
      <c r="X67" s="52"/>
      <c r="Y67" s="52" t="s">
        <v>384</v>
      </c>
      <c r="Z67" s="52"/>
      <c r="AA67" s="52"/>
      <c r="AB67" s="52"/>
      <c r="AC67" s="52"/>
      <c r="AD67" s="58"/>
      <c r="AE67" s="27"/>
      <c r="AF67" s="27"/>
      <c r="AG67" s="59" t="s">
        <v>265</v>
      </c>
      <c r="AH67" s="60">
        <f>SUM(AH47:AH65)</f>
        <v>0.54166666666666674</v>
      </c>
      <c r="AI67" s="60">
        <f>SUM(AI47:AI64)</f>
        <v>0.27083333333333326</v>
      </c>
      <c r="AJ67" s="60">
        <f t="shared" ref="AJ67:AU67" si="83">SUM(AJ47:AJ65)</f>
        <v>0.12500000000000006</v>
      </c>
      <c r="AK67" s="60">
        <f t="shared" si="83"/>
        <v>0.72916666666666663</v>
      </c>
      <c r="AL67" s="60">
        <f t="shared" si="83"/>
        <v>0.12500000000000006</v>
      </c>
      <c r="AM67" s="60">
        <f t="shared" si="83"/>
        <v>0.72916666666666663</v>
      </c>
      <c r="AN67" s="60">
        <f t="shared" si="83"/>
        <v>0.25000000000000011</v>
      </c>
      <c r="AO67" s="60">
        <f t="shared" si="83"/>
        <v>1.0416666666666665</v>
      </c>
      <c r="AP67" s="60">
        <f t="shared" si="83"/>
        <v>0.12500000000000006</v>
      </c>
      <c r="AQ67" s="60">
        <f t="shared" si="83"/>
        <v>1.125</v>
      </c>
      <c r="AR67" s="60">
        <f t="shared" si="83"/>
        <v>0.12500000000000006</v>
      </c>
      <c r="AS67" s="60">
        <f t="shared" si="83"/>
        <v>1.1458333333333333</v>
      </c>
      <c r="AT67" s="60">
        <f t="shared" si="83"/>
        <v>0.12500000000000006</v>
      </c>
      <c r="AU67" s="60">
        <f t="shared" si="83"/>
        <v>0.77083333333333326</v>
      </c>
      <c r="AV67" s="31"/>
      <c r="AW67" s="24"/>
      <c r="AX67" s="54"/>
      <c r="AY67" s="55" t="s">
        <v>263</v>
      </c>
      <c r="AZ67" s="56"/>
      <c r="BA67" s="56" t="s">
        <v>264</v>
      </c>
      <c r="BB67" s="56"/>
      <c r="BC67" s="56"/>
      <c r="BD67" s="56"/>
      <c r="BE67" s="56"/>
      <c r="BF67" s="56"/>
      <c r="BG67" s="57"/>
      <c r="BH67" s="283"/>
      <c r="BI67" s="283"/>
      <c r="BJ67" s="283"/>
      <c r="BK67" s="283"/>
      <c r="BL67" s="283"/>
      <c r="BM67" s="283"/>
      <c r="BN67" s="283"/>
      <c r="BO67" s="283"/>
      <c r="BP67" s="283"/>
      <c r="BQ67" s="52"/>
      <c r="BR67" s="52"/>
      <c r="BS67" s="52"/>
      <c r="BT67" s="52" t="s">
        <v>383</v>
      </c>
      <c r="BU67" s="52"/>
      <c r="BV67" s="52" t="s">
        <v>384</v>
      </c>
      <c r="BW67" s="52"/>
      <c r="BX67" s="52"/>
      <c r="BY67" s="52"/>
      <c r="BZ67" s="52"/>
      <c r="CA67" s="58"/>
      <c r="CB67" s="27"/>
      <c r="CC67" s="27"/>
      <c r="CD67" s="59" t="s">
        <v>265</v>
      </c>
      <c r="CE67" s="60">
        <f>SUM(CE47:CE65)</f>
        <v>0.54166666666666674</v>
      </c>
      <c r="CF67" s="60">
        <f>SUM(CF47:CF64)</f>
        <v>0.27083333333333326</v>
      </c>
      <c r="CG67" s="60">
        <f t="shared" ref="CG67:CR67" si="84">SUM(CG47:CG65)</f>
        <v>0.12500000000000006</v>
      </c>
      <c r="CH67" s="60">
        <f t="shared" si="84"/>
        <v>0.72916666666666663</v>
      </c>
      <c r="CI67" s="60">
        <f t="shared" si="84"/>
        <v>0.12500000000000006</v>
      </c>
      <c r="CJ67" s="60">
        <f t="shared" si="84"/>
        <v>0.72916666666666663</v>
      </c>
      <c r="CK67" s="60">
        <f t="shared" si="84"/>
        <v>0.25000000000000011</v>
      </c>
      <c r="CL67" s="60">
        <f t="shared" si="84"/>
        <v>1.0416666666666665</v>
      </c>
      <c r="CM67" s="60">
        <f t="shared" si="84"/>
        <v>0.12500000000000006</v>
      </c>
      <c r="CN67" s="60">
        <f t="shared" si="84"/>
        <v>1.125</v>
      </c>
      <c r="CO67" s="60">
        <f t="shared" si="84"/>
        <v>0.12500000000000006</v>
      </c>
      <c r="CP67" s="60">
        <f t="shared" si="84"/>
        <v>1.1458333333333333</v>
      </c>
      <c r="CQ67" s="60">
        <f t="shared" si="84"/>
        <v>0.12500000000000006</v>
      </c>
      <c r="CR67" s="60">
        <f t="shared" si="84"/>
        <v>0.77083333333333326</v>
      </c>
      <c r="CS67" s="31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</row>
    <row r="68" spans="1:200" s="23" customFormat="1" ht="14.25" customHeight="1">
      <c r="A68" s="54"/>
      <c r="B68" s="61" t="s">
        <v>266</v>
      </c>
      <c r="C68" s="62"/>
      <c r="D68" s="62" t="s">
        <v>267</v>
      </c>
      <c r="E68" s="62"/>
      <c r="F68" s="62"/>
      <c r="G68" s="62"/>
      <c r="H68" s="62"/>
      <c r="I68" s="62"/>
      <c r="J68" s="63"/>
      <c r="K68" s="283"/>
      <c r="L68" s="283"/>
      <c r="M68" s="283"/>
      <c r="N68" s="283"/>
      <c r="O68" s="283"/>
      <c r="P68" s="283"/>
      <c r="Q68" s="283"/>
      <c r="R68" s="283"/>
      <c r="S68" s="283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8"/>
      <c r="AE68" s="27"/>
      <c r="AF68" s="27"/>
      <c r="AG68" s="64" t="s">
        <v>268</v>
      </c>
      <c r="AH68" s="284">
        <f>SUM(AH67:AI67)-C65</f>
        <v>0.70833333333333337</v>
      </c>
      <c r="AI68" s="284"/>
      <c r="AJ68" s="284">
        <f>SUM(AJ67:AK67)-G65</f>
        <v>0.75000000000000011</v>
      </c>
      <c r="AK68" s="284"/>
      <c r="AL68" s="284">
        <f>SUM(AL67:AM67)-K65</f>
        <v>0.75000000000000011</v>
      </c>
      <c r="AM68" s="284"/>
      <c r="AN68" s="284">
        <f>SUM(AN67:AO67)-O65</f>
        <v>1.1145833333333333</v>
      </c>
      <c r="AO68" s="284"/>
      <c r="AP68" s="284">
        <f>SUM(AP67:AQ67)-S65</f>
        <v>1.0069444444444444</v>
      </c>
      <c r="AQ68" s="284"/>
      <c r="AR68" s="284">
        <f>SUM(AR67:AS67)-W65</f>
        <v>1</v>
      </c>
      <c r="AS68" s="284"/>
      <c r="AT68" s="284">
        <f>SUM(AT67:AU67)-AA65</f>
        <v>0.77083333333333326</v>
      </c>
      <c r="AU68" s="284"/>
      <c r="AV68" s="65">
        <f>SUM(AH68:AU68)</f>
        <v>6.1006944444444446</v>
      </c>
      <c r="AW68" s="24"/>
      <c r="AX68" s="54"/>
      <c r="AY68" s="61" t="s">
        <v>266</v>
      </c>
      <c r="AZ68" s="62"/>
      <c r="BA68" s="62" t="s">
        <v>267</v>
      </c>
      <c r="BB68" s="62"/>
      <c r="BC68" s="62"/>
      <c r="BD68" s="62"/>
      <c r="BE68" s="62"/>
      <c r="BF68" s="62"/>
      <c r="BG68" s="63"/>
      <c r="BH68" s="283"/>
      <c r="BI68" s="283"/>
      <c r="BJ68" s="283"/>
      <c r="BK68" s="283"/>
      <c r="BL68" s="283"/>
      <c r="BM68" s="283"/>
      <c r="BN68" s="283"/>
      <c r="BO68" s="283"/>
      <c r="BP68" s="283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8"/>
      <c r="CB68" s="27"/>
      <c r="CC68" s="27"/>
      <c r="CD68" s="64" t="s">
        <v>268</v>
      </c>
      <c r="CE68" s="284">
        <f>SUM(CE67:CF67)-AZ65</f>
        <v>0.70833333333333337</v>
      </c>
      <c r="CF68" s="284"/>
      <c r="CG68" s="284">
        <f>SUM(CG67:CH67)-BD65</f>
        <v>0.75000000000000011</v>
      </c>
      <c r="CH68" s="284"/>
      <c r="CI68" s="284">
        <f>SUM(CI67:CJ67)-BH65</f>
        <v>0.75000000000000011</v>
      </c>
      <c r="CJ68" s="284"/>
      <c r="CK68" s="284">
        <f>SUM(CK67:CL67)-BL65</f>
        <v>1.1145833333333333</v>
      </c>
      <c r="CL68" s="284"/>
      <c r="CM68" s="284">
        <f>SUM(CM67:CN67)-BP65</f>
        <v>1.0069444444444444</v>
      </c>
      <c r="CN68" s="284"/>
      <c r="CO68" s="284">
        <f>SUM(CO67:CP67)-BT65</f>
        <v>1</v>
      </c>
      <c r="CP68" s="284"/>
      <c r="CQ68" s="284">
        <f>SUM(CQ67:CR67)-BX65</f>
        <v>0.77083333333333326</v>
      </c>
      <c r="CR68" s="284"/>
      <c r="CS68" s="65">
        <f>SUM(CE68:CR68)</f>
        <v>6.1006944444444446</v>
      </c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</row>
    <row r="69" spans="1:200" s="23" customFormat="1" ht="14.25" customHeight="1">
      <c r="A69" s="54"/>
      <c r="B69" s="66" t="s">
        <v>269</v>
      </c>
      <c r="C69" s="67"/>
      <c r="D69" s="67" t="s">
        <v>270</v>
      </c>
      <c r="E69" s="67"/>
      <c r="F69" s="67"/>
      <c r="G69" s="67"/>
      <c r="H69" s="67"/>
      <c r="I69" s="67"/>
      <c r="J69" s="68"/>
      <c r="K69" s="285"/>
      <c r="L69" s="285"/>
      <c r="M69" s="285"/>
      <c r="N69" s="285"/>
      <c r="O69" s="285"/>
      <c r="P69" s="285"/>
      <c r="Q69" s="285"/>
      <c r="R69" s="285"/>
      <c r="S69" s="285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8"/>
      <c r="AE69" s="27"/>
      <c r="AF69" s="27"/>
      <c r="AG69" s="69">
        <f>AJ38</f>
        <v>28</v>
      </c>
      <c r="AH69" s="286">
        <f>AH68*24*AG69</f>
        <v>476</v>
      </c>
      <c r="AI69" s="286"/>
      <c r="AJ69" s="286">
        <f>AJ68*24*AG69</f>
        <v>504.00000000000011</v>
      </c>
      <c r="AK69" s="286"/>
      <c r="AL69" s="286">
        <f>AL68*24*AG69</f>
        <v>504.00000000000011</v>
      </c>
      <c r="AM69" s="286"/>
      <c r="AN69" s="286">
        <f>AN68*24*AG69</f>
        <v>749</v>
      </c>
      <c r="AO69" s="286"/>
      <c r="AP69" s="286">
        <f>AP68*24*AG69</f>
        <v>676.66666666666663</v>
      </c>
      <c r="AQ69" s="286"/>
      <c r="AR69" s="286">
        <f>AR68*24*AG69</f>
        <v>672</v>
      </c>
      <c r="AS69" s="286"/>
      <c r="AT69" s="286">
        <f>AT68*24*AG69</f>
        <v>518</v>
      </c>
      <c r="AU69" s="286"/>
      <c r="AV69" s="31"/>
      <c r="AW69" s="24"/>
      <c r="AX69" s="54"/>
      <c r="AY69" s="66" t="s">
        <v>269</v>
      </c>
      <c r="AZ69" s="67"/>
      <c r="BA69" s="67" t="s">
        <v>270</v>
      </c>
      <c r="BB69" s="67"/>
      <c r="BC69" s="67"/>
      <c r="BD69" s="67"/>
      <c r="BE69" s="67"/>
      <c r="BF69" s="67"/>
      <c r="BG69" s="68"/>
      <c r="BH69" s="285"/>
      <c r="BI69" s="285"/>
      <c r="BJ69" s="285"/>
      <c r="BK69" s="285"/>
      <c r="BL69" s="285"/>
      <c r="BM69" s="285"/>
      <c r="BN69" s="285"/>
      <c r="BO69" s="285"/>
      <c r="BP69" s="285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8"/>
      <c r="CB69" s="27"/>
      <c r="CC69" s="27"/>
      <c r="CD69" s="69">
        <f>CG38</f>
        <v>28</v>
      </c>
      <c r="CE69" s="286">
        <f>CE68*24*CD69</f>
        <v>476</v>
      </c>
      <c r="CF69" s="286"/>
      <c r="CG69" s="286">
        <f>CG68*24*CD69</f>
        <v>504.00000000000011</v>
      </c>
      <c r="CH69" s="286"/>
      <c r="CI69" s="286">
        <f>CI68*24*CD69</f>
        <v>504.00000000000011</v>
      </c>
      <c r="CJ69" s="286"/>
      <c r="CK69" s="286">
        <f>CK68*24*CD69</f>
        <v>749</v>
      </c>
      <c r="CL69" s="286"/>
      <c r="CM69" s="286">
        <f>CM68*24*CD69</f>
        <v>676.66666666666663</v>
      </c>
      <c r="CN69" s="286"/>
      <c r="CO69" s="286">
        <f>CO68*24*CD69</f>
        <v>672</v>
      </c>
      <c r="CP69" s="286"/>
      <c r="CQ69" s="286">
        <f>CQ68*24*CD69</f>
        <v>518</v>
      </c>
      <c r="CR69" s="286"/>
      <c r="CS69" s="31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</row>
    <row r="70" spans="1:200" s="23" customFormat="1" ht="14.25" customHeight="1">
      <c r="A70" s="54"/>
      <c r="B70" s="61" t="s">
        <v>271</v>
      </c>
      <c r="C70" s="71"/>
      <c r="D70" s="71" t="s">
        <v>272</v>
      </c>
      <c r="E70" s="71"/>
      <c r="F70" s="71"/>
      <c r="G70" s="71"/>
      <c r="H70" s="71"/>
      <c r="I70" s="71"/>
      <c r="J70" s="72"/>
      <c r="K70" s="290"/>
      <c r="L70" s="290"/>
      <c r="M70" s="290"/>
      <c r="N70" s="290"/>
      <c r="O70" s="290"/>
      <c r="P70" s="290"/>
      <c r="Q70" s="290"/>
      <c r="R70" s="290"/>
      <c r="S70" s="290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8"/>
      <c r="AE70" s="27"/>
      <c r="AF70" s="27"/>
      <c r="AG70" s="28" t="s">
        <v>258</v>
      </c>
      <c r="AH70" s="281">
        <f>100/AH42*AH69/100</f>
        <v>9.5199999999999993E-2</v>
      </c>
      <c r="AI70" s="281"/>
      <c r="AJ70" s="281">
        <f>100/AJ42*AJ69/100</f>
        <v>8.4000000000000019E-2</v>
      </c>
      <c r="AK70" s="281"/>
      <c r="AL70" s="281">
        <f>100/AL42*AL69/100</f>
        <v>8.4000000000000019E-2</v>
      </c>
      <c r="AM70" s="281"/>
      <c r="AN70" s="281">
        <f>100/AN42*AN69/100</f>
        <v>9.3625000000000014E-2</v>
      </c>
      <c r="AO70" s="281"/>
      <c r="AP70" s="281">
        <f>100/AP42*AP69/100</f>
        <v>5.6388888888888884E-2</v>
      </c>
      <c r="AQ70" s="281"/>
      <c r="AR70" s="281">
        <f>100/AR42*AR69/100</f>
        <v>5.5999999999999994E-2</v>
      </c>
      <c r="AS70" s="281"/>
      <c r="AT70" s="281">
        <f>100/AT42*AT69/100</f>
        <v>7.3999999999999996E-2</v>
      </c>
      <c r="AU70" s="281"/>
      <c r="AV70" s="31"/>
      <c r="AW70" s="24"/>
      <c r="AX70" s="54"/>
      <c r="AY70" s="61" t="s">
        <v>271</v>
      </c>
      <c r="AZ70" s="71"/>
      <c r="BA70" s="71" t="s">
        <v>272</v>
      </c>
      <c r="BB70" s="71"/>
      <c r="BC70" s="71"/>
      <c r="BD70" s="71"/>
      <c r="BE70" s="71"/>
      <c r="BF70" s="71"/>
      <c r="BG70" s="72"/>
      <c r="BH70" s="290"/>
      <c r="BI70" s="290"/>
      <c r="BJ70" s="290"/>
      <c r="BK70" s="290"/>
      <c r="BL70" s="290"/>
      <c r="BM70" s="290"/>
      <c r="BN70" s="290"/>
      <c r="BO70" s="290"/>
      <c r="BP70" s="290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8"/>
      <c r="CB70" s="27"/>
      <c r="CC70" s="27"/>
      <c r="CD70" s="28" t="s">
        <v>258</v>
      </c>
      <c r="CE70" s="281">
        <f>100/CE42*CE69/100</f>
        <v>9.5199999999999993E-2</v>
      </c>
      <c r="CF70" s="281"/>
      <c r="CG70" s="281">
        <f>100/CG42*CG69/100</f>
        <v>8.4000000000000019E-2</v>
      </c>
      <c r="CH70" s="281"/>
      <c r="CI70" s="281">
        <f>100/CI42*CI69/100</f>
        <v>8.4000000000000019E-2</v>
      </c>
      <c r="CJ70" s="281"/>
      <c r="CK70" s="281">
        <f>100/CK42*CK69/100</f>
        <v>9.3625000000000014E-2</v>
      </c>
      <c r="CL70" s="281"/>
      <c r="CM70" s="281">
        <f>100/CM42*CM69/100</f>
        <v>5.6388888888888884E-2</v>
      </c>
      <c r="CN70" s="281"/>
      <c r="CO70" s="281">
        <f>100/CO42*CO69/100</f>
        <v>5.5999999999999994E-2</v>
      </c>
      <c r="CP70" s="281"/>
      <c r="CQ70" s="281">
        <f>100/CQ42*CQ69/100</f>
        <v>7.3999999999999996E-2</v>
      </c>
      <c r="CR70" s="281"/>
      <c r="CS70" s="31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</row>
    <row r="71" spans="1:200" s="23" customFormat="1" ht="14.25" customHeight="1">
      <c r="A71" s="73"/>
      <c r="B71" s="74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E71" s="27"/>
      <c r="AF71" s="27"/>
      <c r="AG71" s="28" t="s">
        <v>273</v>
      </c>
      <c r="AH71" s="70">
        <f>SUM(AH70:AU70)</f>
        <v>0.54321388888888889</v>
      </c>
      <c r="AI71" s="76">
        <f>AH71/7</f>
        <v>7.760198412698413E-2</v>
      </c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31"/>
      <c r="AW71" s="24"/>
      <c r="AX71" s="73"/>
      <c r="AY71" s="74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B71" s="27"/>
      <c r="CC71" s="27"/>
      <c r="CD71" s="28" t="s">
        <v>273</v>
      </c>
      <c r="CE71" s="70">
        <f>SUM(CE70:CR70)</f>
        <v>0.54321388888888889</v>
      </c>
      <c r="CF71" s="76">
        <f>CE71/7</f>
        <v>7.760198412698413E-2</v>
      </c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31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</row>
    <row r="72" spans="1:200" s="23" customFormat="1" ht="14.25" customHeight="1">
      <c r="A72" s="20"/>
      <c r="B72" s="74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E72" s="192"/>
      <c r="AF72" s="24"/>
      <c r="AG72" s="24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25"/>
      <c r="AV72" s="26"/>
      <c r="AW72" s="24"/>
      <c r="AX72" s="20"/>
      <c r="AY72" s="74"/>
      <c r="AZ72" s="282"/>
      <c r="BA72" s="282"/>
      <c r="BB72" s="282"/>
      <c r="BC72" s="282"/>
      <c r="BD72" s="282"/>
      <c r="BE72" s="282"/>
      <c r="BF72" s="282"/>
      <c r="BG72" s="282"/>
      <c r="BH72" s="282"/>
      <c r="BI72" s="282"/>
      <c r="BJ72" s="282"/>
      <c r="BK72" s="282"/>
      <c r="BL72" s="282"/>
      <c r="BM72" s="282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B72" s="192"/>
      <c r="CC72" s="24"/>
      <c r="CD72" s="24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25"/>
      <c r="CS72" s="26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</row>
    <row r="73" spans="1:200" s="23" customFormat="1" ht="14.25" customHeight="1">
      <c r="A73" s="20"/>
      <c r="B73" s="85"/>
      <c r="C73" s="22"/>
      <c r="D73" s="22"/>
      <c r="E73" s="22"/>
      <c r="G73" s="22"/>
      <c r="H73" s="22"/>
      <c r="I73" s="22"/>
      <c r="K73" s="22"/>
      <c r="L73" s="22"/>
      <c r="M73" s="22"/>
      <c r="O73" s="22"/>
      <c r="P73" s="22"/>
      <c r="Q73" s="22"/>
      <c r="S73" s="22"/>
      <c r="T73" s="22"/>
      <c r="U73" s="22"/>
      <c r="W73" s="22"/>
      <c r="X73" s="22"/>
      <c r="Y73" s="22"/>
      <c r="AA73" s="22"/>
      <c r="AB73" s="22"/>
      <c r="AC73" s="22"/>
      <c r="AE73" s="24"/>
      <c r="AF73" s="24"/>
      <c r="AG73" s="24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6"/>
      <c r="AW73" s="24"/>
      <c r="AX73" s="20"/>
      <c r="AY73" s="85"/>
      <c r="AZ73" s="22"/>
      <c r="BA73" s="22"/>
      <c r="BB73" s="22"/>
      <c r="BD73" s="22"/>
      <c r="BE73" s="22"/>
      <c r="BF73" s="22"/>
      <c r="BH73" s="22"/>
      <c r="BI73" s="22"/>
      <c r="BJ73" s="22"/>
      <c r="BL73" s="22"/>
      <c r="BM73" s="22"/>
      <c r="BN73" s="22"/>
      <c r="BP73" s="22"/>
      <c r="BQ73" s="22"/>
      <c r="BR73" s="22"/>
      <c r="BT73" s="22"/>
      <c r="BU73" s="22"/>
      <c r="BV73" s="22"/>
      <c r="BX73" s="22"/>
      <c r="BY73" s="22"/>
      <c r="BZ73" s="22"/>
      <c r="CB73" s="24"/>
      <c r="CC73" s="24"/>
      <c r="CD73" s="24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6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</row>
    <row r="74" spans="1:200" s="23" customFormat="1" ht="14.25" customHeight="1">
      <c r="A74" s="20"/>
      <c r="B74" s="85"/>
      <c r="C74" s="22"/>
      <c r="D74" s="22"/>
      <c r="E74" s="22"/>
      <c r="G74" s="22"/>
      <c r="H74" s="22"/>
      <c r="I74" s="22"/>
      <c r="K74" s="22"/>
      <c r="L74" s="22"/>
      <c r="M74" s="22"/>
      <c r="O74" s="22"/>
      <c r="P74" s="22"/>
      <c r="Q74" s="22"/>
      <c r="S74" s="22"/>
      <c r="T74" s="22"/>
      <c r="U74" s="22"/>
      <c r="W74" s="22"/>
      <c r="X74" s="22"/>
      <c r="Y74" s="22"/>
      <c r="AA74" s="22"/>
      <c r="AB74" s="22"/>
      <c r="AC74" s="22"/>
      <c r="AE74" s="24"/>
      <c r="AF74" s="24"/>
      <c r="AG74" s="24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6"/>
      <c r="AW74" s="24"/>
      <c r="AX74" s="20"/>
      <c r="AY74" s="85"/>
      <c r="AZ74" s="22"/>
      <c r="BA74" s="22"/>
      <c r="BB74" s="22"/>
      <c r="BD74" s="22"/>
      <c r="BE74" s="22"/>
      <c r="BF74" s="22"/>
      <c r="BH74" s="22"/>
      <c r="BI74" s="22"/>
      <c r="BJ74" s="22"/>
      <c r="BL74" s="22"/>
      <c r="BM74" s="22"/>
      <c r="BN74" s="22"/>
      <c r="BP74" s="22"/>
      <c r="BQ74" s="22"/>
      <c r="BR74" s="22"/>
      <c r="BT74" s="22"/>
      <c r="BU74" s="22"/>
      <c r="BV74" s="22"/>
      <c r="BX74" s="22"/>
      <c r="BY74" s="22"/>
      <c r="BZ74" s="22"/>
      <c r="CB74" s="24"/>
      <c r="CC74" s="24"/>
      <c r="CD74" s="24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6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</row>
    <row r="75" spans="1:200" s="23" customFormat="1" ht="14.25" customHeight="1">
      <c r="A75" s="20"/>
      <c r="B75" s="85"/>
      <c r="C75" s="22"/>
      <c r="D75" s="22"/>
      <c r="E75" s="22"/>
      <c r="G75" s="22"/>
      <c r="H75" s="22"/>
      <c r="I75" s="22"/>
      <c r="K75" s="22"/>
      <c r="L75" s="22"/>
      <c r="M75" s="22"/>
      <c r="O75" s="22"/>
      <c r="P75" s="22"/>
      <c r="Q75" s="22"/>
      <c r="S75" s="22"/>
      <c r="T75" s="22"/>
      <c r="U75" s="22"/>
      <c r="W75" s="22"/>
      <c r="X75" s="22"/>
      <c r="Y75" s="22"/>
      <c r="AA75" s="22"/>
      <c r="AB75" s="22"/>
      <c r="AC75" s="22"/>
      <c r="AE75" s="24"/>
      <c r="AF75" s="24"/>
      <c r="AG75" s="24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6"/>
      <c r="AW75" s="24"/>
      <c r="AX75" s="20"/>
      <c r="AY75" s="85"/>
      <c r="AZ75" s="22"/>
      <c r="BA75" s="22"/>
      <c r="BB75" s="22"/>
      <c r="BD75" s="22"/>
      <c r="BE75" s="22"/>
      <c r="BF75" s="22"/>
      <c r="BH75" s="22"/>
      <c r="BI75" s="22"/>
      <c r="BJ75" s="22"/>
      <c r="BL75" s="22"/>
      <c r="BM75" s="22"/>
      <c r="BN75" s="22"/>
      <c r="BP75" s="22"/>
      <c r="BQ75" s="22"/>
      <c r="BR75" s="22"/>
      <c r="BT75" s="22"/>
      <c r="BU75" s="22"/>
      <c r="BV75" s="22"/>
      <c r="BX75" s="22"/>
      <c r="BY75" s="22"/>
      <c r="BZ75" s="22"/>
      <c r="CB75" s="24"/>
      <c r="CC75" s="24"/>
      <c r="CD75" s="24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6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</row>
    <row r="76" spans="1:200" s="23" customFormat="1" ht="14.25" customHeight="1">
      <c r="A76" s="20"/>
      <c r="B76" s="85"/>
      <c r="C76" s="22"/>
      <c r="D76" s="22"/>
      <c r="E76" s="22"/>
      <c r="G76" s="22"/>
      <c r="H76" s="22"/>
      <c r="I76" s="22"/>
      <c r="K76" s="22"/>
      <c r="L76" s="22"/>
      <c r="M76" s="22"/>
      <c r="O76" s="22"/>
      <c r="P76" s="22"/>
      <c r="Q76" s="22"/>
      <c r="S76" s="22"/>
      <c r="T76" s="22"/>
      <c r="U76" s="22"/>
      <c r="W76" s="22"/>
      <c r="X76" s="22"/>
      <c r="Y76" s="22"/>
      <c r="AA76" s="22"/>
      <c r="AB76" s="22"/>
      <c r="AC76" s="22"/>
      <c r="AE76" s="24"/>
      <c r="AF76" s="24"/>
      <c r="AG76" s="24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6"/>
      <c r="AW76" s="24"/>
      <c r="AX76" s="20"/>
      <c r="AY76" s="85"/>
      <c r="AZ76" s="22"/>
      <c r="BA76" s="22"/>
      <c r="BB76" s="22"/>
      <c r="BD76" s="22"/>
      <c r="BE76" s="22"/>
      <c r="BF76" s="22"/>
      <c r="BH76" s="22"/>
      <c r="BI76" s="22"/>
      <c r="BJ76" s="22"/>
      <c r="BL76" s="22"/>
      <c r="BM76" s="22"/>
      <c r="BN76" s="22"/>
      <c r="BP76" s="22"/>
      <c r="BQ76" s="22"/>
      <c r="BR76" s="22"/>
      <c r="BT76" s="22"/>
      <c r="BU76" s="22"/>
      <c r="BV76" s="22"/>
      <c r="BX76" s="22"/>
      <c r="BY76" s="22"/>
      <c r="BZ76" s="22"/>
      <c r="CB76" s="24"/>
      <c r="CC76" s="24"/>
      <c r="CD76" s="24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6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</row>
    <row r="77" spans="1:200" s="23" customFormat="1" ht="14.25" customHeight="1">
      <c r="A77" s="20"/>
      <c r="B77" s="85"/>
      <c r="C77" s="22"/>
      <c r="D77" s="22"/>
      <c r="E77" s="22"/>
      <c r="G77" s="22"/>
      <c r="H77" s="22"/>
      <c r="I77" s="22"/>
      <c r="K77" s="22"/>
      <c r="L77" s="22"/>
      <c r="M77" s="22"/>
      <c r="O77" s="22"/>
      <c r="P77" s="22"/>
      <c r="Q77" s="22"/>
      <c r="S77" s="22"/>
      <c r="T77" s="22"/>
      <c r="U77" s="22"/>
      <c r="W77" s="22"/>
      <c r="X77" s="22"/>
      <c r="Y77" s="22"/>
      <c r="AA77" s="22"/>
      <c r="AB77" s="22"/>
      <c r="AC77" s="22"/>
      <c r="AE77" s="24"/>
      <c r="AF77" s="24"/>
      <c r="AG77" s="24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6"/>
      <c r="AW77" s="24"/>
      <c r="AX77" s="20"/>
      <c r="AY77" s="85"/>
      <c r="AZ77" s="22"/>
      <c r="BA77" s="22"/>
      <c r="BB77" s="22"/>
      <c r="BD77" s="22"/>
      <c r="BE77" s="22"/>
      <c r="BF77" s="22"/>
      <c r="BH77" s="22"/>
      <c r="BI77" s="22"/>
      <c r="BJ77" s="22"/>
      <c r="BL77" s="22"/>
      <c r="BM77" s="22"/>
      <c r="BN77" s="22"/>
      <c r="BP77" s="22"/>
      <c r="BQ77" s="22"/>
      <c r="BR77" s="22"/>
      <c r="BT77" s="22"/>
      <c r="BU77" s="22"/>
      <c r="BV77" s="22"/>
      <c r="BX77" s="22"/>
      <c r="BY77" s="22"/>
      <c r="BZ77" s="22"/>
      <c r="CB77" s="24"/>
      <c r="CC77" s="24"/>
      <c r="CD77" s="24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6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</row>
    <row r="78" spans="1:200" s="23" customFormat="1" ht="14.25" customHeight="1">
      <c r="A78" s="20"/>
      <c r="B78" s="85"/>
      <c r="C78" s="22"/>
      <c r="D78" s="22"/>
      <c r="E78" s="22"/>
      <c r="G78" s="22"/>
      <c r="H78" s="22"/>
      <c r="I78" s="22"/>
      <c r="K78" s="22"/>
      <c r="L78" s="22"/>
      <c r="M78" s="22"/>
      <c r="O78" s="22"/>
      <c r="P78" s="22"/>
      <c r="Q78" s="22"/>
      <c r="S78" s="22"/>
      <c r="T78" s="22"/>
      <c r="U78" s="22"/>
      <c r="W78" s="22"/>
      <c r="X78" s="22"/>
      <c r="Y78" s="22"/>
      <c r="AA78" s="22"/>
      <c r="AB78" s="22"/>
      <c r="AC78" s="22"/>
      <c r="AE78" s="24"/>
      <c r="AF78" s="24"/>
      <c r="AG78" s="24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6"/>
      <c r="AW78" s="24"/>
      <c r="AX78" s="20"/>
      <c r="AY78" s="85"/>
      <c r="AZ78" s="22"/>
      <c r="BA78" s="22"/>
      <c r="BB78" s="22"/>
      <c r="BD78" s="22"/>
      <c r="BE78" s="22"/>
      <c r="BF78" s="22"/>
      <c r="BH78" s="22"/>
      <c r="BI78" s="22"/>
      <c r="BJ78" s="22"/>
      <c r="BL78" s="22"/>
      <c r="BM78" s="22"/>
      <c r="BN78" s="22"/>
      <c r="BP78" s="22"/>
      <c r="BQ78" s="22"/>
      <c r="BR78" s="22"/>
      <c r="BT78" s="22"/>
      <c r="BU78" s="22"/>
      <c r="BV78" s="22"/>
      <c r="BX78" s="22"/>
      <c r="BY78" s="22"/>
      <c r="BZ78" s="22"/>
      <c r="CB78" s="24"/>
      <c r="CC78" s="24"/>
      <c r="CD78" s="24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6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</row>
    <row r="79" spans="1:200" s="23" customFormat="1" ht="14.25" customHeight="1">
      <c r="A79" s="20"/>
      <c r="B79" s="85"/>
      <c r="C79" s="22"/>
      <c r="D79" s="22"/>
      <c r="E79" s="22"/>
      <c r="G79" s="22"/>
      <c r="H79" s="22"/>
      <c r="I79" s="22"/>
      <c r="K79" s="22"/>
      <c r="L79" s="22"/>
      <c r="M79" s="22"/>
      <c r="O79" s="22"/>
      <c r="P79" s="22"/>
      <c r="Q79" s="22"/>
      <c r="S79" s="22"/>
      <c r="T79" s="22"/>
      <c r="U79" s="22"/>
      <c r="W79" s="22"/>
      <c r="X79" s="22"/>
      <c r="Y79" s="22"/>
      <c r="AA79" s="22"/>
      <c r="AB79" s="22"/>
      <c r="AC79" s="22"/>
      <c r="AE79" s="24"/>
      <c r="AF79" s="24"/>
      <c r="AG79" s="24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6"/>
      <c r="AW79" s="24"/>
      <c r="AX79" s="20"/>
      <c r="AY79" s="85"/>
      <c r="AZ79" s="22"/>
      <c r="BA79" s="22"/>
      <c r="BB79" s="22"/>
      <c r="BD79" s="22"/>
      <c r="BE79" s="22"/>
      <c r="BF79" s="22"/>
      <c r="BH79" s="22"/>
      <c r="BI79" s="22"/>
      <c r="BJ79" s="22"/>
      <c r="BL79" s="22"/>
      <c r="BM79" s="22"/>
      <c r="BN79" s="22"/>
      <c r="BP79" s="22"/>
      <c r="BQ79" s="22"/>
      <c r="BR79" s="22"/>
      <c r="BT79" s="22"/>
      <c r="BU79" s="22"/>
      <c r="BV79" s="22"/>
      <c r="BX79" s="22"/>
      <c r="BY79" s="22"/>
      <c r="BZ79" s="22"/>
      <c r="CB79" s="24"/>
      <c r="CC79" s="24"/>
      <c r="CD79" s="24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6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</row>
    <row r="80" spans="1:200" s="23" customFormat="1" ht="14.25" customHeight="1">
      <c r="A80" s="20"/>
      <c r="B80" s="85"/>
      <c r="C80" s="22"/>
      <c r="D80" s="22"/>
      <c r="E80" s="22"/>
      <c r="G80" s="22"/>
      <c r="H80" s="22"/>
      <c r="I80" s="22"/>
      <c r="K80" s="22"/>
      <c r="L80" s="22"/>
      <c r="M80" s="22"/>
      <c r="O80" s="22"/>
      <c r="P80" s="22"/>
      <c r="Q80" s="22"/>
      <c r="S80" s="22"/>
      <c r="T80" s="22"/>
      <c r="U80" s="22"/>
      <c r="W80" s="22"/>
      <c r="X80" s="22"/>
      <c r="Y80" s="22"/>
      <c r="AA80" s="22"/>
      <c r="AB80" s="22"/>
      <c r="AC80" s="22"/>
      <c r="AE80" s="24"/>
      <c r="AF80" s="24"/>
      <c r="AG80" s="24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6"/>
      <c r="AW80" s="24"/>
      <c r="AX80" s="20"/>
      <c r="AY80" s="85"/>
      <c r="AZ80" s="22"/>
      <c r="BA80" s="22"/>
      <c r="BB80" s="22"/>
      <c r="BD80" s="22"/>
      <c r="BE80" s="22"/>
      <c r="BF80" s="22"/>
      <c r="BH80" s="22"/>
      <c r="BI80" s="22"/>
      <c r="BJ80" s="22"/>
      <c r="BL80" s="22"/>
      <c r="BM80" s="22"/>
      <c r="BN80" s="22"/>
      <c r="BP80" s="22"/>
      <c r="BQ80" s="22"/>
      <c r="BR80" s="22"/>
      <c r="BT80" s="22"/>
      <c r="BU80" s="22"/>
      <c r="BV80" s="22"/>
      <c r="BX80" s="22"/>
      <c r="BY80" s="22"/>
      <c r="BZ80" s="22"/>
      <c r="CB80" s="24"/>
      <c r="CC80" s="24"/>
      <c r="CD80" s="24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6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</row>
    <row r="81" spans="1:200" s="23" customFormat="1" ht="14.25" customHeight="1">
      <c r="A81" s="20"/>
      <c r="B81" s="85"/>
      <c r="C81" s="22"/>
      <c r="D81" s="22"/>
      <c r="E81" s="22"/>
      <c r="G81" s="22"/>
      <c r="H81" s="22"/>
      <c r="I81" s="22"/>
      <c r="K81" s="22"/>
      <c r="L81" s="22"/>
      <c r="M81" s="22"/>
      <c r="O81" s="22"/>
      <c r="P81" s="22"/>
      <c r="Q81" s="22"/>
      <c r="S81" s="22"/>
      <c r="T81" s="22"/>
      <c r="U81" s="22"/>
      <c r="W81" s="22"/>
      <c r="X81" s="22"/>
      <c r="Y81" s="22"/>
      <c r="AA81" s="22"/>
      <c r="AB81" s="22"/>
      <c r="AC81" s="22"/>
      <c r="AE81" s="24"/>
      <c r="AF81" s="24"/>
      <c r="AG81" s="24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6"/>
      <c r="AW81" s="24"/>
      <c r="AX81" s="20"/>
      <c r="AY81" s="85"/>
      <c r="AZ81" s="22"/>
      <c r="BA81" s="22"/>
      <c r="BB81" s="22"/>
      <c r="BD81" s="22"/>
      <c r="BE81" s="22"/>
      <c r="BF81" s="22"/>
      <c r="BH81" s="22"/>
      <c r="BI81" s="22"/>
      <c r="BJ81" s="22"/>
      <c r="BL81" s="22"/>
      <c r="BM81" s="22"/>
      <c r="BN81" s="22"/>
      <c r="BP81" s="22"/>
      <c r="BQ81" s="22"/>
      <c r="BR81" s="22"/>
      <c r="BT81" s="22"/>
      <c r="BU81" s="22"/>
      <c r="BV81" s="22"/>
      <c r="BX81" s="22"/>
      <c r="BY81" s="22"/>
      <c r="BZ81" s="22"/>
      <c r="CB81" s="24"/>
      <c r="CC81" s="24"/>
      <c r="CD81" s="24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6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</row>
    <row r="82" spans="1:200" s="23" customFormat="1" ht="14.25" customHeight="1">
      <c r="A82" s="20"/>
      <c r="B82" s="85"/>
      <c r="C82" s="22"/>
      <c r="D82" s="22"/>
      <c r="E82" s="22"/>
      <c r="G82" s="22"/>
      <c r="H82" s="22"/>
      <c r="I82" s="22"/>
      <c r="K82" s="22"/>
      <c r="L82" s="22"/>
      <c r="M82" s="22"/>
      <c r="O82" s="22"/>
      <c r="P82" s="22"/>
      <c r="Q82" s="22"/>
      <c r="S82" s="22"/>
      <c r="T82" s="22"/>
      <c r="U82" s="22"/>
      <c r="W82" s="22"/>
      <c r="X82" s="22"/>
      <c r="Y82" s="22"/>
      <c r="AA82" s="22"/>
      <c r="AB82" s="22"/>
      <c r="AC82" s="22"/>
      <c r="AE82" s="24"/>
      <c r="AF82" s="24"/>
      <c r="AG82" s="24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6"/>
      <c r="AW82" s="24"/>
      <c r="AX82" s="20"/>
      <c r="AY82" s="85"/>
      <c r="AZ82" s="22"/>
      <c r="BA82" s="22"/>
      <c r="BB82" s="22"/>
      <c r="BD82" s="22"/>
      <c r="BE82" s="22"/>
      <c r="BF82" s="22"/>
      <c r="BH82" s="22"/>
      <c r="BI82" s="22"/>
      <c r="BJ82" s="22"/>
      <c r="BL82" s="22"/>
      <c r="BM82" s="22"/>
      <c r="BN82" s="22"/>
      <c r="BP82" s="22"/>
      <c r="BQ82" s="22"/>
      <c r="BR82" s="22"/>
      <c r="BT82" s="22"/>
      <c r="BU82" s="22"/>
      <c r="BV82" s="22"/>
      <c r="BX82" s="22"/>
      <c r="BY82" s="22"/>
      <c r="BZ82" s="22"/>
      <c r="CB82" s="24"/>
      <c r="CC82" s="24"/>
      <c r="CD82" s="24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6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</row>
    <row r="83" spans="1:200" s="23" customFormat="1" ht="14.25" customHeight="1">
      <c r="A83" s="20"/>
      <c r="B83" s="85"/>
      <c r="C83" s="22"/>
      <c r="D83" s="22"/>
      <c r="E83" s="22"/>
      <c r="G83" s="22"/>
      <c r="H83" s="22"/>
      <c r="I83" s="22"/>
      <c r="K83" s="22"/>
      <c r="L83" s="22"/>
      <c r="M83" s="22"/>
      <c r="O83" s="22"/>
      <c r="P83" s="22"/>
      <c r="Q83" s="22"/>
      <c r="S83" s="22"/>
      <c r="T83" s="22"/>
      <c r="U83" s="22"/>
      <c r="W83" s="22"/>
      <c r="X83" s="22"/>
      <c r="Y83" s="22"/>
      <c r="AA83" s="22"/>
      <c r="AB83" s="22"/>
      <c r="AC83" s="22"/>
      <c r="AE83" s="24"/>
      <c r="AF83" s="24"/>
      <c r="AG83" s="24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6"/>
      <c r="AW83" s="24"/>
      <c r="AX83" s="20"/>
      <c r="AY83" s="85"/>
      <c r="AZ83" s="22"/>
      <c r="BA83" s="22"/>
      <c r="BB83" s="22"/>
      <c r="BD83" s="22"/>
      <c r="BE83" s="22"/>
      <c r="BF83" s="22"/>
      <c r="BH83" s="22"/>
      <c r="BI83" s="22"/>
      <c r="BJ83" s="22"/>
      <c r="BL83" s="22"/>
      <c r="BM83" s="22"/>
      <c r="BN83" s="22"/>
      <c r="BP83" s="22"/>
      <c r="BQ83" s="22"/>
      <c r="BR83" s="22"/>
      <c r="BT83" s="22"/>
      <c r="BU83" s="22"/>
      <c r="BV83" s="22"/>
      <c r="BX83" s="22"/>
      <c r="BY83" s="22"/>
      <c r="BZ83" s="22"/>
      <c r="CB83" s="24"/>
      <c r="CC83" s="24"/>
      <c r="CD83" s="24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6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</row>
    <row r="84" spans="1:200" s="23" customFormat="1" ht="14.25" customHeight="1">
      <c r="A84" s="20"/>
      <c r="B84" s="85"/>
      <c r="C84" s="22"/>
      <c r="D84" s="22"/>
      <c r="E84" s="22"/>
      <c r="G84" s="22"/>
      <c r="H84" s="22"/>
      <c r="I84" s="22"/>
      <c r="K84" s="22"/>
      <c r="L84" s="22"/>
      <c r="M84" s="22"/>
      <c r="O84" s="22"/>
      <c r="P84" s="22"/>
      <c r="Q84" s="22"/>
      <c r="S84" s="22"/>
      <c r="T84" s="22"/>
      <c r="U84" s="22"/>
      <c r="W84" s="22"/>
      <c r="X84" s="22"/>
      <c r="Y84" s="22"/>
      <c r="AA84" s="22"/>
      <c r="AB84" s="22"/>
      <c r="AC84" s="22"/>
      <c r="AE84" s="24"/>
      <c r="AF84" s="24"/>
      <c r="AG84" s="24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6"/>
      <c r="AW84" s="24"/>
      <c r="AX84" s="20"/>
      <c r="AY84" s="85"/>
      <c r="AZ84" s="22"/>
      <c r="BA84" s="22"/>
      <c r="BB84" s="22"/>
      <c r="BD84" s="22"/>
      <c r="BE84" s="22"/>
      <c r="BF84" s="22"/>
      <c r="BH84" s="22"/>
      <c r="BI84" s="22"/>
      <c r="BJ84" s="22"/>
      <c r="BL84" s="22"/>
      <c r="BM84" s="22"/>
      <c r="BN84" s="22"/>
      <c r="BP84" s="22"/>
      <c r="BQ84" s="22"/>
      <c r="BR84" s="22"/>
      <c r="BT84" s="22"/>
      <c r="BU84" s="22"/>
      <c r="BV84" s="22"/>
      <c r="BX84" s="22"/>
      <c r="BY84" s="22"/>
      <c r="BZ84" s="22"/>
      <c r="CB84" s="24"/>
      <c r="CC84" s="24"/>
      <c r="CD84" s="24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6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</row>
    <row r="85" spans="1:200" s="23" customFormat="1" ht="14.25" customHeight="1">
      <c r="A85" s="20"/>
      <c r="B85" s="85"/>
      <c r="C85" s="22"/>
      <c r="D85" s="22"/>
      <c r="E85" s="22"/>
      <c r="G85" s="22"/>
      <c r="H85" s="22"/>
      <c r="I85" s="22"/>
      <c r="K85" s="22"/>
      <c r="L85" s="22"/>
      <c r="M85" s="22"/>
      <c r="O85" s="22"/>
      <c r="P85" s="22"/>
      <c r="Q85" s="22"/>
      <c r="S85" s="22"/>
      <c r="T85" s="22"/>
      <c r="U85" s="22"/>
      <c r="W85" s="22"/>
      <c r="X85" s="22"/>
      <c r="Y85" s="22"/>
      <c r="AA85" s="22"/>
      <c r="AB85" s="22"/>
      <c r="AC85" s="22"/>
      <c r="AE85" s="24"/>
      <c r="AF85" s="24"/>
      <c r="AG85" s="24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6"/>
      <c r="AW85" s="24"/>
      <c r="AX85" s="20"/>
      <c r="AY85" s="85"/>
      <c r="AZ85" s="22"/>
      <c r="BA85" s="22"/>
      <c r="BB85" s="22"/>
      <c r="BD85" s="22"/>
      <c r="BE85" s="22"/>
      <c r="BF85" s="22"/>
      <c r="BH85" s="22"/>
      <c r="BI85" s="22"/>
      <c r="BJ85" s="22"/>
      <c r="BL85" s="22"/>
      <c r="BM85" s="22"/>
      <c r="BN85" s="22"/>
      <c r="BP85" s="22"/>
      <c r="BQ85" s="22"/>
      <c r="BR85" s="22"/>
      <c r="BT85" s="22"/>
      <c r="BU85" s="22"/>
      <c r="BV85" s="22"/>
      <c r="BX85" s="22"/>
      <c r="BY85" s="22"/>
      <c r="BZ85" s="22"/>
      <c r="CB85" s="24"/>
      <c r="CC85" s="24"/>
      <c r="CD85" s="24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6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</row>
    <row r="86" spans="1:200" s="23" customFormat="1" ht="14.25" customHeight="1">
      <c r="A86" s="20"/>
      <c r="B86" s="85"/>
      <c r="C86" s="22"/>
      <c r="D86" s="22"/>
      <c r="E86" s="22"/>
      <c r="G86" s="22"/>
      <c r="H86" s="22"/>
      <c r="I86" s="22"/>
      <c r="K86" s="22"/>
      <c r="L86" s="22"/>
      <c r="M86" s="22"/>
      <c r="O86" s="22"/>
      <c r="P86" s="22"/>
      <c r="Q86" s="22"/>
      <c r="S86" s="22"/>
      <c r="T86" s="22"/>
      <c r="U86" s="22"/>
      <c r="W86" s="22"/>
      <c r="X86" s="22"/>
      <c r="Y86" s="22"/>
      <c r="AA86" s="22"/>
      <c r="AB86" s="22"/>
      <c r="AC86" s="22"/>
      <c r="AE86" s="24"/>
      <c r="AF86" s="24"/>
      <c r="AG86" s="24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6"/>
      <c r="AW86" s="24"/>
      <c r="AX86" s="20"/>
      <c r="AY86" s="85"/>
      <c r="AZ86" s="22"/>
      <c r="BA86" s="22"/>
      <c r="BB86" s="22"/>
      <c r="BD86" s="22"/>
      <c r="BE86" s="22"/>
      <c r="BF86" s="22"/>
      <c r="BH86" s="22"/>
      <c r="BI86" s="22"/>
      <c r="BJ86" s="22"/>
      <c r="BL86" s="22"/>
      <c r="BM86" s="22"/>
      <c r="BN86" s="22"/>
      <c r="BP86" s="22"/>
      <c r="BQ86" s="22"/>
      <c r="BR86" s="22"/>
      <c r="BT86" s="22"/>
      <c r="BU86" s="22"/>
      <c r="BV86" s="22"/>
      <c r="BX86" s="22"/>
      <c r="BY86" s="22"/>
      <c r="BZ86" s="22"/>
      <c r="CB86" s="24"/>
      <c r="CC86" s="24"/>
      <c r="CD86" s="24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6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</row>
    <row r="87" spans="1:200" s="23" customFormat="1" ht="14.25" customHeight="1">
      <c r="A87" s="20"/>
      <c r="B87" s="85"/>
      <c r="C87" s="22"/>
      <c r="D87" s="22"/>
      <c r="E87" s="22"/>
      <c r="G87" s="22"/>
      <c r="H87" s="22"/>
      <c r="I87" s="22"/>
      <c r="K87" s="22"/>
      <c r="L87" s="22"/>
      <c r="M87" s="22"/>
      <c r="O87" s="22"/>
      <c r="P87" s="22"/>
      <c r="Q87" s="22"/>
      <c r="S87" s="22"/>
      <c r="T87" s="22"/>
      <c r="U87" s="22"/>
      <c r="W87" s="22"/>
      <c r="X87" s="22"/>
      <c r="Y87" s="22"/>
      <c r="AA87" s="22"/>
      <c r="AB87" s="22"/>
      <c r="AC87" s="22"/>
      <c r="AE87" s="24"/>
      <c r="AF87" s="24"/>
      <c r="AG87" s="24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6"/>
      <c r="AW87" s="24"/>
      <c r="AX87" s="20"/>
      <c r="AY87" s="85"/>
      <c r="AZ87" s="22"/>
      <c r="BA87" s="22"/>
      <c r="BB87" s="22"/>
      <c r="BD87" s="22"/>
      <c r="BE87" s="22"/>
      <c r="BF87" s="22"/>
      <c r="BH87" s="22"/>
      <c r="BI87" s="22"/>
      <c r="BJ87" s="22"/>
      <c r="BL87" s="22"/>
      <c r="BM87" s="22"/>
      <c r="BN87" s="22"/>
      <c r="BP87" s="22"/>
      <c r="BQ87" s="22"/>
      <c r="BR87" s="22"/>
      <c r="BT87" s="22"/>
      <c r="BU87" s="22"/>
      <c r="BV87" s="22"/>
      <c r="BX87" s="22"/>
      <c r="BY87" s="22"/>
      <c r="BZ87" s="22"/>
      <c r="CB87" s="24"/>
      <c r="CC87" s="24"/>
      <c r="CD87" s="24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6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</row>
    <row r="88" spans="1:200" s="23" customFormat="1" ht="14.25" customHeight="1">
      <c r="A88" s="20"/>
      <c r="B88" s="85"/>
      <c r="C88" s="22"/>
      <c r="D88" s="22"/>
      <c r="E88" s="22"/>
      <c r="G88" s="22"/>
      <c r="H88" s="22"/>
      <c r="I88" s="22"/>
      <c r="K88" s="22"/>
      <c r="L88" s="22"/>
      <c r="M88" s="22"/>
      <c r="O88" s="22"/>
      <c r="P88" s="22"/>
      <c r="Q88" s="22"/>
      <c r="S88" s="22"/>
      <c r="T88" s="22"/>
      <c r="U88" s="22"/>
      <c r="W88" s="22"/>
      <c r="X88" s="22"/>
      <c r="Y88" s="22"/>
      <c r="AA88" s="22"/>
      <c r="AB88" s="22"/>
      <c r="AC88" s="22"/>
      <c r="AE88" s="24"/>
      <c r="AF88" s="24"/>
      <c r="AG88" s="24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6"/>
      <c r="AW88" s="24"/>
      <c r="AX88" s="20"/>
      <c r="AY88" s="85"/>
      <c r="AZ88" s="22"/>
      <c r="BA88" s="22"/>
      <c r="BB88" s="22"/>
      <c r="BD88" s="22"/>
      <c r="BE88" s="22"/>
      <c r="BF88" s="22"/>
      <c r="BH88" s="22"/>
      <c r="BI88" s="22"/>
      <c r="BJ88" s="22"/>
      <c r="BL88" s="22"/>
      <c r="BM88" s="22"/>
      <c r="BN88" s="22"/>
      <c r="BP88" s="22"/>
      <c r="BQ88" s="22"/>
      <c r="BR88" s="22"/>
      <c r="BT88" s="22"/>
      <c r="BU88" s="22"/>
      <c r="BV88" s="22"/>
      <c r="BX88" s="22"/>
      <c r="BY88" s="22"/>
      <c r="BZ88" s="22"/>
      <c r="CB88" s="24"/>
      <c r="CC88" s="24"/>
      <c r="CD88" s="24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6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</row>
    <row r="89" spans="1:200" s="23" customFormat="1" ht="14.25" customHeight="1">
      <c r="A89" s="20"/>
      <c r="B89" s="85"/>
      <c r="C89" s="22"/>
      <c r="D89" s="22"/>
      <c r="E89" s="22"/>
      <c r="G89" s="22"/>
      <c r="H89" s="22"/>
      <c r="I89" s="22"/>
      <c r="K89" s="22"/>
      <c r="L89" s="22"/>
      <c r="M89" s="22"/>
      <c r="O89" s="22"/>
      <c r="P89" s="22"/>
      <c r="Q89" s="22"/>
      <c r="S89" s="22"/>
      <c r="T89" s="22"/>
      <c r="U89" s="22"/>
      <c r="W89" s="22"/>
      <c r="X89" s="22"/>
      <c r="Y89" s="22"/>
      <c r="AA89" s="22"/>
      <c r="AB89" s="22"/>
      <c r="AC89" s="22"/>
      <c r="AE89" s="24"/>
      <c r="AF89" s="24"/>
      <c r="AG89" s="24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6"/>
      <c r="AW89" s="24"/>
      <c r="AX89" s="20"/>
      <c r="AY89" s="85"/>
      <c r="AZ89" s="22"/>
      <c r="BA89" s="22"/>
      <c r="BB89" s="22"/>
      <c r="BD89" s="22"/>
      <c r="BE89" s="22"/>
      <c r="BF89" s="22"/>
      <c r="BH89" s="22"/>
      <c r="BI89" s="22"/>
      <c r="BJ89" s="22"/>
      <c r="BL89" s="22"/>
      <c r="BM89" s="22"/>
      <c r="BN89" s="22"/>
      <c r="BP89" s="22"/>
      <c r="BQ89" s="22"/>
      <c r="BR89" s="22"/>
      <c r="BT89" s="22"/>
      <c r="BU89" s="22"/>
      <c r="BV89" s="22"/>
      <c r="BX89" s="22"/>
      <c r="BY89" s="22"/>
      <c r="BZ89" s="22"/>
      <c r="CB89" s="24"/>
      <c r="CC89" s="24"/>
      <c r="CD89" s="24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6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</row>
    <row r="90" spans="1:200" s="23" customFormat="1" ht="14.25" customHeight="1">
      <c r="A90" s="20"/>
      <c r="B90" s="85"/>
      <c r="C90" s="22"/>
      <c r="D90" s="22"/>
      <c r="E90" s="22"/>
      <c r="G90" s="22"/>
      <c r="H90" s="22"/>
      <c r="I90" s="22"/>
      <c r="K90" s="22"/>
      <c r="L90" s="22"/>
      <c r="M90" s="22"/>
      <c r="O90" s="22"/>
      <c r="P90" s="22"/>
      <c r="Q90" s="22"/>
      <c r="S90" s="22"/>
      <c r="T90" s="22"/>
      <c r="U90" s="22"/>
      <c r="W90" s="22"/>
      <c r="X90" s="22"/>
      <c r="Y90" s="22"/>
      <c r="AA90" s="22"/>
      <c r="AB90" s="22"/>
      <c r="AC90" s="22"/>
      <c r="AE90" s="24"/>
      <c r="AF90" s="24"/>
      <c r="AG90" s="24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6"/>
      <c r="AW90" s="24"/>
      <c r="AX90" s="20"/>
      <c r="AY90" s="85"/>
      <c r="AZ90" s="22"/>
      <c r="BA90" s="22"/>
      <c r="BB90" s="22"/>
      <c r="BD90" s="22"/>
      <c r="BE90" s="22"/>
      <c r="BF90" s="22"/>
      <c r="BH90" s="22"/>
      <c r="BI90" s="22"/>
      <c r="BJ90" s="22"/>
      <c r="BL90" s="22"/>
      <c r="BM90" s="22"/>
      <c r="BN90" s="22"/>
      <c r="BP90" s="22"/>
      <c r="BQ90" s="22"/>
      <c r="BR90" s="22"/>
      <c r="BT90" s="22"/>
      <c r="BU90" s="22"/>
      <c r="BV90" s="22"/>
      <c r="BX90" s="22"/>
      <c r="BY90" s="22"/>
      <c r="BZ90" s="22"/>
      <c r="CB90" s="24"/>
      <c r="CC90" s="24"/>
      <c r="CD90" s="24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6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</row>
    <row r="91" spans="1:200" s="23" customFormat="1" ht="14.25" customHeight="1">
      <c r="A91" s="20"/>
      <c r="B91" s="85"/>
      <c r="C91" s="22"/>
      <c r="D91" s="22"/>
      <c r="E91" s="22"/>
      <c r="G91" s="22"/>
      <c r="H91" s="22"/>
      <c r="I91" s="22"/>
      <c r="K91" s="22"/>
      <c r="L91" s="22"/>
      <c r="M91" s="22"/>
      <c r="O91" s="22"/>
      <c r="P91" s="22"/>
      <c r="Q91" s="22"/>
      <c r="S91" s="22"/>
      <c r="T91" s="22"/>
      <c r="U91" s="22"/>
      <c r="W91" s="22"/>
      <c r="X91" s="22"/>
      <c r="Y91" s="22"/>
      <c r="AA91" s="22"/>
      <c r="AB91" s="22"/>
      <c r="AC91" s="22"/>
      <c r="AE91" s="24"/>
      <c r="AF91" s="24"/>
      <c r="AG91" s="24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6"/>
      <c r="AW91" s="24"/>
      <c r="AX91" s="20"/>
      <c r="AY91" s="85"/>
      <c r="AZ91" s="22"/>
      <c r="BA91" s="22"/>
      <c r="BB91" s="22"/>
      <c r="BD91" s="22"/>
      <c r="BE91" s="22"/>
      <c r="BF91" s="22"/>
      <c r="BH91" s="22"/>
      <c r="BI91" s="22"/>
      <c r="BJ91" s="22"/>
      <c r="BL91" s="22"/>
      <c r="BM91" s="22"/>
      <c r="BN91" s="22"/>
      <c r="BP91" s="22"/>
      <c r="BQ91" s="22"/>
      <c r="BR91" s="22"/>
      <c r="BT91" s="22"/>
      <c r="BU91" s="22"/>
      <c r="BV91" s="22"/>
      <c r="BX91" s="22"/>
      <c r="BY91" s="22"/>
      <c r="BZ91" s="22"/>
      <c r="CB91" s="24"/>
      <c r="CC91" s="24"/>
      <c r="CD91" s="24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6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</row>
    <row r="92" spans="1:200" s="23" customFormat="1" ht="14.25" customHeight="1">
      <c r="A92" s="20"/>
      <c r="B92" s="85"/>
      <c r="C92" s="22"/>
      <c r="D92" s="22"/>
      <c r="E92" s="22"/>
      <c r="G92" s="22"/>
      <c r="H92" s="22"/>
      <c r="I92" s="22"/>
      <c r="K92" s="22"/>
      <c r="L92" s="22"/>
      <c r="M92" s="22"/>
      <c r="O92" s="22"/>
      <c r="P92" s="22"/>
      <c r="Q92" s="22"/>
      <c r="S92" s="22"/>
      <c r="T92" s="22"/>
      <c r="U92" s="22"/>
      <c r="W92" s="22"/>
      <c r="X92" s="22"/>
      <c r="Y92" s="22"/>
      <c r="AA92" s="22"/>
      <c r="AB92" s="22"/>
      <c r="AC92" s="22"/>
      <c r="AE92" s="24"/>
      <c r="AF92" s="24"/>
      <c r="AG92" s="24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6"/>
      <c r="AW92" s="24"/>
      <c r="AX92" s="20"/>
      <c r="AY92" s="85"/>
      <c r="AZ92" s="22"/>
      <c r="BA92" s="22"/>
      <c r="BB92" s="22"/>
      <c r="BD92" s="22"/>
      <c r="BE92" s="22"/>
      <c r="BF92" s="22"/>
      <c r="BH92" s="22"/>
      <c r="BI92" s="22"/>
      <c r="BJ92" s="22"/>
      <c r="BL92" s="22"/>
      <c r="BM92" s="22"/>
      <c r="BN92" s="22"/>
      <c r="BP92" s="22"/>
      <c r="BQ92" s="22"/>
      <c r="BR92" s="22"/>
      <c r="BT92" s="22"/>
      <c r="BU92" s="22"/>
      <c r="BV92" s="22"/>
      <c r="BX92" s="22"/>
      <c r="BY92" s="22"/>
      <c r="BZ92" s="22"/>
      <c r="CB92" s="24"/>
      <c r="CC92" s="24"/>
      <c r="CD92" s="24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6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</row>
    <row r="93" spans="1:200" s="23" customFormat="1" ht="14.25" customHeight="1">
      <c r="A93" s="20"/>
      <c r="B93" s="85"/>
      <c r="C93" s="22"/>
      <c r="D93" s="22"/>
      <c r="E93" s="22"/>
      <c r="G93" s="22"/>
      <c r="H93" s="22"/>
      <c r="I93" s="22"/>
      <c r="K93" s="22"/>
      <c r="L93" s="22"/>
      <c r="M93" s="22"/>
      <c r="O93" s="22"/>
      <c r="P93" s="22"/>
      <c r="Q93" s="22"/>
      <c r="S93" s="22"/>
      <c r="T93" s="22"/>
      <c r="U93" s="22"/>
      <c r="W93" s="22"/>
      <c r="X93" s="22"/>
      <c r="Y93" s="22"/>
      <c r="AA93" s="22"/>
      <c r="AB93" s="22"/>
      <c r="AC93" s="22"/>
      <c r="AE93" s="24"/>
      <c r="AF93" s="24"/>
      <c r="AG93" s="24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6"/>
      <c r="AW93" s="24"/>
      <c r="AX93" s="20"/>
      <c r="AY93" s="85"/>
      <c r="AZ93" s="22"/>
      <c r="BA93" s="22"/>
      <c r="BB93" s="22"/>
      <c r="BD93" s="22"/>
      <c r="BE93" s="22"/>
      <c r="BF93" s="22"/>
      <c r="BH93" s="22"/>
      <c r="BI93" s="22"/>
      <c r="BJ93" s="22"/>
      <c r="BL93" s="22"/>
      <c r="BM93" s="22"/>
      <c r="BN93" s="22"/>
      <c r="BP93" s="22"/>
      <c r="BQ93" s="22"/>
      <c r="BR93" s="22"/>
      <c r="BT93" s="22"/>
      <c r="BU93" s="22"/>
      <c r="BV93" s="22"/>
      <c r="BX93" s="22"/>
      <c r="BY93" s="22"/>
      <c r="BZ93" s="22"/>
      <c r="CB93" s="24"/>
      <c r="CC93" s="24"/>
      <c r="CD93" s="24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6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</row>
    <row r="94" spans="1:200" s="23" customFormat="1" ht="14.25" customHeight="1">
      <c r="A94" s="20"/>
      <c r="B94" s="85"/>
      <c r="C94" s="22"/>
      <c r="D94" s="22"/>
      <c r="E94" s="22"/>
      <c r="G94" s="22"/>
      <c r="H94" s="22"/>
      <c r="I94" s="22"/>
      <c r="K94" s="22"/>
      <c r="L94" s="22"/>
      <c r="M94" s="22"/>
      <c r="O94" s="22"/>
      <c r="P94" s="22"/>
      <c r="Q94" s="22"/>
      <c r="S94" s="22"/>
      <c r="T94" s="22"/>
      <c r="U94" s="22"/>
      <c r="W94" s="22"/>
      <c r="X94" s="22"/>
      <c r="Y94" s="22"/>
      <c r="AA94" s="22"/>
      <c r="AB94" s="22"/>
      <c r="AC94" s="22"/>
      <c r="AE94" s="24"/>
      <c r="AF94" s="24"/>
      <c r="AG94" s="24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6"/>
      <c r="AW94" s="24"/>
      <c r="AX94" s="20"/>
      <c r="AY94" s="85"/>
      <c r="AZ94" s="22"/>
      <c r="BA94" s="22"/>
      <c r="BB94" s="22"/>
      <c r="BD94" s="22"/>
      <c r="BE94" s="22"/>
      <c r="BF94" s="22"/>
      <c r="BH94" s="22"/>
      <c r="BI94" s="22"/>
      <c r="BJ94" s="22"/>
      <c r="BL94" s="22"/>
      <c r="BM94" s="22"/>
      <c r="BN94" s="22"/>
      <c r="BP94" s="22"/>
      <c r="BQ94" s="22"/>
      <c r="BR94" s="22"/>
      <c r="BT94" s="22"/>
      <c r="BU94" s="22"/>
      <c r="BV94" s="22"/>
      <c r="BX94" s="22"/>
      <c r="BY94" s="22"/>
      <c r="BZ94" s="22"/>
      <c r="CB94" s="24"/>
      <c r="CC94" s="24"/>
      <c r="CD94" s="24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6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</row>
    <row r="95" spans="1:200" s="23" customFormat="1" ht="14.25" customHeight="1">
      <c r="A95" s="20"/>
      <c r="B95" s="85"/>
      <c r="C95" s="22"/>
      <c r="D95" s="22"/>
      <c r="E95" s="22"/>
      <c r="G95" s="22"/>
      <c r="H95" s="22"/>
      <c r="I95" s="22"/>
      <c r="K95" s="22"/>
      <c r="L95" s="22"/>
      <c r="M95" s="22"/>
      <c r="O95" s="22"/>
      <c r="P95" s="22"/>
      <c r="Q95" s="22"/>
      <c r="S95" s="22"/>
      <c r="T95" s="22"/>
      <c r="U95" s="22"/>
      <c r="W95" s="22"/>
      <c r="X95" s="22"/>
      <c r="Y95" s="22"/>
      <c r="AA95" s="22"/>
      <c r="AB95" s="22"/>
      <c r="AC95" s="22"/>
      <c r="AE95" s="24"/>
      <c r="AF95" s="24"/>
      <c r="AG95" s="24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6"/>
      <c r="AW95" s="24"/>
      <c r="AX95" s="20"/>
      <c r="AY95" s="85"/>
      <c r="AZ95" s="22"/>
      <c r="BA95" s="22"/>
      <c r="BB95" s="22"/>
      <c r="BD95" s="22"/>
      <c r="BE95" s="22"/>
      <c r="BF95" s="22"/>
      <c r="BH95" s="22"/>
      <c r="BI95" s="22"/>
      <c r="BJ95" s="22"/>
      <c r="BL95" s="22"/>
      <c r="BM95" s="22"/>
      <c r="BN95" s="22"/>
      <c r="BP95" s="22"/>
      <c r="BQ95" s="22"/>
      <c r="BR95" s="22"/>
      <c r="BT95" s="22"/>
      <c r="BU95" s="22"/>
      <c r="BV95" s="22"/>
      <c r="BX95" s="22"/>
      <c r="BY95" s="22"/>
      <c r="BZ95" s="22"/>
      <c r="CB95" s="24"/>
      <c r="CC95" s="24"/>
      <c r="CD95" s="24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6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</row>
    <row r="96" spans="1:200" s="23" customFormat="1" ht="14.25" customHeight="1">
      <c r="A96" s="20"/>
      <c r="B96" s="85"/>
      <c r="C96" s="22"/>
      <c r="D96" s="22"/>
      <c r="E96" s="22"/>
      <c r="G96" s="22"/>
      <c r="H96" s="22"/>
      <c r="I96" s="22"/>
      <c r="K96" s="22"/>
      <c r="L96" s="22"/>
      <c r="M96" s="22"/>
      <c r="O96" s="22"/>
      <c r="P96" s="22"/>
      <c r="Q96" s="22"/>
      <c r="S96" s="22"/>
      <c r="T96" s="22"/>
      <c r="U96" s="22"/>
      <c r="W96" s="22"/>
      <c r="X96" s="22"/>
      <c r="Y96" s="22"/>
      <c r="AA96" s="22"/>
      <c r="AB96" s="22"/>
      <c r="AC96" s="22"/>
      <c r="AE96" s="24"/>
      <c r="AF96" s="24"/>
      <c r="AG96" s="24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6"/>
      <c r="AW96" s="24"/>
      <c r="AX96" s="20"/>
      <c r="AY96" s="85"/>
      <c r="AZ96" s="22"/>
      <c r="BA96" s="22"/>
      <c r="BB96" s="22"/>
      <c r="BD96" s="22"/>
      <c r="BE96" s="22"/>
      <c r="BF96" s="22"/>
      <c r="BH96" s="22"/>
      <c r="BI96" s="22"/>
      <c r="BJ96" s="22"/>
      <c r="BL96" s="22"/>
      <c r="BM96" s="22"/>
      <c r="BN96" s="22"/>
      <c r="BP96" s="22"/>
      <c r="BQ96" s="22"/>
      <c r="BR96" s="22"/>
      <c r="BT96" s="22"/>
      <c r="BU96" s="22"/>
      <c r="BV96" s="22"/>
      <c r="BX96" s="22"/>
      <c r="BY96" s="22"/>
      <c r="BZ96" s="22"/>
      <c r="CB96" s="24"/>
      <c r="CC96" s="24"/>
      <c r="CD96" s="24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6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</row>
    <row r="97" spans="1:200" s="23" customFormat="1" ht="14.25" customHeight="1">
      <c r="A97" s="20"/>
      <c r="B97" s="85"/>
      <c r="C97" s="22"/>
      <c r="D97" s="22"/>
      <c r="E97" s="22"/>
      <c r="G97" s="22"/>
      <c r="H97" s="22"/>
      <c r="I97" s="22"/>
      <c r="K97" s="22"/>
      <c r="L97" s="22"/>
      <c r="M97" s="22"/>
      <c r="O97" s="22"/>
      <c r="P97" s="22"/>
      <c r="Q97" s="22"/>
      <c r="S97" s="22"/>
      <c r="T97" s="22"/>
      <c r="U97" s="22"/>
      <c r="W97" s="22"/>
      <c r="X97" s="22"/>
      <c r="Y97" s="22"/>
      <c r="AA97" s="22"/>
      <c r="AB97" s="22"/>
      <c r="AC97" s="22"/>
      <c r="AE97" s="24"/>
      <c r="AF97" s="24"/>
      <c r="AG97" s="24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6"/>
      <c r="AW97" s="24"/>
      <c r="AX97" s="20"/>
      <c r="AY97" s="85"/>
      <c r="AZ97" s="22"/>
      <c r="BA97" s="22"/>
      <c r="BB97" s="22"/>
      <c r="BD97" s="22"/>
      <c r="BE97" s="22"/>
      <c r="BF97" s="22"/>
      <c r="BH97" s="22"/>
      <c r="BI97" s="22"/>
      <c r="BJ97" s="22"/>
      <c r="BL97" s="22"/>
      <c r="BM97" s="22"/>
      <c r="BN97" s="22"/>
      <c r="BP97" s="22"/>
      <c r="BQ97" s="22"/>
      <c r="BR97" s="22"/>
      <c r="BT97" s="22"/>
      <c r="BU97" s="22"/>
      <c r="BV97" s="22"/>
      <c r="BX97" s="22"/>
      <c r="BY97" s="22"/>
      <c r="BZ97" s="22"/>
      <c r="CB97" s="24"/>
      <c r="CC97" s="24"/>
      <c r="CD97" s="24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6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</row>
    <row r="98" spans="1:200" s="23" customFormat="1" ht="14.25" customHeight="1">
      <c r="A98" s="20"/>
      <c r="B98" s="85"/>
      <c r="C98" s="22"/>
      <c r="D98" s="22"/>
      <c r="E98" s="22"/>
      <c r="G98" s="22"/>
      <c r="H98" s="22"/>
      <c r="I98" s="22"/>
      <c r="K98" s="22"/>
      <c r="L98" s="22"/>
      <c r="M98" s="22"/>
      <c r="O98" s="22"/>
      <c r="P98" s="22"/>
      <c r="Q98" s="22"/>
      <c r="S98" s="22"/>
      <c r="T98" s="22"/>
      <c r="U98" s="22"/>
      <c r="W98" s="22"/>
      <c r="X98" s="22"/>
      <c r="Y98" s="22"/>
      <c r="AA98" s="22"/>
      <c r="AB98" s="22"/>
      <c r="AC98" s="22"/>
      <c r="AE98" s="24"/>
      <c r="AF98" s="24"/>
      <c r="AG98" s="24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6"/>
      <c r="AW98" s="24"/>
      <c r="AX98" s="20"/>
      <c r="AY98" s="85"/>
      <c r="AZ98" s="22"/>
      <c r="BA98" s="22"/>
      <c r="BB98" s="22"/>
      <c r="BD98" s="22"/>
      <c r="BE98" s="22"/>
      <c r="BF98" s="22"/>
      <c r="BH98" s="22"/>
      <c r="BI98" s="22"/>
      <c r="BJ98" s="22"/>
      <c r="BL98" s="22"/>
      <c r="BM98" s="22"/>
      <c r="BN98" s="22"/>
      <c r="BP98" s="22"/>
      <c r="BQ98" s="22"/>
      <c r="BR98" s="22"/>
      <c r="BT98" s="22"/>
      <c r="BU98" s="22"/>
      <c r="BV98" s="22"/>
      <c r="BX98" s="22"/>
      <c r="BY98" s="22"/>
      <c r="BZ98" s="22"/>
      <c r="CB98" s="24"/>
      <c r="CC98" s="24"/>
      <c r="CD98" s="24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6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</row>
    <row r="99" spans="1:200" s="23" customFormat="1" ht="14.25" customHeight="1">
      <c r="A99" s="20"/>
      <c r="B99" s="85"/>
      <c r="C99" s="22"/>
      <c r="D99" s="22"/>
      <c r="E99" s="22"/>
      <c r="G99" s="22"/>
      <c r="H99" s="22"/>
      <c r="I99" s="22"/>
      <c r="K99" s="22"/>
      <c r="L99" s="22"/>
      <c r="M99" s="22"/>
      <c r="O99" s="22"/>
      <c r="P99" s="22"/>
      <c r="Q99" s="22"/>
      <c r="S99" s="22"/>
      <c r="T99" s="22"/>
      <c r="U99" s="22"/>
      <c r="W99" s="22"/>
      <c r="X99" s="22"/>
      <c r="Y99" s="22"/>
      <c r="AA99" s="22"/>
      <c r="AB99" s="22"/>
      <c r="AC99" s="22"/>
      <c r="AE99" s="24"/>
      <c r="AF99" s="24"/>
      <c r="AG99" s="24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6"/>
      <c r="AW99" s="24"/>
      <c r="AX99" s="20"/>
      <c r="AY99" s="85"/>
      <c r="AZ99" s="22"/>
      <c r="BA99" s="22"/>
      <c r="BB99" s="22"/>
      <c r="BD99" s="22"/>
      <c r="BE99" s="22"/>
      <c r="BF99" s="22"/>
      <c r="BH99" s="22"/>
      <c r="BI99" s="22"/>
      <c r="BJ99" s="22"/>
      <c r="BL99" s="22"/>
      <c r="BM99" s="22"/>
      <c r="BN99" s="22"/>
      <c r="BP99" s="22"/>
      <c r="BQ99" s="22"/>
      <c r="BR99" s="22"/>
      <c r="BT99" s="22"/>
      <c r="BU99" s="22"/>
      <c r="BV99" s="22"/>
      <c r="BX99" s="22"/>
      <c r="BY99" s="22"/>
      <c r="BZ99" s="22"/>
      <c r="CB99" s="24"/>
      <c r="CC99" s="24"/>
      <c r="CD99" s="24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6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</row>
    <row r="100" spans="1:200" s="23" customFormat="1" ht="14.25" customHeight="1">
      <c r="A100" s="20"/>
      <c r="B100" s="85"/>
      <c r="C100" s="22"/>
      <c r="D100" s="22"/>
      <c r="E100" s="22"/>
      <c r="G100" s="22"/>
      <c r="H100" s="22"/>
      <c r="I100" s="22"/>
      <c r="K100" s="22"/>
      <c r="L100" s="22"/>
      <c r="M100" s="22"/>
      <c r="O100" s="22"/>
      <c r="P100" s="22"/>
      <c r="Q100" s="22"/>
      <c r="S100" s="22"/>
      <c r="T100" s="22"/>
      <c r="U100" s="22"/>
      <c r="W100" s="22"/>
      <c r="X100" s="22"/>
      <c r="Y100" s="22"/>
      <c r="AA100" s="22"/>
      <c r="AB100" s="22"/>
      <c r="AC100" s="22"/>
      <c r="AE100" s="24"/>
      <c r="AF100" s="24"/>
      <c r="AG100" s="24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6"/>
      <c r="AW100" s="24"/>
      <c r="AX100" s="20"/>
      <c r="AY100" s="85"/>
      <c r="AZ100" s="22"/>
      <c r="BA100" s="22"/>
      <c r="BB100" s="22"/>
      <c r="BD100" s="22"/>
      <c r="BE100" s="22"/>
      <c r="BF100" s="22"/>
      <c r="BH100" s="22"/>
      <c r="BI100" s="22"/>
      <c r="BJ100" s="22"/>
      <c r="BL100" s="22"/>
      <c r="BM100" s="22"/>
      <c r="BN100" s="22"/>
      <c r="BP100" s="22"/>
      <c r="BQ100" s="22"/>
      <c r="BR100" s="22"/>
      <c r="BT100" s="22"/>
      <c r="BU100" s="22"/>
      <c r="BV100" s="22"/>
      <c r="BX100" s="22"/>
      <c r="BY100" s="22"/>
      <c r="BZ100" s="22"/>
      <c r="CB100" s="24"/>
      <c r="CC100" s="24"/>
      <c r="CD100" s="24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6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</row>
    <row r="101" spans="1:200" s="23" customFormat="1" ht="14.25" customHeight="1">
      <c r="A101" s="20"/>
      <c r="B101" s="85"/>
      <c r="C101" s="22"/>
      <c r="D101" s="22"/>
      <c r="E101" s="22"/>
      <c r="G101" s="22"/>
      <c r="H101" s="22"/>
      <c r="I101" s="22"/>
      <c r="K101" s="22"/>
      <c r="L101" s="22"/>
      <c r="M101" s="22"/>
      <c r="O101" s="22"/>
      <c r="P101" s="22"/>
      <c r="Q101" s="22"/>
      <c r="S101" s="22"/>
      <c r="T101" s="22"/>
      <c r="U101" s="22"/>
      <c r="W101" s="22"/>
      <c r="X101" s="22"/>
      <c r="Y101" s="22"/>
      <c r="AA101" s="22"/>
      <c r="AB101" s="22"/>
      <c r="AC101" s="22"/>
      <c r="AE101" s="24"/>
      <c r="AF101" s="24"/>
      <c r="AG101" s="24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6"/>
      <c r="AW101" s="24"/>
      <c r="AX101" s="20"/>
      <c r="AY101" s="85"/>
      <c r="AZ101" s="22"/>
      <c r="BA101" s="22"/>
      <c r="BB101" s="22"/>
      <c r="BD101" s="22"/>
      <c r="BE101" s="22"/>
      <c r="BF101" s="22"/>
      <c r="BH101" s="22"/>
      <c r="BI101" s="22"/>
      <c r="BJ101" s="22"/>
      <c r="BL101" s="22"/>
      <c r="BM101" s="22"/>
      <c r="BN101" s="22"/>
      <c r="BP101" s="22"/>
      <c r="BQ101" s="22"/>
      <c r="BR101" s="22"/>
      <c r="BT101" s="22"/>
      <c r="BU101" s="22"/>
      <c r="BV101" s="22"/>
      <c r="BX101" s="22"/>
      <c r="BY101" s="22"/>
      <c r="BZ101" s="22"/>
      <c r="CB101" s="24"/>
      <c r="CC101" s="24"/>
      <c r="CD101" s="24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6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</row>
    <row r="102" spans="1:200" s="23" customFormat="1" ht="14.25" customHeight="1">
      <c r="A102" s="20"/>
      <c r="B102" s="85"/>
      <c r="C102" s="22"/>
      <c r="D102" s="22"/>
      <c r="E102" s="22"/>
      <c r="G102" s="22"/>
      <c r="H102" s="22"/>
      <c r="I102" s="22"/>
      <c r="K102" s="22"/>
      <c r="L102" s="22"/>
      <c r="M102" s="22"/>
      <c r="O102" s="22"/>
      <c r="P102" s="22"/>
      <c r="Q102" s="22"/>
      <c r="S102" s="22"/>
      <c r="T102" s="22"/>
      <c r="U102" s="22"/>
      <c r="W102" s="22"/>
      <c r="X102" s="22"/>
      <c r="Y102" s="22"/>
      <c r="AA102" s="22"/>
      <c r="AB102" s="22"/>
      <c r="AC102" s="22"/>
      <c r="AE102" s="24"/>
      <c r="AF102" s="24"/>
      <c r="AG102" s="24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6"/>
      <c r="AW102" s="24"/>
      <c r="AX102" s="20"/>
      <c r="AY102" s="85"/>
      <c r="AZ102" s="22"/>
      <c r="BA102" s="22"/>
      <c r="BB102" s="22"/>
      <c r="BD102" s="22"/>
      <c r="BE102" s="22"/>
      <c r="BF102" s="22"/>
      <c r="BH102" s="22"/>
      <c r="BI102" s="22"/>
      <c r="BJ102" s="22"/>
      <c r="BL102" s="22"/>
      <c r="BM102" s="22"/>
      <c r="BN102" s="22"/>
      <c r="BP102" s="22"/>
      <c r="BQ102" s="22"/>
      <c r="BR102" s="22"/>
      <c r="BT102" s="22"/>
      <c r="BU102" s="22"/>
      <c r="BV102" s="22"/>
      <c r="BX102" s="22"/>
      <c r="BY102" s="22"/>
      <c r="BZ102" s="22"/>
      <c r="CB102" s="24"/>
      <c r="CC102" s="24"/>
      <c r="CD102" s="24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6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</row>
    <row r="103" spans="1:200" s="23" customFormat="1" ht="14.25" customHeight="1">
      <c r="A103" s="20"/>
      <c r="B103" s="85"/>
      <c r="C103" s="22"/>
      <c r="D103" s="22"/>
      <c r="E103" s="22"/>
      <c r="G103" s="22"/>
      <c r="H103" s="22"/>
      <c r="I103" s="22"/>
      <c r="K103" s="22"/>
      <c r="L103" s="22"/>
      <c r="M103" s="22"/>
      <c r="O103" s="22"/>
      <c r="P103" s="22"/>
      <c r="Q103" s="22"/>
      <c r="S103" s="22"/>
      <c r="T103" s="22"/>
      <c r="U103" s="22"/>
      <c r="W103" s="22"/>
      <c r="X103" s="22"/>
      <c r="Y103" s="22"/>
      <c r="AA103" s="22"/>
      <c r="AB103" s="22"/>
      <c r="AC103" s="22"/>
      <c r="AE103" s="24"/>
      <c r="AF103" s="24"/>
      <c r="AG103" s="24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6"/>
      <c r="AW103" s="24"/>
      <c r="AX103" s="20"/>
      <c r="AY103" s="85"/>
      <c r="AZ103" s="22"/>
      <c r="BA103" s="22"/>
      <c r="BB103" s="22"/>
      <c r="BD103" s="22"/>
      <c r="BE103" s="22"/>
      <c r="BF103" s="22"/>
      <c r="BH103" s="22"/>
      <c r="BI103" s="22"/>
      <c r="BJ103" s="22"/>
      <c r="BL103" s="22"/>
      <c r="BM103" s="22"/>
      <c r="BN103" s="22"/>
      <c r="BP103" s="22"/>
      <c r="BQ103" s="22"/>
      <c r="BR103" s="22"/>
      <c r="BT103" s="22"/>
      <c r="BU103" s="22"/>
      <c r="BV103" s="22"/>
      <c r="BX103" s="22"/>
      <c r="BY103" s="22"/>
      <c r="BZ103" s="22"/>
      <c r="CB103" s="24"/>
      <c r="CC103" s="24"/>
      <c r="CD103" s="24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6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</row>
    <row r="104" spans="1:200" s="23" customFormat="1" ht="14.25" customHeight="1">
      <c r="A104" s="20"/>
      <c r="B104" s="85"/>
      <c r="C104" s="22"/>
      <c r="D104" s="22"/>
      <c r="E104" s="22"/>
      <c r="G104" s="22"/>
      <c r="H104" s="22"/>
      <c r="I104" s="22"/>
      <c r="K104" s="22"/>
      <c r="L104" s="22"/>
      <c r="M104" s="22"/>
      <c r="O104" s="22"/>
      <c r="P104" s="22"/>
      <c r="Q104" s="22"/>
      <c r="S104" s="22"/>
      <c r="T104" s="22"/>
      <c r="U104" s="22"/>
      <c r="W104" s="22"/>
      <c r="X104" s="22"/>
      <c r="Y104" s="22"/>
      <c r="AA104" s="22"/>
      <c r="AB104" s="22"/>
      <c r="AC104" s="22"/>
      <c r="AE104" s="24"/>
      <c r="AF104" s="24"/>
      <c r="AG104" s="24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6"/>
      <c r="AW104" s="24"/>
      <c r="AX104" s="20"/>
      <c r="AY104" s="85"/>
      <c r="AZ104" s="22"/>
      <c r="BA104" s="22"/>
      <c r="BB104" s="22"/>
      <c r="BD104" s="22"/>
      <c r="BE104" s="22"/>
      <c r="BF104" s="22"/>
      <c r="BH104" s="22"/>
      <c r="BI104" s="22"/>
      <c r="BJ104" s="22"/>
      <c r="BL104" s="22"/>
      <c r="BM104" s="22"/>
      <c r="BN104" s="22"/>
      <c r="BP104" s="22"/>
      <c r="BQ104" s="22"/>
      <c r="BR104" s="22"/>
      <c r="BT104" s="22"/>
      <c r="BU104" s="22"/>
      <c r="BV104" s="22"/>
      <c r="BX104" s="22"/>
      <c r="BY104" s="22"/>
      <c r="BZ104" s="22"/>
      <c r="CB104" s="24"/>
      <c r="CC104" s="24"/>
      <c r="CD104" s="24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6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</row>
    <row r="105" spans="1:200" s="23" customFormat="1" ht="14.25" customHeight="1">
      <c r="A105" s="20"/>
      <c r="B105" s="85"/>
      <c r="C105" s="22"/>
      <c r="D105" s="22"/>
      <c r="E105" s="22"/>
      <c r="G105" s="22"/>
      <c r="H105" s="22"/>
      <c r="I105" s="22"/>
      <c r="K105" s="22"/>
      <c r="L105" s="22"/>
      <c r="M105" s="22"/>
      <c r="O105" s="22"/>
      <c r="P105" s="22"/>
      <c r="Q105" s="22"/>
      <c r="S105" s="22"/>
      <c r="T105" s="22"/>
      <c r="U105" s="22"/>
      <c r="W105" s="22"/>
      <c r="X105" s="22"/>
      <c r="Y105" s="22"/>
      <c r="AA105" s="22"/>
      <c r="AB105" s="22"/>
      <c r="AC105" s="22"/>
      <c r="AE105" s="24"/>
      <c r="AF105" s="24"/>
      <c r="AG105" s="24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6"/>
      <c r="AW105" s="24"/>
      <c r="AX105" s="20"/>
      <c r="AY105" s="85"/>
      <c r="AZ105" s="22"/>
      <c r="BA105" s="22"/>
      <c r="BB105" s="22"/>
      <c r="BD105" s="22"/>
      <c r="BE105" s="22"/>
      <c r="BF105" s="22"/>
      <c r="BH105" s="22"/>
      <c r="BI105" s="22"/>
      <c r="BJ105" s="22"/>
      <c r="BL105" s="22"/>
      <c r="BM105" s="22"/>
      <c r="BN105" s="22"/>
      <c r="BP105" s="22"/>
      <c r="BQ105" s="22"/>
      <c r="BR105" s="22"/>
      <c r="BT105" s="22"/>
      <c r="BU105" s="22"/>
      <c r="BV105" s="22"/>
      <c r="BX105" s="22"/>
      <c r="BY105" s="22"/>
      <c r="BZ105" s="22"/>
      <c r="CB105" s="24"/>
      <c r="CC105" s="24"/>
      <c r="CD105" s="24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6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</row>
    <row r="106" spans="1:200" s="23" customFormat="1" ht="14.25" customHeight="1">
      <c r="A106" s="20"/>
      <c r="B106" s="85"/>
      <c r="C106" s="22"/>
      <c r="D106" s="22"/>
      <c r="E106" s="22"/>
      <c r="G106" s="22"/>
      <c r="H106" s="22"/>
      <c r="I106" s="22"/>
      <c r="K106" s="22"/>
      <c r="L106" s="22"/>
      <c r="M106" s="22"/>
      <c r="O106" s="22"/>
      <c r="P106" s="22"/>
      <c r="Q106" s="22"/>
      <c r="S106" s="22"/>
      <c r="T106" s="22"/>
      <c r="U106" s="22"/>
      <c r="W106" s="22"/>
      <c r="X106" s="22"/>
      <c r="Y106" s="22"/>
      <c r="AA106" s="22"/>
      <c r="AB106" s="22"/>
      <c r="AC106" s="22"/>
      <c r="AE106" s="24"/>
      <c r="AF106" s="24"/>
      <c r="AG106" s="24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6"/>
      <c r="AW106" s="24"/>
      <c r="AX106" s="20"/>
      <c r="AY106" s="85"/>
      <c r="AZ106" s="22"/>
      <c r="BA106" s="22"/>
      <c r="BB106" s="22"/>
      <c r="BD106" s="22"/>
      <c r="BE106" s="22"/>
      <c r="BF106" s="22"/>
      <c r="BH106" s="22"/>
      <c r="BI106" s="22"/>
      <c r="BJ106" s="22"/>
      <c r="BL106" s="22"/>
      <c r="BM106" s="22"/>
      <c r="BN106" s="22"/>
      <c r="BP106" s="22"/>
      <c r="BQ106" s="22"/>
      <c r="BR106" s="22"/>
      <c r="BT106" s="22"/>
      <c r="BU106" s="22"/>
      <c r="BV106" s="22"/>
      <c r="BX106" s="22"/>
      <c r="BY106" s="22"/>
      <c r="BZ106" s="22"/>
      <c r="CB106" s="24"/>
      <c r="CC106" s="24"/>
      <c r="CD106" s="24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6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</row>
    <row r="107" spans="1:200" s="23" customFormat="1" ht="14.25" customHeight="1">
      <c r="A107" s="20"/>
      <c r="B107" s="85"/>
      <c r="C107" s="22"/>
      <c r="D107" s="22"/>
      <c r="E107" s="22"/>
      <c r="G107" s="22"/>
      <c r="H107" s="22"/>
      <c r="I107" s="22"/>
      <c r="K107" s="22"/>
      <c r="L107" s="22"/>
      <c r="M107" s="22"/>
      <c r="O107" s="22"/>
      <c r="P107" s="22"/>
      <c r="Q107" s="22"/>
      <c r="S107" s="22"/>
      <c r="T107" s="22"/>
      <c r="U107" s="22"/>
      <c r="W107" s="22"/>
      <c r="X107" s="22"/>
      <c r="Y107" s="22"/>
      <c r="AA107" s="22"/>
      <c r="AB107" s="22"/>
      <c r="AC107" s="22"/>
      <c r="AE107" s="24"/>
      <c r="AF107" s="24"/>
      <c r="AG107" s="24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6"/>
      <c r="AW107" s="24"/>
      <c r="AX107" s="20"/>
      <c r="AY107" s="85"/>
      <c r="AZ107" s="22"/>
      <c r="BA107" s="22"/>
      <c r="BB107" s="22"/>
      <c r="BD107" s="22"/>
      <c r="BE107" s="22"/>
      <c r="BF107" s="22"/>
      <c r="BH107" s="22"/>
      <c r="BI107" s="22"/>
      <c r="BJ107" s="22"/>
      <c r="BL107" s="22"/>
      <c r="BM107" s="22"/>
      <c r="BN107" s="22"/>
      <c r="BP107" s="22"/>
      <c r="BQ107" s="22"/>
      <c r="BR107" s="22"/>
      <c r="BT107" s="22"/>
      <c r="BU107" s="22"/>
      <c r="BV107" s="22"/>
      <c r="BX107" s="22"/>
      <c r="BY107" s="22"/>
      <c r="BZ107" s="22"/>
      <c r="CB107" s="24"/>
      <c r="CC107" s="24"/>
      <c r="CD107" s="24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6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</row>
    <row r="108" spans="1:200" s="23" customFormat="1" ht="14.25" customHeight="1">
      <c r="A108" s="20"/>
      <c r="B108" s="85"/>
      <c r="C108" s="22"/>
      <c r="D108" s="22"/>
      <c r="E108" s="22"/>
      <c r="G108" s="22"/>
      <c r="H108" s="22"/>
      <c r="I108" s="22"/>
      <c r="K108" s="22"/>
      <c r="L108" s="22"/>
      <c r="M108" s="22"/>
      <c r="O108" s="22"/>
      <c r="P108" s="22"/>
      <c r="Q108" s="22"/>
      <c r="S108" s="22"/>
      <c r="T108" s="22"/>
      <c r="U108" s="22"/>
      <c r="W108" s="22"/>
      <c r="X108" s="22"/>
      <c r="Y108" s="22"/>
      <c r="AA108" s="22"/>
      <c r="AB108" s="22"/>
      <c r="AC108" s="22"/>
      <c r="AE108" s="24"/>
      <c r="AF108" s="24"/>
      <c r="AG108" s="24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6"/>
      <c r="AW108" s="24"/>
      <c r="AX108" s="20"/>
      <c r="AY108" s="85"/>
      <c r="AZ108" s="22"/>
      <c r="BA108" s="22"/>
      <c r="BB108" s="22"/>
      <c r="BD108" s="22"/>
      <c r="BE108" s="22"/>
      <c r="BF108" s="22"/>
      <c r="BH108" s="22"/>
      <c r="BI108" s="22"/>
      <c r="BJ108" s="22"/>
      <c r="BL108" s="22"/>
      <c r="BM108" s="22"/>
      <c r="BN108" s="22"/>
      <c r="BP108" s="22"/>
      <c r="BQ108" s="22"/>
      <c r="BR108" s="22"/>
      <c r="BT108" s="22"/>
      <c r="BU108" s="22"/>
      <c r="BV108" s="22"/>
      <c r="BX108" s="22"/>
      <c r="BY108" s="22"/>
      <c r="BZ108" s="22"/>
      <c r="CB108" s="24"/>
      <c r="CC108" s="24"/>
      <c r="CD108" s="24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6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</row>
    <row r="109" spans="1:200" s="23" customFormat="1" ht="14.25" customHeight="1">
      <c r="A109" s="20"/>
      <c r="B109" s="85"/>
      <c r="C109" s="22"/>
      <c r="D109" s="22"/>
      <c r="E109" s="22"/>
      <c r="G109" s="22"/>
      <c r="H109" s="22"/>
      <c r="I109" s="22"/>
      <c r="K109" s="22"/>
      <c r="L109" s="22"/>
      <c r="M109" s="22"/>
      <c r="O109" s="22"/>
      <c r="P109" s="22"/>
      <c r="Q109" s="22"/>
      <c r="S109" s="22"/>
      <c r="T109" s="22"/>
      <c r="U109" s="22"/>
      <c r="W109" s="22"/>
      <c r="X109" s="22"/>
      <c r="Y109" s="22"/>
      <c r="AA109" s="22"/>
      <c r="AB109" s="22"/>
      <c r="AC109" s="22"/>
      <c r="AE109" s="24"/>
      <c r="AF109" s="24"/>
      <c r="AG109" s="24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6"/>
      <c r="AW109" s="24"/>
      <c r="AX109" s="20"/>
      <c r="AY109" s="85"/>
      <c r="AZ109" s="22"/>
      <c r="BA109" s="22"/>
      <c r="BB109" s="22"/>
      <c r="BD109" s="22"/>
      <c r="BE109" s="22"/>
      <c r="BF109" s="22"/>
      <c r="BH109" s="22"/>
      <c r="BI109" s="22"/>
      <c r="BJ109" s="22"/>
      <c r="BL109" s="22"/>
      <c r="BM109" s="22"/>
      <c r="BN109" s="22"/>
      <c r="BP109" s="22"/>
      <c r="BQ109" s="22"/>
      <c r="BR109" s="22"/>
      <c r="BT109" s="22"/>
      <c r="BU109" s="22"/>
      <c r="BV109" s="22"/>
      <c r="BX109" s="22"/>
      <c r="BY109" s="22"/>
      <c r="BZ109" s="22"/>
      <c r="CB109" s="24"/>
      <c r="CC109" s="24"/>
      <c r="CD109" s="24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6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</row>
    <row r="110" spans="1:200" s="23" customFormat="1" ht="14.25" customHeight="1">
      <c r="A110" s="20"/>
      <c r="B110" s="85"/>
      <c r="C110" s="22"/>
      <c r="D110" s="22"/>
      <c r="E110" s="22"/>
      <c r="G110" s="22"/>
      <c r="H110" s="22"/>
      <c r="I110" s="22"/>
      <c r="K110" s="22"/>
      <c r="L110" s="22"/>
      <c r="M110" s="22"/>
      <c r="O110" s="22"/>
      <c r="P110" s="22"/>
      <c r="Q110" s="22"/>
      <c r="S110" s="22"/>
      <c r="T110" s="22"/>
      <c r="U110" s="22"/>
      <c r="W110" s="22"/>
      <c r="X110" s="22"/>
      <c r="Y110" s="22"/>
      <c r="AA110" s="22"/>
      <c r="AB110" s="22"/>
      <c r="AC110" s="22"/>
      <c r="AE110" s="24"/>
      <c r="AF110" s="24"/>
      <c r="AG110" s="24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6"/>
      <c r="AW110" s="24"/>
      <c r="AX110" s="20"/>
      <c r="AY110" s="85"/>
      <c r="AZ110" s="22"/>
      <c r="BA110" s="22"/>
      <c r="BB110" s="22"/>
      <c r="BD110" s="22"/>
      <c r="BE110" s="22"/>
      <c r="BF110" s="22"/>
      <c r="BH110" s="22"/>
      <c r="BI110" s="22"/>
      <c r="BJ110" s="22"/>
      <c r="BL110" s="22"/>
      <c r="BM110" s="22"/>
      <c r="BN110" s="22"/>
      <c r="BP110" s="22"/>
      <c r="BQ110" s="22"/>
      <c r="BR110" s="22"/>
      <c r="BT110" s="22"/>
      <c r="BU110" s="22"/>
      <c r="BV110" s="22"/>
      <c r="BX110" s="22"/>
      <c r="BY110" s="22"/>
      <c r="BZ110" s="22"/>
      <c r="CB110" s="24"/>
      <c r="CC110" s="24"/>
      <c r="CD110" s="24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6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</row>
    <row r="111" spans="1:200" s="23" customFormat="1" ht="14.25" customHeight="1">
      <c r="A111" s="20"/>
      <c r="B111" s="85"/>
      <c r="C111" s="22"/>
      <c r="D111" s="22"/>
      <c r="E111" s="22"/>
      <c r="G111" s="22"/>
      <c r="H111" s="22"/>
      <c r="I111" s="22"/>
      <c r="K111" s="22"/>
      <c r="L111" s="22"/>
      <c r="M111" s="22"/>
      <c r="O111" s="22"/>
      <c r="P111" s="22"/>
      <c r="Q111" s="22"/>
      <c r="S111" s="22"/>
      <c r="T111" s="22"/>
      <c r="U111" s="22"/>
      <c r="W111" s="22"/>
      <c r="X111" s="22"/>
      <c r="Y111" s="22"/>
      <c r="AA111" s="22"/>
      <c r="AB111" s="22"/>
      <c r="AC111" s="22"/>
      <c r="AE111" s="24"/>
      <c r="AF111" s="24"/>
      <c r="AG111" s="24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6"/>
      <c r="AW111" s="24"/>
      <c r="AX111" s="20"/>
      <c r="AY111" s="85"/>
      <c r="AZ111" s="22"/>
      <c r="BA111" s="22"/>
      <c r="BB111" s="22"/>
      <c r="BD111" s="22"/>
      <c r="BE111" s="22"/>
      <c r="BF111" s="22"/>
      <c r="BH111" s="22"/>
      <c r="BI111" s="22"/>
      <c r="BJ111" s="22"/>
      <c r="BL111" s="22"/>
      <c r="BM111" s="22"/>
      <c r="BN111" s="22"/>
      <c r="BP111" s="22"/>
      <c r="BQ111" s="22"/>
      <c r="BR111" s="22"/>
      <c r="BT111" s="22"/>
      <c r="BU111" s="22"/>
      <c r="BV111" s="22"/>
      <c r="BX111" s="22"/>
      <c r="BY111" s="22"/>
      <c r="BZ111" s="22"/>
      <c r="CB111" s="24"/>
      <c r="CC111" s="24"/>
      <c r="CD111" s="24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6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</row>
    <row r="112" spans="1:200" s="23" customFormat="1" ht="14.25" customHeight="1">
      <c r="A112" s="20"/>
      <c r="B112" s="85"/>
      <c r="C112" s="22"/>
      <c r="D112" s="22"/>
      <c r="E112" s="22"/>
      <c r="G112" s="22"/>
      <c r="H112" s="22"/>
      <c r="I112" s="22"/>
      <c r="K112" s="22"/>
      <c r="L112" s="22"/>
      <c r="M112" s="22"/>
      <c r="O112" s="22"/>
      <c r="P112" s="22"/>
      <c r="Q112" s="22"/>
      <c r="S112" s="22"/>
      <c r="T112" s="22"/>
      <c r="U112" s="22"/>
      <c r="W112" s="22"/>
      <c r="X112" s="22"/>
      <c r="Y112" s="22"/>
      <c r="AA112" s="22"/>
      <c r="AB112" s="22"/>
      <c r="AC112" s="22"/>
      <c r="AE112" s="24"/>
      <c r="AF112" s="24"/>
      <c r="AG112" s="24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6"/>
      <c r="AW112" s="24"/>
      <c r="AX112" s="20"/>
      <c r="AY112" s="85"/>
      <c r="AZ112" s="22"/>
      <c r="BA112" s="22"/>
      <c r="BB112" s="22"/>
      <c r="BD112" s="22"/>
      <c r="BE112" s="22"/>
      <c r="BF112" s="22"/>
      <c r="BH112" s="22"/>
      <c r="BI112" s="22"/>
      <c r="BJ112" s="22"/>
      <c r="BL112" s="22"/>
      <c r="BM112" s="22"/>
      <c r="BN112" s="22"/>
      <c r="BP112" s="22"/>
      <c r="BQ112" s="22"/>
      <c r="BR112" s="22"/>
      <c r="BT112" s="22"/>
      <c r="BU112" s="22"/>
      <c r="BV112" s="22"/>
      <c r="BX112" s="22"/>
      <c r="BY112" s="22"/>
      <c r="BZ112" s="22"/>
      <c r="CB112" s="24"/>
      <c r="CC112" s="24"/>
      <c r="CD112" s="24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6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</row>
    <row r="113" spans="1:200" s="23" customFormat="1" ht="14.25" customHeight="1">
      <c r="A113" s="20"/>
      <c r="B113" s="85"/>
      <c r="C113" s="22"/>
      <c r="D113" s="22"/>
      <c r="E113" s="22"/>
      <c r="G113" s="22"/>
      <c r="H113" s="22"/>
      <c r="I113" s="22"/>
      <c r="K113" s="22"/>
      <c r="L113" s="22"/>
      <c r="M113" s="22"/>
      <c r="O113" s="22"/>
      <c r="P113" s="22"/>
      <c r="Q113" s="22"/>
      <c r="S113" s="22"/>
      <c r="T113" s="22"/>
      <c r="U113" s="22"/>
      <c r="W113" s="22"/>
      <c r="X113" s="22"/>
      <c r="Y113" s="22"/>
      <c r="AA113" s="22"/>
      <c r="AB113" s="22"/>
      <c r="AC113" s="22"/>
      <c r="AE113" s="24"/>
      <c r="AF113" s="24"/>
      <c r="AG113" s="24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6"/>
      <c r="AW113" s="24"/>
      <c r="AX113" s="20"/>
      <c r="AY113" s="85"/>
      <c r="AZ113" s="22"/>
      <c r="BA113" s="22"/>
      <c r="BB113" s="22"/>
      <c r="BD113" s="22"/>
      <c r="BE113" s="22"/>
      <c r="BF113" s="22"/>
      <c r="BH113" s="22"/>
      <c r="BI113" s="22"/>
      <c r="BJ113" s="22"/>
      <c r="BL113" s="22"/>
      <c r="BM113" s="22"/>
      <c r="BN113" s="22"/>
      <c r="BP113" s="22"/>
      <c r="BQ113" s="22"/>
      <c r="BR113" s="22"/>
      <c r="BT113" s="22"/>
      <c r="BU113" s="22"/>
      <c r="BV113" s="22"/>
      <c r="BX113" s="22"/>
      <c r="BY113" s="22"/>
      <c r="BZ113" s="22"/>
      <c r="CB113" s="24"/>
      <c r="CC113" s="24"/>
      <c r="CD113" s="24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6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</row>
    <row r="114" spans="1:200" s="23" customFormat="1" ht="14.25" customHeight="1">
      <c r="A114" s="20"/>
      <c r="B114" s="85"/>
      <c r="C114" s="22"/>
      <c r="D114" s="22"/>
      <c r="E114" s="22"/>
      <c r="G114" s="22"/>
      <c r="H114" s="22"/>
      <c r="I114" s="22"/>
      <c r="K114" s="22"/>
      <c r="L114" s="22"/>
      <c r="M114" s="22"/>
      <c r="O114" s="22"/>
      <c r="P114" s="22"/>
      <c r="Q114" s="22"/>
      <c r="S114" s="22"/>
      <c r="T114" s="22"/>
      <c r="U114" s="22"/>
      <c r="W114" s="22"/>
      <c r="X114" s="22"/>
      <c r="Y114" s="22"/>
      <c r="AA114" s="22"/>
      <c r="AB114" s="22"/>
      <c r="AC114" s="22"/>
      <c r="AE114" s="24"/>
      <c r="AF114" s="24"/>
      <c r="AG114" s="24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6"/>
      <c r="AW114" s="24"/>
      <c r="AX114" s="20"/>
      <c r="AY114" s="85"/>
      <c r="AZ114" s="22"/>
      <c r="BA114" s="22"/>
      <c r="BB114" s="22"/>
      <c r="BD114" s="22"/>
      <c r="BE114" s="22"/>
      <c r="BF114" s="22"/>
      <c r="BH114" s="22"/>
      <c r="BI114" s="22"/>
      <c r="BJ114" s="22"/>
      <c r="BL114" s="22"/>
      <c r="BM114" s="22"/>
      <c r="BN114" s="22"/>
      <c r="BP114" s="22"/>
      <c r="BQ114" s="22"/>
      <c r="BR114" s="22"/>
      <c r="BT114" s="22"/>
      <c r="BU114" s="22"/>
      <c r="BV114" s="22"/>
      <c r="BX114" s="22"/>
      <c r="BY114" s="22"/>
      <c r="BZ114" s="22"/>
      <c r="CB114" s="24"/>
      <c r="CC114" s="24"/>
      <c r="CD114" s="24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6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</row>
    <row r="115" spans="1:200" s="23" customFormat="1" ht="14.25" customHeight="1">
      <c r="A115" s="20"/>
      <c r="B115" s="85"/>
      <c r="C115" s="22"/>
      <c r="D115" s="22"/>
      <c r="E115" s="22"/>
      <c r="G115" s="22"/>
      <c r="H115" s="22"/>
      <c r="I115" s="22"/>
      <c r="K115" s="22"/>
      <c r="L115" s="22"/>
      <c r="M115" s="22"/>
      <c r="O115" s="22"/>
      <c r="P115" s="22"/>
      <c r="Q115" s="22"/>
      <c r="S115" s="22"/>
      <c r="T115" s="22"/>
      <c r="U115" s="22"/>
      <c r="W115" s="22"/>
      <c r="X115" s="22"/>
      <c r="Y115" s="22"/>
      <c r="AA115" s="22"/>
      <c r="AB115" s="22"/>
      <c r="AC115" s="22"/>
      <c r="AE115" s="24"/>
      <c r="AF115" s="24"/>
      <c r="AG115" s="24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6"/>
      <c r="AW115" s="24"/>
      <c r="AX115" s="20"/>
      <c r="AY115" s="85"/>
      <c r="AZ115" s="22"/>
      <c r="BA115" s="22"/>
      <c r="BB115" s="22"/>
      <c r="BD115" s="22"/>
      <c r="BE115" s="22"/>
      <c r="BF115" s="22"/>
      <c r="BH115" s="22"/>
      <c r="BI115" s="22"/>
      <c r="BJ115" s="22"/>
      <c r="BL115" s="22"/>
      <c r="BM115" s="22"/>
      <c r="BN115" s="22"/>
      <c r="BP115" s="22"/>
      <c r="BQ115" s="22"/>
      <c r="BR115" s="22"/>
      <c r="BT115" s="22"/>
      <c r="BU115" s="22"/>
      <c r="BV115" s="22"/>
      <c r="BX115" s="22"/>
      <c r="BY115" s="22"/>
      <c r="BZ115" s="22"/>
      <c r="CB115" s="24"/>
      <c r="CC115" s="24"/>
      <c r="CD115" s="24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6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</row>
    <row r="116" spans="1:200" s="23" customFormat="1" ht="14.25" customHeight="1">
      <c r="A116" s="20"/>
      <c r="B116" s="85"/>
      <c r="C116" s="22"/>
      <c r="D116" s="22"/>
      <c r="E116" s="22"/>
      <c r="G116" s="22"/>
      <c r="H116" s="22"/>
      <c r="I116" s="22"/>
      <c r="K116" s="22"/>
      <c r="L116" s="22"/>
      <c r="M116" s="22"/>
      <c r="O116" s="22"/>
      <c r="P116" s="22"/>
      <c r="Q116" s="22"/>
      <c r="S116" s="22"/>
      <c r="T116" s="22"/>
      <c r="U116" s="22"/>
      <c r="W116" s="22"/>
      <c r="X116" s="22"/>
      <c r="Y116" s="22"/>
      <c r="AA116" s="22"/>
      <c r="AB116" s="22"/>
      <c r="AC116" s="22"/>
      <c r="AE116" s="24"/>
      <c r="AF116" s="24"/>
      <c r="AG116" s="24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6"/>
      <c r="AW116" s="24"/>
      <c r="AX116" s="20"/>
      <c r="AY116" s="85"/>
      <c r="AZ116" s="22"/>
      <c r="BA116" s="22"/>
      <c r="BB116" s="22"/>
      <c r="BD116" s="22"/>
      <c r="BE116" s="22"/>
      <c r="BF116" s="22"/>
      <c r="BH116" s="22"/>
      <c r="BI116" s="22"/>
      <c r="BJ116" s="22"/>
      <c r="BL116" s="22"/>
      <c r="BM116" s="22"/>
      <c r="BN116" s="22"/>
      <c r="BP116" s="22"/>
      <c r="BQ116" s="22"/>
      <c r="BR116" s="22"/>
      <c r="BT116" s="22"/>
      <c r="BU116" s="22"/>
      <c r="BV116" s="22"/>
      <c r="BX116" s="22"/>
      <c r="BY116" s="22"/>
      <c r="BZ116" s="22"/>
      <c r="CB116" s="24"/>
      <c r="CC116" s="24"/>
      <c r="CD116" s="24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6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</row>
    <row r="117" spans="1:200" s="23" customFormat="1" ht="14.25" customHeight="1">
      <c r="A117" s="20"/>
      <c r="B117" s="85"/>
      <c r="C117" s="22"/>
      <c r="D117" s="22"/>
      <c r="E117" s="22"/>
      <c r="G117" s="22"/>
      <c r="H117" s="22"/>
      <c r="I117" s="22"/>
      <c r="K117" s="22"/>
      <c r="L117" s="22"/>
      <c r="M117" s="22"/>
      <c r="O117" s="22"/>
      <c r="P117" s="22"/>
      <c r="Q117" s="22"/>
      <c r="S117" s="22"/>
      <c r="T117" s="22"/>
      <c r="U117" s="22"/>
      <c r="W117" s="22"/>
      <c r="X117" s="22"/>
      <c r="Y117" s="22"/>
      <c r="AA117" s="22"/>
      <c r="AB117" s="22"/>
      <c r="AC117" s="22"/>
      <c r="AE117" s="24"/>
      <c r="AF117" s="24"/>
      <c r="AG117" s="24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6"/>
      <c r="AW117" s="24"/>
      <c r="AX117" s="20"/>
      <c r="AY117" s="85"/>
      <c r="AZ117" s="22"/>
      <c r="BA117" s="22"/>
      <c r="BB117" s="22"/>
      <c r="BD117" s="22"/>
      <c r="BE117" s="22"/>
      <c r="BF117" s="22"/>
      <c r="BH117" s="22"/>
      <c r="BI117" s="22"/>
      <c r="BJ117" s="22"/>
      <c r="BL117" s="22"/>
      <c r="BM117" s="22"/>
      <c r="BN117" s="22"/>
      <c r="BP117" s="22"/>
      <c r="BQ117" s="22"/>
      <c r="BR117" s="22"/>
      <c r="BT117" s="22"/>
      <c r="BU117" s="22"/>
      <c r="BV117" s="22"/>
      <c r="BX117" s="22"/>
      <c r="BY117" s="22"/>
      <c r="BZ117" s="22"/>
      <c r="CB117" s="24"/>
      <c r="CC117" s="24"/>
      <c r="CD117" s="24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6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</row>
    <row r="118" spans="1:200" s="23" customFormat="1" ht="14.25" customHeight="1">
      <c r="A118" s="20"/>
      <c r="B118" s="85"/>
      <c r="C118" s="22"/>
      <c r="D118" s="22"/>
      <c r="E118" s="22"/>
      <c r="G118" s="22"/>
      <c r="H118" s="22"/>
      <c r="I118" s="22"/>
      <c r="K118" s="22"/>
      <c r="L118" s="22"/>
      <c r="M118" s="22"/>
      <c r="O118" s="22"/>
      <c r="P118" s="22"/>
      <c r="Q118" s="22"/>
      <c r="S118" s="22"/>
      <c r="T118" s="22"/>
      <c r="U118" s="22"/>
      <c r="W118" s="22"/>
      <c r="X118" s="22"/>
      <c r="Y118" s="22"/>
      <c r="AA118" s="22"/>
      <c r="AB118" s="22"/>
      <c r="AC118" s="22"/>
      <c r="AE118" s="24"/>
      <c r="AF118" s="24"/>
      <c r="AG118" s="24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6"/>
      <c r="AW118" s="24"/>
      <c r="AX118" s="20"/>
      <c r="AY118" s="85"/>
      <c r="AZ118" s="22"/>
      <c r="BA118" s="22"/>
      <c r="BB118" s="22"/>
      <c r="BD118" s="22"/>
      <c r="BE118" s="22"/>
      <c r="BF118" s="22"/>
      <c r="BH118" s="22"/>
      <c r="BI118" s="22"/>
      <c r="BJ118" s="22"/>
      <c r="BL118" s="22"/>
      <c r="BM118" s="22"/>
      <c r="BN118" s="22"/>
      <c r="BP118" s="22"/>
      <c r="BQ118" s="22"/>
      <c r="BR118" s="22"/>
      <c r="BT118" s="22"/>
      <c r="BU118" s="22"/>
      <c r="BV118" s="22"/>
      <c r="BX118" s="22"/>
      <c r="BY118" s="22"/>
      <c r="BZ118" s="22"/>
      <c r="CB118" s="24"/>
      <c r="CC118" s="24"/>
      <c r="CD118" s="24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6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</row>
    <row r="119" spans="1:200" s="23" customFormat="1" ht="14.25" customHeight="1">
      <c r="A119" s="20"/>
      <c r="B119" s="85"/>
      <c r="C119" s="22"/>
      <c r="D119" s="22"/>
      <c r="E119" s="22"/>
      <c r="G119" s="22"/>
      <c r="H119" s="22"/>
      <c r="I119" s="22"/>
      <c r="K119" s="22"/>
      <c r="L119" s="22"/>
      <c r="M119" s="22"/>
      <c r="O119" s="22"/>
      <c r="P119" s="22"/>
      <c r="Q119" s="22"/>
      <c r="S119" s="22"/>
      <c r="T119" s="22"/>
      <c r="U119" s="22"/>
      <c r="W119" s="22"/>
      <c r="X119" s="22"/>
      <c r="Y119" s="22"/>
      <c r="AA119" s="22"/>
      <c r="AB119" s="22"/>
      <c r="AC119" s="22"/>
      <c r="AE119" s="24"/>
      <c r="AF119" s="24"/>
      <c r="AG119" s="24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6"/>
      <c r="AW119" s="24"/>
      <c r="AX119" s="20"/>
      <c r="AY119" s="85"/>
      <c r="AZ119" s="22"/>
      <c r="BA119" s="22"/>
      <c r="BB119" s="22"/>
      <c r="BD119" s="22"/>
      <c r="BE119" s="22"/>
      <c r="BF119" s="22"/>
      <c r="BH119" s="22"/>
      <c r="BI119" s="22"/>
      <c r="BJ119" s="22"/>
      <c r="BL119" s="22"/>
      <c r="BM119" s="22"/>
      <c r="BN119" s="22"/>
      <c r="BP119" s="22"/>
      <c r="BQ119" s="22"/>
      <c r="BR119" s="22"/>
      <c r="BT119" s="22"/>
      <c r="BU119" s="22"/>
      <c r="BV119" s="22"/>
      <c r="BX119" s="22"/>
      <c r="BY119" s="22"/>
      <c r="BZ119" s="22"/>
      <c r="CB119" s="24"/>
      <c r="CC119" s="24"/>
      <c r="CD119" s="24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6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</row>
    <row r="120" spans="1:200" s="23" customFormat="1" ht="14.25" customHeight="1">
      <c r="A120" s="20"/>
      <c r="B120" s="85"/>
      <c r="C120" s="22"/>
      <c r="D120" s="22"/>
      <c r="E120" s="22"/>
      <c r="G120" s="22"/>
      <c r="H120" s="22"/>
      <c r="I120" s="22"/>
      <c r="K120" s="22"/>
      <c r="L120" s="22"/>
      <c r="M120" s="22"/>
      <c r="O120" s="22"/>
      <c r="P120" s="22"/>
      <c r="Q120" s="22"/>
      <c r="S120" s="22"/>
      <c r="T120" s="22"/>
      <c r="U120" s="22"/>
      <c r="W120" s="22"/>
      <c r="X120" s="22"/>
      <c r="Y120" s="22"/>
      <c r="AA120" s="22"/>
      <c r="AB120" s="22"/>
      <c r="AC120" s="22"/>
      <c r="AE120" s="24"/>
      <c r="AF120" s="24"/>
      <c r="AG120" s="24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6"/>
      <c r="AW120" s="24"/>
      <c r="AX120" s="20"/>
      <c r="AY120" s="85"/>
      <c r="AZ120" s="22"/>
      <c r="BA120" s="22"/>
      <c r="BB120" s="22"/>
      <c r="BD120" s="22"/>
      <c r="BE120" s="22"/>
      <c r="BF120" s="22"/>
      <c r="BH120" s="22"/>
      <c r="BI120" s="22"/>
      <c r="BJ120" s="22"/>
      <c r="BL120" s="22"/>
      <c r="BM120" s="22"/>
      <c r="BN120" s="22"/>
      <c r="BP120" s="22"/>
      <c r="BQ120" s="22"/>
      <c r="BR120" s="22"/>
      <c r="BT120" s="22"/>
      <c r="BU120" s="22"/>
      <c r="BV120" s="22"/>
      <c r="BX120" s="22"/>
      <c r="BY120" s="22"/>
      <c r="BZ120" s="22"/>
      <c r="CB120" s="24"/>
      <c r="CC120" s="24"/>
      <c r="CD120" s="24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6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</row>
    <row r="121" spans="1:200" s="23" customFormat="1" ht="14.25" customHeight="1">
      <c r="A121" s="20"/>
      <c r="B121" s="85"/>
      <c r="C121" s="22"/>
      <c r="D121" s="22"/>
      <c r="E121" s="22"/>
      <c r="G121" s="22"/>
      <c r="H121" s="22"/>
      <c r="I121" s="22"/>
      <c r="K121" s="22"/>
      <c r="L121" s="22"/>
      <c r="M121" s="22"/>
      <c r="O121" s="22"/>
      <c r="P121" s="22"/>
      <c r="Q121" s="22"/>
      <c r="S121" s="22"/>
      <c r="T121" s="22"/>
      <c r="U121" s="22"/>
      <c r="W121" s="22"/>
      <c r="X121" s="22"/>
      <c r="Y121" s="22"/>
      <c r="AA121" s="22"/>
      <c r="AB121" s="22"/>
      <c r="AC121" s="22"/>
      <c r="AE121" s="24"/>
      <c r="AF121" s="24"/>
      <c r="AG121" s="24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6"/>
      <c r="AW121" s="24"/>
      <c r="AX121" s="20"/>
      <c r="AY121" s="85"/>
      <c r="AZ121" s="22"/>
      <c r="BA121" s="22"/>
      <c r="BB121" s="22"/>
      <c r="BD121" s="22"/>
      <c r="BE121" s="22"/>
      <c r="BF121" s="22"/>
      <c r="BH121" s="22"/>
      <c r="BI121" s="22"/>
      <c r="BJ121" s="22"/>
      <c r="BL121" s="22"/>
      <c r="BM121" s="22"/>
      <c r="BN121" s="22"/>
      <c r="BP121" s="22"/>
      <c r="BQ121" s="22"/>
      <c r="BR121" s="22"/>
      <c r="BT121" s="22"/>
      <c r="BU121" s="22"/>
      <c r="BV121" s="22"/>
      <c r="BX121" s="22"/>
      <c r="BY121" s="22"/>
      <c r="BZ121" s="22"/>
      <c r="CB121" s="24"/>
      <c r="CC121" s="24"/>
      <c r="CD121" s="24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6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</row>
    <row r="122" spans="1:200" s="23" customFormat="1" ht="14.25" customHeight="1">
      <c r="A122" s="20"/>
      <c r="B122" s="85"/>
      <c r="C122" s="22"/>
      <c r="D122" s="22"/>
      <c r="E122" s="22"/>
      <c r="G122" s="22"/>
      <c r="H122" s="22"/>
      <c r="I122" s="22"/>
      <c r="K122" s="22"/>
      <c r="L122" s="22"/>
      <c r="M122" s="22"/>
      <c r="O122" s="22"/>
      <c r="P122" s="22"/>
      <c r="Q122" s="22"/>
      <c r="S122" s="22"/>
      <c r="T122" s="22"/>
      <c r="U122" s="22"/>
      <c r="W122" s="22"/>
      <c r="X122" s="22"/>
      <c r="Y122" s="22"/>
      <c r="AA122" s="22"/>
      <c r="AB122" s="22"/>
      <c r="AC122" s="22"/>
      <c r="AE122" s="24"/>
      <c r="AF122" s="24"/>
      <c r="AG122" s="24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6"/>
      <c r="AW122" s="24"/>
      <c r="AX122" s="20"/>
      <c r="AY122" s="85"/>
      <c r="AZ122" s="22"/>
      <c r="BA122" s="22"/>
      <c r="BB122" s="22"/>
      <c r="BD122" s="22"/>
      <c r="BE122" s="22"/>
      <c r="BF122" s="22"/>
      <c r="BH122" s="22"/>
      <c r="BI122" s="22"/>
      <c r="BJ122" s="22"/>
      <c r="BL122" s="22"/>
      <c r="BM122" s="22"/>
      <c r="BN122" s="22"/>
      <c r="BP122" s="22"/>
      <c r="BQ122" s="22"/>
      <c r="BR122" s="22"/>
      <c r="BT122" s="22"/>
      <c r="BU122" s="22"/>
      <c r="BV122" s="22"/>
      <c r="BX122" s="22"/>
      <c r="BY122" s="22"/>
      <c r="BZ122" s="22"/>
      <c r="CB122" s="24"/>
      <c r="CC122" s="24"/>
      <c r="CD122" s="24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6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</row>
    <row r="123" spans="1:200" s="23" customFormat="1" ht="14.25" customHeight="1">
      <c r="A123" s="20"/>
      <c r="B123" s="85"/>
      <c r="C123" s="22"/>
      <c r="D123" s="22"/>
      <c r="E123" s="22"/>
      <c r="G123" s="22"/>
      <c r="H123" s="22"/>
      <c r="I123" s="22"/>
      <c r="K123" s="22"/>
      <c r="L123" s="22"/>
      <c r="M123" s="22"/>
      <c r="O123" s="22"/>
      <c r="P123" s="22"/>
      <c r="Q123" s="22"/>
      <c r="S123" s="22"/>
      <c r="T123" s="22"/>
      <c r="U123" s="22"/>
      <c r="W123" s="22"/>
      <c r="X123" s="22"/>
      <c r="Y123" s="22"/>
      <c r="AA123" s="22"/>
      <c r="AB123" s="22"/>
      <c r="AC123" s="22"/>
      <c r="AE123" s="24"/>
      <c r="AF123" s="24"/>
      <c r="AG123" s="24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6"/>
      <c r="AW123" s="24"/>
      <c r="AX123" s="20"/>
      <c r="AY123" s="85"/>
      <c r="AZ123" s="22"/>
      <c r="BA123" s="22"/>
      <c r="BB123" s="22"/>
      <c r="BD123" s="22"/>
      <c r="BE123" s="22"/>
      <c r="BF123" s="22"/>
      <c r="BH123" s="22"/>
      <c r="BI123" s="22"/>
      <c r="BJ123" s="22"/>
      <c r="BL123" s="22"/>
      <c r="BM123" s="22"/>
      <c r="BN123" s="22"/>
      <c r="BP123" s="22"/>
      <c r="BQ123" s="22"/>
      <c r="BR123" s="22"/>
      <c r="BT123" s="22"/>
      <c r="BU123" s="22"/>
      <c r="BV123" s="22"/>
      <c r="BX123" s="22"/>
      <c r="BY123" s="22"/>
      <c r="BZ123" s="22"/>
      <c r="CB123" s="24"/>
      <c r="CC123" s="24"/>
      <c r="CD123" s="24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6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</row>
    <row r="124" spans="1:200" s="23" customFormat="1" ht="14.25" customHeight="1">
      <c r="A124" s="20"/>
      <c r="B124" s="85"/>
      <c r="C124" s="22"/>
      <c r="D124" s="22"/>
      <c r="E124" s="22"/>
      <c r="G124" s="22"/>
      <c r="H124" s="22"/>
      <c r="I124" s="22"/>
      <c r="K124" s="22"/>
      <c r="L124" s="22"/>
      <c r="M124" s="22"/>
      <c r="O124" s="22"/>
      <c r="P124" s="22"/>
      <c r="Q124" s="22"/>
      <c r="S124" s="22"/>
      <c r="T124" s="22"/>
      <c r="U124" s="22"/>
      <c r="W124" s="22"/>
      <c r="X124" s="22"/>
      <c r="Y124" s="22"/>
      <c r="AA124" s="22"/>
      <c r="AB124" s="22"/>
      <c r="AC124" s="22"/>
      <c r="AE124" s="24"/>
      <c r="AF124" s="24"/>
      <c r="AG124" s="24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6"/>
      <c r="AW124" s="24"/>
      <c r="AX124" s="20"/>
      <c r="AY124" s="85"/>
      <c r="AZ124" s="22"/>
      <c r="BA124" s="22"/>
      <c r="BB124" s="22"/>
      <c r="BD124" s="22"/>
      <c r="BE124" s="22"/>
      <c r="BF124" s="22"/>
      <c r="BH124" s="22"/>
      <c r="BI124" s="22"/>
      <c r="BJ124" s="22"/>
      <c r="BL124" s="22"/>
      <c r="BM124" s="22"/>
      <c r="BN124" s="22"/>
      <c r="BP124" s="22"/>
      <c r="BQ124" s="22"/>
      <c r="BR124" s="22"/>
      <c r="BT124" s="22"/>
      <c r="BU124" s="22"/>
      <c r="BV124" s="22"/>
      <c r="BX124" s="22"/>
      <c r="BY124" s="22"/>
      <c r="BZ124" s="22"/>
      <c r="CB124" s="24"/>
      <c r="CC124" s="24"/>
      <c r="CD124" s="24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6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</row>
    <row r="125" spans="1:200" s="23" customFormat="1" ht="14.25" customHeight="1">
      <c r="A125" s="20"/>
      <c r="B125" s="85"/>
      <c r="C125" s="22"/>
      <c r="D125" s="22"/>
      <c r="E125" s="22"/>
      <c r="G125" s="22"/>
      <c r="H125" s="22"/>
      <c r="I125" s="22"/>
      <c r="K125" s="22"/>
      <c r="L125" s="22"/>
      <c r="M125" s="22"/>
      <c r="O125" s="22"/>
      <c r="P125" s="22"/>
      <c r="Q125" s="22"/>
      <c r="S125" s="22"/>
      <c r="T125" s="22"/>
      <c r="U125" s="22"/>
      <c r="W125" s="22"/>
      <c r="X125" s="22"/>
      <c r="Y125" s="22"/>
      <c r="AA125" s="22"/>
      <c r="AB125" s="22"/>
      <c r="AC125" s="22"/>
      <c r="AE125" s="24"/>
      <c r="AF125" s="24"/>
      <c r="AG125" s="24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6"/>
      <c r="AW125" s="24"/>
      <c r="AX125" s="20"/>
      <c r="AY125" s="85"/>
      <c r="AZ125" s="22"/>
      <c r="BA125" s="22"/>
      <c r="BB125" s="22"/>
      <c r="BD125" s="22"/>
      <c r="BE125" s="22"/>
      <c r="BF125" s="22"/>
      <c r="BH125" s="22"/>
      <c r="BI125" s="22"/>
      <c r="BJ125" s="22"/>
      <c r="BL125" s="22"/>
      <c r="BM125" s="22"/>
      <c r="BN125" s="22"/>
      <c r="BP125" s="22"/>
      <c r="BQ125" s="22"/>
      <c r="BR125" s="22"/>
      <c r="BT125" s="22"/>
      <c r="BU125" s="22"/>
      <c r="BV125" s="22"/>
      <c r="BX125" s="22"/>
      <c r="BY125" s="22"/>
      <c r="BZ125" s="22"/>
      <c r="CB125" s="24"/>
      <c r="CC125" s="24"/>
      <c r="CD125" s="24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6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</row>
    <row r="126" spans="1:200" s="23" customFormat="1" ht="14.25" customHeight="1">
      <c r="A126" s="20"/>
      <c r="B126" s="85"/>
      <c r="C126" s="22"/>
      <c r="D126" s="22"/>
      <c r="E126" s="22"/>
      <c r="G126" s="22"/>
      <c r="H126" s="22"/>
      <c r="I126" s="22"/>
      <c r="K126" s="22"/>
      <c r="L126" s="22"/>
      <c r="M126" s="22"/>
      <c r="O126" s="22"/>
      <c r="P126" s="22"/>
      <c r="Q126" s="22"/>
      <c r="S126" s="22"/>
      <c r="T126" s="22"/>
      <c r="U126" s="22"/>
      <c r="W126" s="22"/>
      <c r="X126" s="22"/>
      <c r="Y126" s="22"/>
      <c r="AA126" s="22"/>
      <c r="AB126" s="22"/>
      <c r="AC126" s="22"/>
      <c r="AE126" s="24"/>
      <c r="AF126" s="24"/>
      <c r="AG126" s="24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6"/>
      <c r="AW126" s="24"/>
      <c r="AX126" s="20"/>
      <c r="AY126" s="85"/>
      <c r="AZ126" s="22"/>
      <c r="BA126" s="22"/>
      <c r="BB126" s="22"/>
      <c r="BD126" s="22"/>
      <c r="BE126" s="22"/>
      <c r="BF126" s="22"/>
      <c r="BH126" s="22"/>
      <c r="BI126" s="22"/>
      <c r="BJ126" s="22"/>
      <c r="BL126" s="22"/>
      <c r="BM126" s="22"/>
      <c r="BN126" s="22"/>
      <c r="BP126" s="22"/>
      <c r="BQ126" s="22"/>
      <c r="BR126" s="22"/>
      <c r="BT126" s="22"/>
      <c r="BU126" s="22"/>
      <c r="BV126" s="22"/>
      <c r="BX126" s="22"/>
      <c r="BY126" s="22"/>
      <c r="BZ126" s="22"/>
      <c r="CB126" s="24"/>
      <c r="CC126" s="24"/>
      <c r="CD126" s="24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6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</row>
    <row r="127" spans="1:200" s="23" customFormat="1" ht="14.25" customHeight="1">
      <c r="A127" s="20"/>
      <c r="B127" s="21"/>
      <c r="C127" s="22"/>
      <c r="D127" s="22"/>
      <c r="E127" s="22"/>
      <c r="G127" s="22"/>
      <c r="H127" s="22"/>
      <c r="I127" s="22"/>
      <c r="K127" s="22"/>
      <c r="L127" s="22"/>
      <c r="M127" s="22"/>
      <c r="O127" s="22"/>
      <c r="P127" s="22"/>
      <c r="Q127" s="22"/>
      <c r="S127" s="22"/>
      <c r="T127" s="22"/>
      <c r="U127" s="22"/>
      <c r="W127" s="22"/>
      <c r="X127" s="22"/>
      <c r="Y127" s="22"/>
      <c r="AA127" s="22"/>
      <c r="AB127" s="22"/>
      <c r="AC127" s="22"/>
      <c r="AE127" s="24"/>
      <c r="AF127" s="24"/>
      <c r="AG127" s="24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6"/>
      <c r="AW127" s="24"/>
      <c r="AX127" s="20"/>
      <c r="AY127" s="21"/>
      <c r="AZ127" s="22"/>
      <c r="BA127" s="22"/>
      <c r="BB127" s="22"/>
      <c r="BD127" s="22"/>
      <c r="BE127" s="22"/>
      <c r="BF127" s="22"/>
      <c r="BH127" s="22"/>
      <c r="BI127" s="22"/>
      <c r="BJ127" s="22"/>
      <c r="BL127" s="22"/>
      <c r="BM127" s="22"/>
      <c r="BN127" s="22"/>
      <c r="BP127" s="22"/>
      <c r="BQ127" s="22"/>
      <c r="BR127" s="22"/>
      <c r="BT127" s="22"/>
      <c r="BU127" s="22"/>
      <c r="BV127" s="22"/>
      <c r="BX127" s="22"/>
      <c r="BY127" s="22"/>
      <c r="BZ127" s="22"/>
      <c r="CB127" s="24"/>
      <c r="CC127" s="24"/>
      <c r="CD127" s="24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6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</row>
    <row r="128" spans="1:200" s="23" customFormat="1" ht="14.25" customHeight="1">
      <c r="A128" s="20"/>
      <c r="B128" s="21"/>
      <c r="C128" s="22"/>
      <c r="D128" s="22"/>
      <c r="E128" s="22"/>
      <c r="G128" s="22"/>
      <c r="H128" s="22"/>
      <c r="I128" s="22"/>
      <c r="K128" s="22"/>
      <c r="L128" s="22"/>
      <c r="M128" s="22"/>
      <c r="O128" s="22"/>
      <c r="P128" s="22"/>
      <c r="Q128" s="22"/>
      <c r="S128" s="22"/>
      <c r="T128" s="22"/>
      <c r="U128" s="22"/>
      <c r="W128" s="22"/>
      <c r="X128" s="22"/>
      <c r="Y128" s="22"/>
      <c r="AA128" s="22"/>
      <c r="AB128" s="22"/>
      <c r="AC128" s="22"/>
      <c r="AE128" s="24"/>
      <c r="AF128" s="24"/>
      <c r="AG128" s="24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6"/>
      <c r="AW128" s="24"/>
      <c r="AX128" s="20"/>
      <c r="AY128" s="21"/>
      <c r="AZ128" s="22"/>
      <c r="BA128" s="22"/>
      <c r="BB128" s="22"/>
      <c r="BD128" s="22"/>
      <c r="BE128" s="22"/>
      <c r="BF128" s="22"/>
      <c r="BH128" s="22"/>
      <c r="BI128" s="22"/>
      <c r="BJ128" s="22"/>
      <c r="BL128" s="22"/>
      <c r="BM128" s="22"/>
      <c r="BN128" s="22"/>
      <c r="BP128" s="22"/>
      <c r="BQ128" s="22"/>
      <c r="BR128" s="22"/>
      <c r="BT128" s="22"/>
      <c r="BU128" s="22"/>
      <c r="BV128" s="22"/>
      <c r="BX128" s="22"/>
      <c r="BY128" s="22"/>
      <c r="BZ128" s="22"/>
      <c r="CB128" s="24"/>
      <c r="CC128" s="24"/>
      <c r="CD128" s="24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6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</row>
    <row r="129" spans="1:200" s="23" customFormat="1" ht="14.25" customHeight="1">
      <c r="A129" s="20"/>
      <c r="B129" s="21"/>
      <c r="C129" s="22"/>
      <c r="D129" s="22"/>
      <c r="E129" s="22"/>
      <c r="G129" s="22"/>
      <c r="H129" s="22"/>
      <c r="I129" s="22"/>
      <c r="K129" s="22"/>
      <c r="L129" s="22"/>
      <c r="M129" s="22"/>
      <c r="O129" s="22"/>
      <c r="P129" s="22"/>
      <c r="Q129" s="22"/>
      <c r="S129" s="22"/>
      <c r="T129" s="22"/>
      <c r="U129" s="22"/>
      <c r="W129" s="22"/>
      <c r="X129" s="22"/>
      <c r="Y129" s="22"/>
      <c r="AA129" s="22"/>
      <c r="AB129" s="22"/>
      <c r="AC129" s="22"/>
      <c r="AE129" s="24"/>
      <c r="AF129" s="24"/>
      <c r="AG129" s="24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6"/>
      <c r="AW129" s="24"/>
      <c r="AX129" s="20"/>
      <c r="AY129" s="21"/>
      <c r="AZ129" s="22"/>
      <c r="BA129" s="22"/>
      <c r="BB129" s="22"/>
      <c r="BD129" s="22"/>
      <c r="BE129" s="22"/>
      <c r="BF129" s="22"/>
      <c r="BH129" s="22"/>
      <c r="BI129" s="22"/>
      <c r="BJ129" s="22"/>
      <c r="BL129" s="22"/>
      <c r="BM129" s="22"/>
      <c r="BN129" s="22"/>
      <c r="BP129" s="22"/>
      <c r="BQ129" s="22"/>
      <c r="BR129" s="22"/>
      <c r="BT129" s="22"/>
      <c r="BU129" s="22"/>
      <c r="BV129" s="22"/>
      <c r="BX129" s="22"/>
      <c r="BY129" s="22"/>
      <c r="BZ129" s="22"/>
      <c r="CB129" s="24"/>
      <c r="CC129" s="24"/>
      <c r="CD129" s="24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6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</row>
    <row r="130" spans="1:200" s="23" customFormat="1" ht="14.25" customHeight="1">
      <c r="A130" s="20"/>
      <c r="B130" s="21"/>
      <c r="C130" s="22"/>
      <c r="D130" s="22"/>
      <c r="E130" s="22"/>
      <c r="G130" s="22"/>
      <c r="H130" s="22"/>
      <c r="I130" s="22"/>
      <c r="K130" s="22"/>
      <c r="L130" s="22"/>
      <c r="M130" s="22"/>
      <c r="O130" s="22"/>
      <c r="P130" s="22"/>
      <c r="Q130" s="22"/>
      <c r="S130" s="22"/>
      <c r="T130" s="22"/>
      <c r="U130" s="22"/>
      <c r="W130" s="22"/>
      <c r="X130" s="22"/>
      <c r="Y130" s="22"/>
      <c r="AA130" s="22"/>
      <c r="AB130" s="22"/>
      <c r="AC130" s="22"/>
      <c r="AE130" s="24"/>
      <c r="AF130" s="24"/>
      <c r="AG130" s="24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6"/>
      <c r="AW130" s="24"/>
      <c r="AX130" s="20"/>
      <c r="AY130" s="21"/>
      <c r="AZ130" s="22"/>
      <c r="BA130" s="22"/>
      <c r="BB130" s="22"/>
      <c r="BD130" s="22"/>
      <c r="BE130" s="22"/>
      <c r="BF130" s="22"/>
      <c r="BH130" s="22"/>
      <c r="BI130" s="22"/>
      <c r="BJ130" s="22"/>
      <c r="BL130" s="22"/>
      <c r="BM130" s="22"/>
      <c r="BN130" s="22"/>
      <c r="BP130" s="22"/>
      <c r="BQ130" s="22"/>
      <c r="BR130" s="22"/>
      <c r="BT130" s="22"/>
      <c r="BU130" s="22"/>
      <c r="BV130" s="22"/>
      <c r="BX130" s="22"/>
      <c r="BY130" s="22"/>
      <c r="BZ130" s="22"/>
      <c r="CB130" s="24"/>
      <c r="CC130" s="24"/>
      <c r="CD130" s="24"/>
      <c r="CE130" s="25"/>
      <c r="CF130" s="25"/>
      <c r="CG130" s="25"/>
      <c r="CH130" s="25"/>
      <c r="CI130" s="25"/>
      <c r="CJ130" s="25"/>
      <c r="CK130" s="25"/>
      <c r="CL130" s="25"/>
      <c r="CM130" s="25"/>
      <c r="CN130" s="25"/>
      <c r="CO130" s="25"/>
      <c r="CP130" s="25"/>
      <c r="CQ130" s="25"/>
      <c r="CR130" s="25"/>
      <c r="CS130" s="26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</row>
    <row r="131" spans="1:200" s="23" customFormat="1" ht="14.25" customHeight="1">
      <c r="A131" s="20"/>
      <c r="B131" s="21"/>
      <c r="C131" s="22"/>
      <c r="D131" s="22"/>
      <c r="E131" s="22"/>
      <c r="G131" s="22"/>
      <c r="H131" s="22"/>
      <c r="I131" s="22"/>
      <c r="K131" s="22"/>
      <c r="L131" s="22"/>
      <c r="M131" s="22"/>
      <c r="O131" s="22"/>
      <c r="P131" s="22"/>
      <c r="Q131" s="22"/>
      <c r="S131" s="22"/>
      <c r="T131" s="22"/>
      <c r="U131" s="22"/>
      <c r="W131" s="22"/>
      <c r="X131" s="22"/>
      <c r="Y131" s="22"/>
      <c r="AA131" s="22"/>
      <c r="AB131" s="22"/>
      <c r="AC131" s="22"/>
      <c r="AE131" s="24"/>
      <c r="AF131" s="24"/>
      <c r="AG131" s="24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6"/>
      <c r="AW131" s="24"/>
      <c r="AX131" s="20"/>
      <c r="AY131" s="21"/>
      <c r="AZ131" s="22"/>
      <c r="BA131" s="22"/>
      <c r="BB131" s="22"/>
      <c r="BD131" s="22"/>
      <c r="BE131" s="22"/>
      <c r="BF131" s="22"/>
      <c r="BH131" s="22"/>
      <c r="BI131" s="22"/>
      <c r="BJ131" s="22"/>
      <c r="BL131" s="22"/>
      <c r="BM131" s="22"/>
      <c r="BN131" s="22"/>
      <c r="BP131" s="22"/>
      <c r="BQ131" s="22"/>
      <c r="BR131" s="22"/>
      <c r="BT131" s="22"/>
      <c r="BU131" s="22"/>
      <c r="BV131" s="22"/>
      <c r="BX131" s="22"/>
      <c r="BY131" s="22"/>
      <c r="BZ131" s="22"/>
      <c r="CB131" s="24"/>
      <c r="CC131" s="24"/>
      <c r="CD131" s="24"/>
      <c r="CE131" s="25"/>
      <c r="CF131" s="25"/>
      <c r="CG131" s="25"/>
      <c r="CH131" s="25"/>
      <c r="CI131" s="25"/>
      <c r="CJ131" s="25"/>
      <c r="CK131" s="25"/>
      <c r="CL131" s="25"/>
      <c r="CM131" s="25"/>
      <c r="CN131" s="25"/>
      <c r="CO131" s="25"/>
      <c r="CP131" s="25"/>
      <c r="CQ131" s="25"/>
      <c r="CR131" s="25"/>
      <c r="CS131" s="26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</row>
    <row r="132" spans="1:200" s="23" customFormat="1" ht="14.25" customHeight="1">
      <c r="A132" s="20"/>
      <c r="B132" s="21"/>
      <c r="C132" s="22"/>
      <c r="D132" s="22"/>
      <c r="E132" s="22"/>
      <c r="G132" s="22"/>
      <c r="H132" s="22"/>
      <c r="I132" s="22"/>
      <c r="K132" s="22"/>
      <c r="L132" s="22"/>
      <c r="M132" s="22"/>
      <c r="O132" s="22"/>
      <c r="P132" s="22"/>
      <c r="Q132" s="22"/>
      <c r="S132" s="22"/>
      <c r="T132" s="22"/>
      <c r="U132" s="22"/>
      <c r="W132" s="22"/>
      <c r="X132" s="22"/>
      <c r="Y132" s="22"/>
      <c r="AA132" s="22"/>
      <c r="AB132" s="22"/>
      <c r="AC132" s="22"/>
      <c r="AE132" s="24"/>
      <c r="AF132" s="24"/>
      <c r="AG132" s="24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6"/>
      <c r="AW132" s="24"/>
      <c r="AX132" s="20"/>
      <c r="AY132" s="21"/>
      <c r="AZ132" s="22"/>
      <c r="BA132" s="22"/>
      <c r="BB132" s="22"/>
      <c r="BD132" s="22"/>
      <c r="BE132" s="22"/>
      <c r="BF132" s="22"/>
      <c r="BH132" s="22"/>
      <c r="BI132" s="22"/>
      <c r="BJ132" s="22"/>
      <c r="BL132" s="22"/>
      <c r="BM132" s="22"/>
      <c r="BN132" s="22"/>
      <c r="BP132" s="22"/>
      <c r="BQ132" s="22"/>
      <c r="BR132" s="22"/>
      <c r="BT132" s="22"/>
      <c r="BU132" s="22"/>
      <c r="BV132" s="22"/>
      <c r="BX132" s="22"/>
      <c r="BY132" s="22"/>
      <c r="BZ132" s="22"/>
      <c r="CB132" s="24"/>
      <c r="CC132" s="24"/>
      <c r="CD132" s="24"/>
      <c r="CE132" s="25"/>
      <c r="CF132" s="25"/>
      <c r="CG132" s="25"/>
      <c r="CH132" s="25"/>
      <c r="CI132" s="25"/>
      <c r="CJ132" s="25"/>
      <c r="CK132" s="25"/>
      <c r="CL132" s="25"/>
      <c r="CM132" s="25"/>
      <c r="CN132" s="25"/>
      <c r="CO132" s="25"/>
      <c r="CP132" s="25"/>
      <c r="CQ132" s="25"/>
      <c r="CR132" s="25"/>
      <c r="CS132" s="26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</row>
    <row r="133" spans="1:200" s="23" customFormat="1" ht="14.25" customHeight="1">
      <c r="A133" s="20"/>
      <c r="B133" s="21"/>
      <c r="C133" s="22"/>
      <c r="D133" s="22"/>
      <c r="E133" s="22"/>
      <c r="G133" s="22"/>
      <c r="H133" s="22"/>
      <c r="I133" s="22"/>
      <c r="K133" s="22"/>
      <c r="L133" s="22"/>
      <c r="M133" s="22"/>
      <c r="O133" s="22"/>
      <c r="P133" s="22"/>
      <c r="Q133" s="22"/>
      <c r="S133" s="22"/>
      <c r="T133" s="22"/>
      <c r="U133" s="22"/>
      <c r="W133" s="22"/>
      <c r="X133" s="22"/>
      <c r="Y133" s="22"/>
      <c r="AA133" s="22"/>
      <c r="AB133" s="22"/>
      <c r="AC133" s="22"/>
      <c r="AE133" s="24"/>
      <c r="AF133" s="24"/>
      <c r="AG133" s="24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6"/>
      <c r="AW133" s="24"/>
      <c r="AX133" s="20"/>
      <c r="AY133" s="21"/>
      <c r="AZ133" s="22"/>
      <c r="BA133" s="22"/>
      <c r="BB133" s="22"/>
      <c r="BD133" s="22"/>
      <c r="BE133" s="22"/>
      <c r="BF133" s="22"/>
      <c r="BH133" s="22"/>
      <c r="BI133" s="22"/>
      <c r="BJ133" s="22"/>
      <c r="BL133" s="22"/>
      <c r="BM133" s="22"/>
      <c r="BN133" s="22"/>
      <c r="BP133" s="22"/>
      <c r="BQ133" s="22"/>
      <c r="BR133" s="22"/>
      <c r="BT133" s="22"/>
      <c r="BU133" s="22"/>
      <c r="BV133" s="22"/>
      <c r="BX133" s="22"/>
      <c r="BY133" s="22"/>
      <c r="BZ133" s="22"/>
      <c r="CB133" s="24"/>
      <c r="CC133" s="24"/>
      <c r="CD133" s="24"/>
      <c r="CE133" s="25"/>
      <c r="CF133" s="25"/>
      <c r="CG133" s="25"/>
      <c r="CH133" s="25"/>
      <c r="CI133" s="25"/>
      <c r="CJ133" s="25"/>
      <c r="CK133" s="25"/>
      <c r="CL133" s="25"/>
      <c r="CM133" s="25"/>
      <c r="CN133" s="25"/>
      <c r="CO133" s="25"/>
      <c r="CP133" s="25"/>
      <c r="CQ133" s="25"/>
      <c r="CR133" s="25"/>
      <c r="CS133" s="26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</row>
    <row r="134" spans="1:200" s="23" customFormat="1" ht="14.25" customHeight="1">
      <c r="A134" s="20"/>
      <c r="B134" s="21"/>
      <c r="C134" s="22"/>
      <c r="D134" s="22"/>
      <c r="E134" s="22"/>
      <c r="G134" s="22"/>
      <c r="H134" s="22"/>
      <c r="I134" s="22"/>
      <c r="K134" s="22"/>
      <c r="L134" s="22"/>
      <c r="M134" s="22"/>
      <c r="O134" s="22"/>
      <c r="P134" s="22"/>
      <c r="Q134" s="22"/>
      <c r="S134" s="22"/>
      <c r="T134" s="22"/>
      <c r="U134" s="22"/>
      <c r="W134" s="22"/>
      <c r="X134" s="22"/>
      <c r="Y134" s="22"/>
      <c r="AA134" s="22"/>
      <c r="AB134" s="22"/>
      <c r="AC134" s="22"/>
      <c r="AE134" s="24"/>
      <c r="AF134" s="24"/>
      <c r="AG134" s="24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6"/>
      <c r="AW134" s="24"/>
      <c r="AX134" s="20"/>
      <c r="AY134" s="21"/>
      <c r="AZ134" s="22"/>
      <c r="BA134" s="22"/>
      <c r="BB134" s="22"/>
      <c r="BD134" s="22"/>
      <c r="BE134" s="22"/>
      <c r="BF134" s="22"/>
      <c r="BH134" s="22"/>
      <c r="BI134" s="22"/>
      <c r="BJ134" s="22"/>
      <c r="BL134" s="22"/>
      <c r="BM134" s="22"/>
      <c r="BN134" s="22"/>
      <c r="BP134" s="22"/>
      <c r="BQ134" s="22"/>
      <c r="BR134" s="22"/>
      <c r="BT134" s="22"/>
      <c r="BU134" s="22"/>
      <c r="BV134" s="22"/>
      <c r="BX134" s="22"/>
      <c r="BY134" s="22"/>
      <c r="BZ134" s="22"/>
      <c r="CB134" s="24"/>
      <c r="CC134" s="24"/>
      <c r="CD134" s="24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6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</row>
    <row r="135" spans="1:200" s="23" customFormat="1" ht="14.25" customHeight="1">
      <c r="A135" s="20"/>
      <c r="B135" s="21"/>
      <c r="C135" s="22"/>
      <c r="D135" s="22"/>
      <c r="E135" s="22"/>
      <c r="G135" s="22"/>
      <c r="H135" s="22"/>
      <c r="I135" s="22"/>
      <c r="K135" s="22"/>
      <c r="L135" s="22"/>
      <c r="M135" s="22"/>
      <c r="O135" s="22"/>
      <c r="P135" s="22"/>
      <c r="Q135" s="22"/>
      <c r="S135" s="22"/>
      <c r="T135" s="22"/>
      <c r="U135" s="22"/>
      <c r="W135" s="22"/>
      <c r="X135" s="22"/>
      <c r="Y135" s="22"/>
      <c r="AA135" s="22"/>
      <c r="AB135" s="22"/>
      <c r="AC135" s="22"/>
      <c r="AE135" s="24"/>
      <c r="AF135" s="24"/>
      <c r="AG135" s="24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6"/>
      <c r="AW135" s="24"/>
      <c r="AX135" s="20"/>
      <c r="AY135" s="21"/>
      <c r="AZ135" s="22"/>
      <c r="BA135" s="22"/>
      <c r="BB135" s="22"/>
      <c r="BD135" s="22"/>
      <c r="BE135" s="22"/>
      <c r="BF135" s="22"/>
      <c r="BH135" s="22"/>
      <c r="BI135" s="22"/>
      <c r="BJ135" s="22"/>
      <c r="BL135" s="22"/>
      <c r="BM135" s="22"/>
      <c r="BN135" s="22"/>
      <c r="BP135" s="22"/>
      <c r="BQ135" s="22"/>
      <c r="BR135" s="22"/>
      <c r="BT135" s="22"/>
      <c r="BU135" s="22"/>
      <c r="BV135" s="22"/>
      <c r="BX135" s="22"/>
      <c r="BY135" s="22"/>
      <c r="BZ135" s="22"/>
      <c r="CB135" s="24"/>
      <c r="CC135" s="24"/>
      <c r="CD135" s="24"/>
      <c r="CE135" s="25"/>
      <c r="CF135" s="25"/>
      <c r="CG135" s="25"/>
      <c r="CH135" s="25"/>
      <c r="CI135" s="25"/>
      <c r="CJ135" s="25"/>
      <c r="CK135" s="25"/>
      <c r="CL135" s="25"/>
      <c r="CM135" s="25"/>
      <c r="CN135" s="25"/>
      <c r="CO135" s="25"/>
      <c r="CP135" s="25"/>
      <c r="CQ135" s="25"/>
      <c r="CR135" s="25"/>
      <c r="CS135" s="26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</row>
    <row r="136" spans="1:200" s="23" customFormat="1" ht="14.25" customHeight="1">
      <c r="A136" s="20"/>
      <c r="B136" s="21"/>
      <c r="C136" s="22"/>
      <c r="D136" s="22"/>
      <c r="E136" s="22"/>
      <c r="G136" s="22"/>
      <c r="H136" s="22"/>
      <c r="I136" s="22"/>
      <c r="K136" s="22"/>
      <c r="L136" s="22"/>
      <c r="M136" s="22"/>
      <c r="O136" s="22"/>
      <c r="P136" s="22"/>
      <c r="Q136" s="22"/>
      <c r="S136" s="22"/>
      <c r="T136" s="22"/>
      <c r="U136" s="22"/>
      <c r="W136" s="22"/>
      <c r="X136" s="22"/>
      <c r="Y136" s="22"/>
      <c r="AA136" s="22"/>
      <c r="AB136" s="22"/>
      <c r="AC136" s="22"/>
      <c r="AE136" s="24"/>
      <c r="AF136" s="24"/>
      <c r="AG136" s="24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6"/>
      <c r="AW136" s="24"/>
      <c r="AX136" s="20"/>
      <c r="AY136" s="21"/>
      <c r="AZ136" s="22"/>
      <c r="BA136" s="22"/>
      <c r="BB136" s="22"/>
      <c r="BD136" s="22"/>
      <c r="BE136" s="22"/>
      <c r="BF136" s="22"/>
      <c r="BH136" s="22"/>
      <c r="BI136" s="22"/>
      <c r="BJ136" s="22"/>
      <c r="BL136" s="22"/>
      <c r="BM136" s="22"/>
      <c r="BN136" s="22"/>
      <c r="BP136" s="22"/>
      <c r="BQ136" s="22"/>
      <c r="BR136" s="22"/>
      <c r="BT136" s="22"/>
      <c r="BU136" s="22"/>
      <c r="BV136" s="22"/>
      <c r="BX136" s="22"/>
      <c r="BY136" s="22"/>
      <c r="BZ136" s="22"/>
      <c r="CB136" s="24"/>
      <c r="CC136" s="24"/>
      <c r="CD136" s="24"/>
      <c r="CE136" s="25"/>
      <c r="CF136" s="25"/>
      <c r="CG136" s="25"/>
      <c r="CH136" s="25"/>
      <c r="CI136" s="25"/>
      <c r="CJ136" s="25"/>
      <c r="CK136" s="25"/>
      <c r="CL136" s="25"/>
      <c r="CM136" s="25"/>
      <c r="CN136" s="25"/>
      <c r="CO136" s="25"/>
      <c r="CP136" s="25"/>
      <c r="CQ136" s="25"/>
      <c r="CR136" s="25"/>
      <c r="CS136" s="26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</row>
    <row r="137" spans="1:200" s="23" customFormat="1" ht="14.25" customHeight="1">
      <c r="A137" s="20"/>
      <c r="B137" s="21"/>
      <c r="C137" s="22"/>
      <c r="D137" s="22"/>
      <c r="E137" s="22"/>
      <c r="G137" s="22"/>
      <c r="H137" s="22"/>
      <c r="I137" s="22"/>
      <c r="K137" s="22"/>
      <c r="L137" s="22"/>
      <c r="M137" s="22"/>
      <c r="O137" s="22"/>
      <c r="P137" s="22"/>
      <c r="Q137" s="22"/>
      <c r="S137" s="22"/>
      <c r="T137" s="22"/>
      <c r="U137" s="22"/>
      <c r="W137" s="22"/>
      <c r="X137" s="22"/>
      <c r="Y137" s="22"/>
      <c r="AA137" s="22"/>
      <c r="AB137" s="22"/>
      <c r="AC137" s="22"/>
      <c r="AE137" s="24"/>
      <c r="AF137" s="24"/>
      <c r="AG137" s="24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6"/>
      <c r="AW137" s="24"/>
      <c r="AX137" s="20"/>
      <c r="AY137" s="21"/>
      <c r="AZ137" s="22"/>
      <c r="BA137" s="22"/>
      <c r="BB137" s="22"/>
      <c r="BD137" s="22"/>
      <c r="BE137" s="22"/>
      <c r="BF137" s="22"/>
      <c r="BH137" s="22"/>
      <c r="BI137" s="22"/>
      <c r="BJ137" s="22"/>
      <c r="BL137" s="22"/>
      <c r="BM137" s="22"/>
      <c r="BN137" s="22"/>
      <c r="BP137" s="22"/>
      <c r="BQ137" s="22"/>
      <c r="BR137" s="22"/>
      <c r="BT137" s="22"/>
      <c r="BU137" s="22"/>
      <c r="BV137" s="22"/>
      <c r="BX137" s="22"/>
      <c r="BY137" s="22"/>
      <c r="BZ137" s="22"/>
      <c r="CB137" s="24"/>
      <c r="CC137" s="24"/>
      <c r="CD137" s="24"/>
      <c r="CE137" s="25"/>
      <c r="CF137" s="25"/>
      <c r="CG137" s="25"/>
      <c r="CH137" s="25"/>
      <c r="CI137" s="25"/>
      <c r="CJ137" s="25"/>
      <c r="CK137" s="25"/>
      <c r="CL137" s="25"/>
      <c r="CM137" s="25"/>
      <c r="CN137" s="25"/>
      <c r="CO137" s="25"/>
      <c r="CP137" s="25"/>
      <c r="CQ137" s="25"/>
      <c r="CR137" s="25"/>
      <c r="CS137" s="26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</row>
    <row r="138" spans="1:200" s="23" customFormat="1" ht="14.25" customHeight="1">
      <c r="A138" s="20"/>
      <c r="B138" s="21"/>
      <c r="C138" s="22"/>
      <c r="D138" s="22"/>
      <c r="E138" s="22"/>
      <c r="G138" s="22"/>
      <c r="H138" s="22"/>
      <c r="I138" s="22"/>
      <c r="K138" s="22"/>
      <c r="L138" s="22"/>
      <c r="M138" s="22"/>
      <c r="O138" s="22"/>
      <c r="P138" s="22"/>
      <c r="Q138" s="22"/>
      <c r="S138" s="22"/>
      <c r="T138" s="22"/>
      <c r="U138" s="22"/>
      <c r="W138" s="22"/>
      <c r="X138" s="22"/>
      <c r="Y138" s="22"/>
      <c r="AA138" s="22"/>
      <c r="AB138" s="22"/>
      <c r="AC138" s="22"/>
      <c r="AE138" s="24"/>
      <c r="AF138" s="24"/>
      <c r="AG138" s="24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6"/>
      <c r="AW138" s="24"/>
      <c r="AX138" s="20"/>
      <c r="AY138" s="21"/>
      <c r="AZ138" s="22"/>
      <c r="BA138" s="22"/>
      <c r="BB138" s="22"/>
      <c r="BD138" s="22"/>
      <c r="BE138" s="22"/>
      <c r="BF138" s="22"/>
      <c r="BH138" s="22"/>
      <c r="BI138" s="22"/>
      <c r="BJ138" s="22"/>
      <c r="BL138" s="22"/>
      <c r="BM138" s="22"/>
      <c r="BN138" s="22"/>
      <c r="BP138" s="22"/>
      <c r="BQ138" s="22"/>
      <c r="BR138" s="22"/>
      <c r="BT138" s="22"/>
      <c r="BU138" s="22"/>
      <c r="BV138" s="22"/>
      <c r="BX138" s="22"/>
      <c r="BY138" s="22"/>
      <c r="BZ138" s="22"/>
      <c r="CB138" s="24"/>
      <c r="CC138" s="24"/>
      <c r="CD138" s="24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6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</row>
    <row r="139" spans="1:200" s="23" customFormat="1" ht="14.25" customHeight="1">
      <c r="A139" s="20"/>
      <c r="B139" s="21"/>
      <c r="C139" s="22"/>
      <c r="D139" s="22"/>
      <c r="E139" s="22"/>
      <c r="G139" s="22"/>
      <c r="H139" s="22"/>
      <c r="I139" s="22"/>
      <c r="K139" s="22"/>
      <c r="L139" s="22"/>
      <c r="M139" s="22"/>
      <c r="O139" s="22"/>
      <c r="P139" s="22"/>
      <c r="Q139" s="22"/>
      <c r="S139" s="22"/>
      <c r="T139" s="22"/>
      <c r="U139" s="22"/>
      <c r="W139" s="22"/>
      <c r="X139" s="22"/>
      <c r="Y139" s="22"/>
      <c r="AA139" s="22"/>
      <c r="AB139" s="22"/>
      <c r="AC139" s="22"/>
      <c r="AE139" s="24"/>
      <c r="AF139" s="24"/>
      <c r="AG139" s="24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6"/>
      <c r="AW139" s="24"/>
      <c r="AX139" s="20"/>
      <c r="AY139" s="21"/>
      <c r="AZ139" s="22"/>
      <c r="BA139" s="22"/>
      <c r="BB139" s="22"/>
      <c r="BD139" s="22"/>
      <c r="BE139" s="22"/>
      <c r="BF139" s="22"/>
      <c r="BH139" s="22"/>
      <c r="BI139" s="22"/>
      <c r="BJ139" s="22"/>
      <c r="BL139" s="22"/>
      <c r="BM139" s="22"/>
      <c r="BN139" s="22"/>
      <c r="BP139" s="22"/>
      <c r="BQ139" s="22"/>
      <c r="BR139" s="22"/>
      <c r="BT139" s="22"/>
      <c r="BU139" s="22"/>
      <c r="BV139" s="22"/>
      <c r="BX139" s="22"/>
      <c r="BY139" s="22"/>
      <c r="BZ139" s="22"/>
      <c r="CB139" s="24"/>
      <c r="CC139" s="24"/>
      <c r="CD139" s="24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6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</row>
    <row r="140" spans="1:200" s="23" customFormat="1" ht="14.25" customHeight="1">
      <c r="A140" s="20"/>
      <c r="B140" s="21"/>
      <c r="C140" s="22"/>
      <c r="D140" s="22"/>
      <c r="E140" s="22"/>
      <c r="G140" s="22"/>
      <c r="H140" s="22"/>
      <c r="I140" s="22"/>
      <c r="K140" s="22"/>
      <c r="L140" s="22"/>
      <c r="M140" s="22"/>
      <c r="O140" s="22"/>
      <c r="P140" s="22"/>
      <c r="Q140" s="22"/>
      <c r="S140" s="22"/>
      <c r="T140" s="22"/>
      <c r="U140" s="22"/>
      <c r="W140" s="22"/>
      <c r="X140" s="22"/>
      <c r="Y140" s="22"/>
      <c r="AA140" s="22"/>
      <c r="AB140" s="22"/>
      <c r="AC140" s="22"/>
      <c r="AE140" s="24"/>
      <c r="AF140" s="24"/>
      <c r="AG140" s="24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6"/>
      <c r="AW140" s="24"/>
      <c r="AX140" s="20"/>
      <c r="AY140" s="21"/>
      <c r="AZ140" s="22"/>
      <c r="BA140" s="22"/>
      <c r="BB140" s="22"/>
      <c r="BD140" s="22"/>
      <c r="BE140" s="22"/>
      <c r="BF140" s="22"/>
      <c r="BH140" s="22"/>
      <c r="BI140" s="22"/>
      <c r="BJ140" s="22"/>
      <c r="BL140" s="22"/>
      <c r="BM140" s="22"/>
      <c r="BN140" s="22"/>
      <c r="BP140" s="22"/>
      <c r="BQ140" s="22"/>
      <c r="BR140" s="22"/>
      <c r="BT140" s="22"/>
      <c r="BU140" s="22"/>
      <c r="BV140" s="22"/>
      <c r="BX140" s="22"/>
      <c r="BY140" s="22"/>
      <c r="BZ140" s="22"/>
      <c r="CB140" s="24"/>
      <c r="CC140" s="24"/>
      <c r="CD140" s="24"/>
      <c r="CE140" s="25"/>
      <c r="CF140" s="25"/>
      <c r="CG140" s="25"/>
      <c r="CH140" s="25"/>
      <c r="CI140" s="25"/>
      <c r="CJ140" s="25"/>
      <c r="CK140" s="25"/>
      <c r="CL140" s="25"/>
      <c r="CM140" s="25"/>
      <c r="CN140" s="25"/>
      <c r="CO140" s="25"/>
      <c r="CP140" s="25"/>
      <c r="CQ140" s="25"/>
      <c r="CR140" s="25"/>
      <c r="CS140" s="26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</row>
    <row r="141" spans="1:200" s="23" customFormat="1" ht="14.25" customHeight="1">
      <c r="A141" s="20"/>
      <c r="B141" s="21"/>
      <c r="C141" s="22"/>
      <c r="D141" s="22"/>
      <c r="E141" s="22"/>
      <c r="G141" s="22"/>
      <c r="H141" s="22"/>
      <c r="I141" s="22"/>
      <c r="K141" s="22"/>
      <c r="L141" s="22"/>
      <c r="M141" s="22"/>
      <c r="O141" s="22"/>
      <c r="P141" s="22"/>
      <c r="Q141" s="22"/>
      <c r="S141" s="22"/>
      <c r="T141" s="22"/>
      <c r="U141" s="22"/>
      <c r="W141" s="22"/>
      <c r="X141" s="22"/>
      <c r="Y141" s="22"/>
      <c r="AA141" s="22"/>
      <c r="AB141" s="22"/>
      <c r="AC141" s="22"/>
      <c r="AE141" s="24"/>
      <c r="AF141" s="24"/>
      <c r="AG141" s="24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6"/>
      <c r="AW141" s="24"/>
      <c r="AX141" s="20"/>
      <c r="AY141" s="21"/>
      <c r="AZ141" s="22"/>
      <c r="BA141" s="22"/>
      <c r="BB141" s="22"/>
      <c r="BD141" s="22"/>
      <c r="BE141" s="22"/>
      <c r="BF141" s="22"/>
      <c r="BH141" s="22"/>
      <c r="BI141" s="22"/>
      <c r="BJ141" s="22"/>
      <c r="BL141" s="22"/>
      <c r="BM141" s="22"/>
      <c r="BN141" s="22"/>
      <c r="BP141" s="22"/>
      <c r="BQ141" s="22"/>
      <c r="BR141" s="22"/>
      <c r="BT141" s="22"/>
      <c r="BU141" s="22"/>
      <c r="BV141" s="22"/>
      <c r="BX141" s="22"/>
      <c r="BY141" s="22"/>
      <c r="BZ141" s="22"/>
      <c r="CB141" s="24"/>
      <c r="CC141" s="24"/>
      <c r="CD141" s="24"/>
      <c r="CE141" s="25"/>
      <c r="CF141" s="25"/>
      <c r="CG141" s="25"/>
      <c r="CH141" s="25"/>
      <c r="CI141" s="25"/>
      <c r="CJ141" s="25"/>
      <c r="CK141" s="25"/>
      <c r="CL141" s="25"/>
      <c r="CM141" s="25"/>
      <c r="CN141" s="25"/>
      <c r="CO141" s="25"/>
      <c r="CP141" s="25"/>
      <c r="CQ141" s="25"/>
      <c r="CR141" s="25"/>
      <c r="CS141" s="26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</row>
    <row r="142" spans="1:200" s="23" customFormat="1" ht="14.25" customHeight="1">
      <c r="A142" s="20"/>
      <c r="B142" s="21"/>
      <c r="C142" s="22"/>
      <c r="D142" s="22"/>
      <c r="E142" s="22"/>
      <c r="G142" s="22"/>
      <c r="H142" s="22"/>
      <c r="I142" s="22"/>
      <c r="K142" s="22"/>
      <c r="L142" s="22"/>
      <c r="M142" s="22"/>
      <c r="O142" s="22"/>
      <c r="P142" s="22"/>
      <c r="Q142" s="22"/>
      <c r="S142" s="22"/>
      <c r="T142" s="22"/>
      <c r="U142" s="22"/>
      <c r="W142" s="22"/>
      <c r="X142" s="22"/>
      <c r="Y142" s="22"/>
      <c r="AA142" s="22"/>
      <c r="AB142" s="22"/>
      <c r="AC142" s="22"/>
      <c r="AE142" s="24"/>
      <c r="AF142" s="24"/>
      <c r="AG142" s="24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6"/>
      <c r="AW142" s="24"/>
      <c r="AX142" s="20"/>
      <c r="AY142" s="21"/>
      <c r="AZ142" s="22"/>
      <c r="BA142" s="22"/>
      <c r="BB142" s="22"/>
      <c r="BD142" s="22"/>
      <c r="BE142" s="22"/>
      <c r="BF142" s="22"/>
      <c r="BH142" s="22"/>
      <c r="BI142" s="22"/>
      <c r="BJ142" s="22"/>
      <c r="BL142" s="22"/>
      <c r="BM142" s="22"/>
      <c r="BN142" s="22"/>
      <c r="BP142" s="22"/>
      <c r="BQ142" s="22"/>
      <c r="BR142" s="22"/>
      <c r="BT142" s="22"/>
      <c r="BU142" s="22"/>
      <c r="BV142" s="22"/>
      <c r="BX142" s="22"/>
      <c r="BY142" s="22"/>
      <c r="BZ142" s="22"/>
      <c r="CB142" s="24"/>
      <c r="CC142" s="24"/>
      <c r="CD142" s="24"/>
      <c r="CE142" s="25"/>
      <c r="CF142" s="25"/>
      <c r="CG142" s="25"/>
      <c r="CH142" s="25"/>
      <c r="CI142" s="25"/>
      <c r="CJ142" s="25"/>
      <c r="CK142" s="25"/>
      <c r="CL142" s="25"/>
      <c r="CM142" s="25"/>
      <c r="CN142" s="25"/>
      <c r="CO142" s="25"/>
      <c r="CP142" s="25"/>
      <c r="CQ142" s="25"/>
      <c r="CR142" s="25"/>
      <c r="CS142" s="26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</row>
    <row r="143" spans="1:200" s="23" customFormat="1" ht="14.25" customHeight="1">
      <c r="A143" s="20"/>
      <c r="B143" s="21"/>
      <c r="C143" s="22"/>
      <c r="D143" s="22"/>
      <c r="E143" s="22"/>
      <c r="G143" s="22"/>
      <c r="H143" s="22"/>
      <c r="I143" s="22"/>
      <c r="K143" s="22"/>
      <c r="L143" s="22"/>
      <c r="M143" s="22"/>
      <c r="O143" s="22"/>
      <c r="P143" s="22"/>
      <c r="Q143" s="22"/>
      <c r="S143" s="22"/>
      <c r="T143" s="22"/>
      <c r="U143" s="22"/>
      <c r="W143" s="22"/>
      <c r="X143" s="22"/>
      <c r="Y143" s="22"/>
      <c r="AA143" s="22"/>
      <c r="AB143" s="22"/>
      <c r="AC143" s="22"/>
      <c r="AE143" s="24"/>
      <c r="AF143" s="24"/>
      <c r="AG143" s="24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6"/>
      <c r="AW143" s="24"/>
      <c r="AX143" s="20"/>
      <c r="AY143" s="21"/>
      <c r="AZ143" s="22"/>
      <c r="BA143" s="22"/>
      <c r="BB143" s="22"/>
      <c r="BD143" s="22"/>
      <c r="BE143" s="22"/>
      <c r="BF143" s="22"/>
      <c r="BH143" s="22"/>
      <c r="BI143" s="22"/>
      <c r="BJ143" s="22"/>
      <c r="BL143" s="22"/>
      <c r="BM143" s="22"/>
      <c r="BN143" s="22"/>
      <c r="BP143" s="22"/>
      <c r="BQ143" s="22"/>
      <c r="BR143" s="22"/>
      <c r="BT143" s="22"/>
      <c r="BU143" s="22"/>
      <c r="BV143" s="22"/>
      <c r="BX143" s="22"/>
      <c r="BY143" s="22"/>
      <c r="BZ143" s="22"/>
      <c r="CB143" s="24"/>
      <c r="CC143" s="24"/>
      <c r="CD143" s="24"/>
      <c r="CE143" s="25"/>
      <c r="CF143" s="25"/>
      <c r="CG143" s="25"/>
      <c r="CH143" s="25"/>
      <c r="CI143" s="25"/>
      <c r="CJ143" s="25"/>
      <c r="CK143" s="25"/>
      <c r="CL143" s="25"/>
      <c r="CM143" s="25"/>
      <c r="CN143" s="25"/>
      <c r="CO143" s="25"/>
      <c r="CP143" s="25"/>
      <c r="CQ143" s="25"/>
      <c r="CR143" s="25"/>
      <c r="CS143" s="26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</row>
    <row r="144" spans="1:200" s="23" customFormat="1" ht="14.25" customHeight="1">
      <c r="A144" s="20"/>
      <c r="B144" s="21"/>
      <c r="C144" s="22"/>
      <c r="D144" s="22"/>
      <c r="E144" s="22"/>
      <c r="G144" s="22"/>
      <c r="H144" s="22"/>
      <c r="I144" s="22"/>
      <c r="K144" s="22"/>
      <c r="L144" s="22"/>
      <c r="M144" s="22"/>
      <c r="O144" s="22"/>
      <c r="P144" s="22"/>
      <c r="Q144" s="22"/>
      <c r="S144" s="22"/>
      <c r="T144" s="22"/>
      <c r="U144" s="22"/>
      <c r="W144" s="22"/>
      <c r="X144" s="22"/>
      <c r="Y144" s="22"/>
      <c r="AA144" s="22"/>
      <c r="AB144" s="22"/>
      <c r="AC144" s="22"/>
      <c r="AE144" s="24"/>
      <c r="AF144" s="24"/>
      <c r="AG144" s="24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6"/>
      <c r="AW144" s="24"/>
      <c r="AX144" s="20"/>
      <c r="AY144" s="21"/>
      <c r="AZ144" s="22"/>
      <c r="BA144" s="22"/>
      <c r="BB144" s="22"/>
      <c r="BD144" s="22"/>
      <c r="BE144" s="22"/>
      <c r="BF144" s="22"/>
      <c r="BH144" s="22"/>
      <c r="BI144" s="22"/>
      <c r="BJ144" s="22"/>
      <c r="BL144" s="22"/>
      <c r="BM144" s="22"/>
      <c r="BN144" s="22"/>
      <c r="BP144" s="22"/>
      <c r="BQ144" s="22"/>
      <c r="BR144" s="22"/>
      <c r="BT144" s="22"/>
      <c r="BU144" s="22"/>
      <c r="BV144" s="22"/>
      <c r="BX144" s="22"/>
      <c r="BY144" s="22"/>
      <c r="BZ144" s="22"/>
      <c r="CB144" s="24"/>
      <c r="CC144" s="24"/>
      <c r="CD144" s="24"/>
      <c r="CE144" s="25"/>
      <c r="CF144" s="25"/>
      <c r="CG144" s="25"/>
      <c r="CH144" s="25"/>
      <c r="CI144" s="25"/>
      <c r="CJ144" s="25"/>
      <c r="CK144" s="25"/>
      <c r="CL144" s="25"/>
      <c r="CM144" s="25"/>
      <c r="CN144" s="25"/>
      <c r="CO144" s="25"/>
      <c r="CP144" s="25"/>
      <c r="CQ144" s="25"/>
      <c r="CR144" s="25"/>
      <c r="CS144" s="26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</row>
    <row r="145" spans="1:200" s="23" customFormat="1" ht="14.25" customHeight="1">
      <c r="A145" s="20"/>
      <c r="B145" s="21"/>
      <c r="C145" s="22"/>
      <c r="D145" s="22"/>
      <c r="E145" s="22"/>
      <c r="G145" s="22"/>
      <c r="H145" s="22"/>
      <c r="I145" s="22"/>
      <c r="K145" s="22"/>
      <c r="L145" s="22"/>
      <c r="M145" s="22"/>
      <c r="O145" s="22"/>
      <c r="P145" s="22"/>
      <c r="Q145" s="22"/>
      <c r="S145" s="22"/>
      <c r="T145" s="22"/>
      <c r="U145" s="22"/>
      <c r="W145" s="22"/>
      <c r="X145" s="22"/>
      <c r="Y145" s="22"/>
      <c r="AA145" s="22"/>
      <c r="AB145" s="22"/>
      <c r="AC145" s="22"/>
      <c r="AE145" s="24"/>
      <c r="AF145" s="24"/>
      <c r="AG145" s="24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6"/>
      <c r="AW145" s="24"/>
      <c r="AX145" s="20"/>
      <c r="AY145" s="21"/>
      <c r="AZ145" s="22"/>
      <c r="BA145" s="22"/>
      <c r="BB145" s="22"/>
      <c r="BD145" s="22"/>
      <c r="BE145" s="22"/>
      <c r="BF145" s="22"/>
      <c r="BH145" s="22"/>
      <c r="BI145" s="22"/>
      <c r="BJ145" s="22"/>
      <c r="BL145" s="22"/>
      <c r="BM145" s="22"/>
      <c r="BN145" s="22"/>
      <c r="BP145" s="22"/>
      <c r="BQ145" s="22"/>
      <c r="BR145" s="22"/>
      <c r="BT145" s="22"/>
      <c r="BU145" s="22"/>
      <c r="BV145" s="22"/>
      <c r="BX145" s="22"/>
      <c r="BY145" s="22"/>
      <c r="BZ145" s="22"/>
      <c r="CB145" s="24"/>
      <c r="CC145" s="24"/>
      <c r="CD145" s="24"/>
      <c r="CE145" s="25"/>
      <c r="CF145" s="25"/>
      <c r="CG145" s="25"/>
      <c r="CH145" s="25"/>
      <c r="CI145" s="25"/>
      <c r="CJ145" s="25"/>
      <c r="CK145" s="25"/>
      <c r="CL145" s="25"/>
      <c r="CM145" s="25"/>
      <c r="CN145" s="25"/>
      <c r="CO145" s="25"/>
      <c r="CP145" s="25"/>
      <c r="CQ145" s="25"/>
      <c r="CR145" s="25"/>
      <c r="CS145" s="26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4"/>
      <c r="EH145" s="24"/>
      <c r="EI145" s="24"/>
      <c r="EJ145" s="24"/>
      <c r="EK145" s="24"/>
      <c r="EL145" s="24"/>
      <c r="EM145" s="24"/>
      <c r="EN145" s="24"/>
      <c r="EO145" s="24"/>
      <c r="EP145" s="24"/>
      <c r="EQ145" s="24"/>
      <c r="ER145" s="24"/>
      <c r="ES145" s="24"/>
      <c r="ET145" s="24"/>
      <c r="EU145" s="24"/>
      <c r="EV145" s="24"/>
      <c r="EW145" s="24"/>
      <c r="EX145" s="24"/>
      <c r="EY145" s="24"/>
      <c r="EZ145" s="24"/>
      <c r="FA145" s="24"/>
      <c r="FB145" s="24"/>
      <c r="FC145" s="24"/>
      <c r="FD145" s="24"/>
      <c r="FE145" s="24"/>
      <c r="FF145" s="24"/>
      <c r="FG145" s="24"/>
      <c r="FH145" s="24"/>
      <c r="FI145" s="24"/>
      <c r="FJ145" s="24"/>
      <c r="FK145" s="24"/>
      <c r="FL145" s="24"/>
      <c r="FM145" s="24"/>
      <c r="FN145" s="24"/>
      <c r="FO145" s="24"/>
      <c r="FP145" s="24"/>
      <c r="FQ145" s="24"/>
      <c r="FR145" s="24"/>
      <c r="FS145" s="24"/>
      <c r="FT145" s="24"/>
      <c r="FU145" s="24"/>
      <c r="FV145" s="24"/>
      <c r="FW145" s="24"/>
      <c r="FX145" s="24"/>
      <c r="FY145" s="24"/>
      <c r="FZ145" s="24"/>
      <c r="GA145" s="24"/>
      <c r="GB145" s="24"/>
      <c r="GC145" s="24"/>
      <c r="GD145" s="24"/>
      <c r="GE145" s="24"/>
      <c r="GF145" s="24"/>
      <c r="GG145" s="24"/>
      <c r="GH145" s="24"/>
      <c r="GI145" s="24"/>
      <c r="GJ145" s="24"/>
      <c r="GK145" s="24"/>
      <c r="GL145" s="24"/>
      <c r="GM145" s="24"/>
      <c r="GN145" s="24"/>
      <c r="GO145" s="24"/>
      <c r="GP145" s="24"/>
      <c r="GQ145" s="24"/>
      <c r="GR145" s="24"/>
    </row>
    <row r="146" spans="1:200" s="23" customFormat="1" ht="14.25" customHeight="1">
      <c r="A146" s="20"/>
      <c r="B146" s="21"/>
      <c r="C146" s="22"/>
      <c r="D146" s="22"/>
      <c r="E146" s="22"/>
      <c r="G146" s="22"/>
      <c r="H146" s="22"/>
      <c r="I146" s="22"/>
      <c r="K146" s="22"/>
      <c r="L146" s="22"/>
      <c r="M146" s="22"/>
      <c r="O146" s="22"/>
      <c r="P146" s="22"/>
      <c r="Q146" s="22"/>
      <c r="S146" s="22"/>
      <c r="T146" s="22"/>
      <c r="U146" s="22"/>
      <c r="W146" s="22"/>
      <c r="X146" s="22"/>
      <c r="Y146" s="22"/>
      <c r="AA146" s="22"/>
      <c r="AB146" s="22"/>
      <c r="AC146" s="22"/>
      <c r="AE146" s="24"/>
      <c r="AF146" s="24"/>
      <c r="AG146" s="24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6"/>
      <c r="AW146" s="24"/>
      <c r="AX146" s="20"/>
      <c r="AY146" s="21"/>
      <c r="AZ146" s="22"/>
      <c r="BA146" s="22"/>
      <c r="BB146" s="22"/>
      <c r="BD146" s="22"/>
      <c r="BE146" s="22"/>
      <c r="BF146" s="22"/>
      <c r="BH146" s="22"/>
      <c r="BI146" s="22"/>
      <c r="BJ146" s="22"/>
      <c r="BL146" s="22"/>
      <c r="BM146" s="22"/>
      <c r="BN146" s="22"/>
      <c r="BP146" s="22"/>
      <c r="BQ146" s="22"/>
      <c r="BR146" s="22"/>
      <c r="BT146" s="22"/>
      <c r="BU146" s="22"/>
      <c r="BV146" s="22"/>
      <c r="BX146" s="22"/>
      <c r="BY146" s="22"/>
      <c r="BZ146" s="22"/>
      <c r="CB146" s="24"/>
      <c r="CC146" s="24"/>
      <c r="CD146" s="24"/>
      <c r="CE146" s="25"/>
      <c r="CF146" s="25"/>
      <c r="CG146" s="25"/>
      <c r="CH146" s="25"/>
      <c r="CI146" s="25"/>
      <c r="CJ146" s="25"/>
      <c r="CK146" s="25"/>
      <c r="CL146" s="25"/>
      <c r="CM146" s="25"/>
      <c r="CN146" s="25"/>
      <c r="CO146" s="25"/>
      <c r="CP146" s="25"/>
      <c r="CQ146" s="25"/>
      <c r="CR146" s="25"/>
      <c r="CS146" s="26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4"/>
      <c r="EH146" s="24"/>
      <c r="EI146" s="24"/>
      <c r="EJ146" s="24"/>
      <c r="EK146" s="24"/>
      <c r="EL146" s="24"/>
      <c r="EM146" s="24"/>
      <c r="EN146" s="24"/>
      <c r="EO146" s="24"/>
      <c r="EP146" s="24"/>
      <c r="EQ146" s="24"/>
      <c r="ER146" s="24"/>
      <c r="ES146" s="24"/>
      <c r="ET146" s="24"/>
      <c r="EU146" s="24"/>
      <c r="EV146" s="24"/>
      <c r="EW146" s="24"/>
      <c r="EX146" s="24"/>
      <c r="EY146" s="24"/>
      <c r="EZ146" s="24"/>
      <c r="FA146" s="24"/>
      <c r="FB146" s="24"/>
      <c r="FC146" s="24"/>
      <c r="FD146" s="24"/>
      <c r="FE146" s="24"/>
      <c r="FF146" s="24"/>
      <c r="FG146" s="24"/>
      <c r="FH146" s="24"/>
      <c r="FI146" s="24"/>
      <c r="FJ146" s="24"/>
      <c r="FK146" s="24"/>
      <c r="FL146" s="24"/>
      <c r="FM146" s="24"/>
      <c r="FN146" s="24"/>
      <c r="FO146" s="24"/>
      <c r="FP146" s="24"/>
      <c r="FQ146" s="24"/>
      <c r="FR146" s="24"/>
      <c r="FS146" s="24"/>
      <c r="FT146" s="24"/>
      <c r="FU146" s="24"/>
      <c r="FV146" s="24"/>
      <c r="FW146" s="24"/>
      <c r="FX146" s="24"/>
      <c r="FY146" s="24"/>
      <c r="FZ146" s="24"/>
      <c r="GA146" s="24"/>
      <c r="GB146" s="24"/>
      <c r="GC146" s="24"/>
      <c r="GD146" s="24"/>
      <c r="GE146" s="24"/>
      <c r="GF146" s="24"/>
      <c r="GG146" s="24"/>
      <c r="GH146" s="24"/>
      <c r="GI146" s="24"/>
      <c r="GJ146" s="24"/>
      <c r="GK146" s="24"/>
      <c r="GL146" s="24"/>
      <c r="GM146" s="24"/>
      <c r="GN146" s="24"/>
      <c r="GO146" s="24"/>
      <c r="GP146" s="24"/>
      <c r="GQ146" s="24"/>
      <c r="GR146" s="24"/>
    </row>
    <row r="147" spans="1:200" s="23" customFormat="1" ht="14.25" customHeight="1">
      <c r="A147" s="20"/>
      <c r="B147" s="21"/>
      <c r="C147" s="22"/>
      <c r="D147" s="22"/>
      <c r="E147" s="22"/>
      <c r="G147" s="22"/>
      <c r="H147" s="22"/>
      <c r="I147" s="22"/>
      <c r="K147" s="22"/>
      <c r="L147" s="22"/>
      <c r="M147" s="22"/>
      <c r="O147" s="22"/>
      <c r="P147" s="22"/>
      <c r="Q147" s="22"/>
      <c r="S147" s="22"/>
      <c r="T147" s="22"/>
      <c r="U147" s="22"/>
      <c r="W147" s="22"/>
      <c r="X147" s="22"/>
      <c r="Y147" s="22"/>
      <c r="AA147" s="22"/>
      <c r="AB147" s="22"/>
      <c r="AC147" s="22"/>
      <c r="AE147" s="24"/>
      <c r="AF147" s="24"/>
      <c r="AG147" s="24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6"/>
      <c r="AW147" s="24"/>
      <c r="AX147" s="20"/>
      <c r="AY147" s="21"/>
      <c r="AZ147" s="22"/>
      <c r="BA147" s="22"/>
      <c r="BB147" s="22"/>
      <c r="BD147" s="22"/>
      <c r="BE147" s="22"/>
      <c r="BF147" s="22"/>
      <c r="BH147" s="22"/>
      <c r="BI147" s="22"/>
      <c r="BJ147" s="22"/>
      <c r="BL147" s="22"/>
      <c r="BM147" s="22"/>
      <c r="BN147" s="22"/>
      <c r="BP147" s="22"/>
      <c r="BQ147" s="22"/>
      <c r="BR147" s="22"/>
      <c r="BT147" s="22"/>
      <c r="BU147" s="22"/>
      <c r="BV147" s="22"/>
      <c r="BX147" s="22"/>
      <c r="BY147" s="22"/>
      <c r="BZ147" s="22"/>
      <c r="CB147" s="24"/>
      <c r="CC147" s="24"/>
      <c r="CD147" s="24"/>
      <c r="CE147" s="25"/>
      <c r="CF147" s="25"/>
      <c r="CG147" s="25"/>
      <c r="CH147" s="25"/>
      <c r="CI147" s="25"/>
      <c r="CJ147" s="25"/>
      <c r="CK147" s="25"/>
      <c r="CL147" s="25"/>
      <c r="CM147" s="25"/>
      <c r="CN147" s="25"/>
      <c r="CO147" s="25"/>
      <c r="CP147" s="25"/>
      <c r="CQ147" s="25"/>
      <c r="CR147" s="25"/>
      <c r="CS147" s="26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4"/>
      <c r="EP147" s="24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4"/>
      <c r="FC147" s="24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4"/>
      <c r="FP147" s="24"/>
      <c r="FQ147" s="24"/>
      <c r="FR147" s="24"/>
      <c r="FS147" s="24"/>
      <c r="FT147" s="24"/>
      <c r="FU147" s="24"/>
      <c r="FV147" s="24"/>
      <c r="FW147" s="24"/>
      <c r="FX147" s="24"/>
      <c r="FY147" s="24"/>
      <c r="FZ147" s="24"/>
      <c r="GA147" s="24"/>
      <c r="GB147" s="24"/>
      <c r="GC147" s="24"/>
      <c r="GD147" s="24"/>
      <c r="GE147" s="24"/>
      <c r="GF147" s="24"/>
      <c r="GG147" s="24"/>
      <c r="GH147" s="24"/>
      <c r="GI147" s="24"/>
      <c r="GJ147" s="24"/>
      <c r="GK147" s="24"/>
      <c r="GL147" s="24"/>
      <c r="GM147" s="24"/>
      <c r="GN147" s="24"/>
      <c r="GO147" s="24"/>
      <c r="GP147" s="24"/>
      <c r="GQ147" s="24"/>
      <c r="GR147" s="24"/>
    </row>
    <row r="148" spans="1:200" s="23" customFormat="1" ht="14.25" customHeight="1">
      <c r="A148" s="20"/>
      <c r="B148" s="21"/>
      <c r="C148" s="22"/>
      <c r="D148" s="22"/>
      <c r="E148" s="22"/>
      <c r="G148" s="22"/>
      <c r="H148" s="22"/>
      <c r="I148" s="22"/>
      <c r="K148" s="22"/>
      <c r="L148" s="22"/>
      <c r="M148" s="22"/>
      <c r="O148" s="22"/>
      <c r="P148" s="22"/>
      <c r="Q148" s="22"/>
      <c r="S148" s="22"/>
      <c r="T148" s="22"/>
      <c r="U148" s="22"/>
      <c r="W148" s="22"/>
      <c r="X148" s="22"/>
      <c r="Y148" s="22"/>
      <c r="AA148" s="22"/>
      <c r="AB148" s="22"/>
      <c r="AC148" s="22"/>
      <c r="AE148" s="24"/>
      <c r="AF148" s="24"/>
      <c r="AG148" s="24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6"/>
      <c r="AW148" s="24"/>
      <c r="AX148" s="20"/>
      <c r="AY148" s="21"/>
      <c r="AZ148" s="22"/>
      <c r="BA148" s="22"/>
      <c r="BB148" s="22"/>
      <c r="BD148" s="22"/>
      <c r="BE148" s="22"/>
      <c r="BF148" s="22"/>
      <c r="BH148" s="22"/>
      <c r="BI148" s="22"/>
      <c r="BJ148" s="22"/>
      <c r="BL148" s="22"/>
      <c r="BM148" s="22"/>
      <c r="BN148" s="22"/>
      <c r="BP148" s="22"/>
      <c r="BQ148" s="22"/>
      <c r="BR148" s="22"/>
      <c r="BT148" s="22"/>
      <c r="BU148" s="22"/>
      <c r="BV148" s="22"/>
      <c r="BX148" s="22"/>
      <c r="BY148" s="22"/>
      <c r="BZ148" s="22"/>
      <c r="CB148" s="24"/>
      <c r="CC148" s="24"/>
      <c r="CD148" s="24"/>
      <c r="CE148" s="25"/>
      <c r="CF148" s="25"/>
      <c r="CG148" s="25"/>
      <c r="CH148" s="25"/>
      <c r="CI148" s="25"/>
      <c r="CJ148" s="25"/>
      <c r="CK148" s="25"/>
      <c r="CL148" s="25"/>
      <c r="CM148" s="25"/>
      <c r="CN148" s="25"/>
      <c r="CO148" s="25"/>
      <c r="CP148" s="25"/>
      <c r="CQ148" s="25"/>
      <c r="CR148" s="25"/>
      <c r="CS148" s="26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4"/>
      <c r="EH148" s="24"/>
      <c r="EI148" s="24"/>
      <c r="EJ148" s="24"/>
      <c r="EK148" s="24"/>
      <c r="EL148" s="24"/>
      <c r="EM148" s="24"/>
      <c r="EN148" s="24"/>
      <c r="EO148" s="24"/>
      <c r="EP148" s="24"/>
      <c r="EQ148" s="24"/>
      <c r="ER148" s="24"/>
      <c r="ES148" s="24"/>
      <c r="ET148" s="24"/>
      <c r="EU148" s="24"/>
      <c r="EV148" s="24"/>
      <c r="EW148" s="24"/>
      <c r="EX148" s="24"/>
      <c r="EY148" s="24"/>
      <c r="EZ148" s="24"/>
      <c r="FA148" s="24"/>
      <c r="FB148" s="24"/>
      <c r="FC148" s="24"/>
      <c r="FD148" s="24"/>
      <c r="FE148" s="24"/>
      <c r="FF148" s="24"/>
      <c r="FG148" s="24"/>
      <c r="FH148" s="24"/>
      <c r="FI148" s="24"/>
      <c r="FJ148" s="24"/>
      <c r="FK148" s="24"/>
      <c r="FL148" s="24"/>
      <c r="FM148" s="24"/>
      <c r="FN148" s="24"/>
      <c r="FO148" s="24"/>
      <c r="FP148" s="24"/>
      <c r="FQ148" s="24"/>
      <c r="FR148" s="24"/>
      <c r="FS148" s="24"/>
      <c r="FT148" s="24"/>
      <c r="FU148" s="24"/>
      <c r="FV148" s="24"/>
      <c r="FW148" s="24"/>
      <c r="FX148" s="24"/>
      <c r="FY148" s="24"/>
      <c r="FZ148" s="24"/>
      <c r="GA148" s="24"/>
      <c r="GB148" s="24"/>
      <c r="GC148" s="24"/>
      <c r="GD148" s="24"/>
      <c r="GE148" s="24"/>
      <c r="GF148" s="24"/>
      <c r="GG148" s="24"/>
      <c r="GH148" s="24"/>
      <c r="GI148" s="24"/>
      <c r="GJ148" s="24"/>
      <c r="GK148" s="24"/>
      <c r="GL148" s="24"/>
      <c r="GM148" s="24"/>
      <c r="GN148" s="24"/>
      <c r="GO148" s="24"/>
      <c r="GP148" s="24"/>
      <c r="GQ148" s="24"/>
      <c r="GR148" s="24"/>
    </row>
    <row r="149" spans="1:200" s="23" customFormat="1" ht="14.25" customHeight="1">
      <c r="A149" s="20"/>
      <c r="B149" s="21"/>
      <c r="C149" s="22"/>
      <c r="D149" s="22"/>
      <c r="E149" s="22"/>
      <c r="G149" s="22"/>
      <c r="H149" s="22"/>
      <c r="I149" s="22"/>
      <c r="K149" s="22"/>
      <c r="L149" s="22"/>
      <c r="M149" s="22"/>
      <c r="O149" s="22"/>
      <c r="P149" s="22"/>
      <c r="Q149" s="22"/>
      <c r="S149" s="22"/>
      <c r="T149" s="22"/>
      <c r="U149" s="22"/>
      <c r="W149" s="22"/>
      <c r="X149" s="22"/>
      <c r="Y149" s="22"/>
      <c r="AA149" s="22"/>
      <c r="AB149" s="22"/>
      <c r="AC149" s="22"/>
      <c r="AE149" s="24"/>
      <c r="AF149" s="24"/>
      <c r="AG149" s="24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6"/>
      <c r="AW149" s="24"/>
      <c r="AX149" s="20"/>
      <c r="AY149" s="21"/>
      <c r="AZ149" s="22"/>
      <c r="BA149" s="22"/>
      <c r="BB149" s="22"/>
      <c r="BD149" s="22"/>
      <c r="BE149" s="22"/>
      <c r="BF149" s="22"/>
      <c r="BH149" s="22"/>
      <c r="BI149" s="22"/>
      <c r="BJ149" s="22"/>
      <c r="BL149" s="22"/>
      <c r="BM149" s="22"/>
      <c r="BN149" s="22"/>
      <c r="BP149" s="22"/>
      <c r="BQ149" s="22"/>
      <c r="BR149" s="22"/>
      <c r="BT149" s="22"/>
      <c r="BU149" s="22"/>
      <c r="BV149" s="22"/>
      <c r="BX149" s="22"/>
      <c r="BY149" s="22"/>
      <c r="BZ149" s="22"/>
      <c r="CB149" s="24"/>
      <c r="CC149" s="24"/>
      <c r="CD149" s="24"/>
      <c r="CE149" s="25"/>
      <c r="CF149" s="25"/>
      <c r="CG149" s="25"/>
      <c r="CH149" s="25"/>
      <c r="CI149" s="25"/>
      <c r="CJ149" s="25"/>
      <c r="CK149" s="25"/>
      <c r="CL149" s="25"/>
      <c r="CM149" s="25"/>
      <c r="CN149" s="25"/>
      <c r="CO149" s="25"/>
      <c r="CP149" s="25"/>
      <c r="CQ149" s="25"/>
      <c r="CR149" s="25"/>
      <c r="CS149" s="26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4"/>
      <c r="EP149" s="24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4"/>
      <c r="FC149" s="24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4"/>
      <c r="FP149" s="24"/>
      <c r="FQ149" s="24"/>
      <c r="FR149" s="24"/>
      <c r="FS149" s="24"/>
      <c r="FT149" s="24"/>
      <c r="FU149" s="24"/>
      <c r="FV149" s="24"/>
      <c r="FW149" s="24"/>
      <c r="FX149" s="24"/>
      <c r="FY149" s="24"/>
      <c r="FZ149" s="24"/>
      <c r="GA149" s="24"/>
      <c r="GB149" s="24"/>
      <c r="GC149" s="24"/>
      <c r="GD149" s="24"/>
      <c r="GE149" s="24"/>
      <c r="GF149" s="24"/>
      <c r="GG149" s="24"/>
      <c r="GH149" s="24"/>
      <c r="GI149" s="24"/>
      <c r="GJ149" s="24"/>
      <c r="GK149" s="24"/>
      <c r="GL149" s="24"/>
      <c r="GM149" s="24"/>
      <c r="GN149" s="24"/>
      <c r="GO149" s="24"/>
      <c r="GP149" s="24"/>
      <c r="GQ149" s="24"/>
      <c r="GR149" s="24"/>
    </row>
    <row r="150" spans="1:200" s="23" customFormat="1" ht="14.25" customHeight="1">
      <c r="A150" s="20"/>
      <c r="B150" s="21"/>
      <c r="C150" s="22"/>
      <c r="D150" s="22"/>
      <c r="E150" s="22"/>
      <c r="G150" s="22"/>
      <c r="H150" s="22"/>
      <c r="I150" s="22"/>
      <c r="K150" s="22"/>
      <c r="L150" s="22"/>
      <c r="M150" s="22"/>
      <c r="O150" s="22"/>
      <c r="P150" s="22"/>
      <c r="Q150" s="22"/>
      <c r="S150" s="22"/>
      <c r="T150" s="22"/>
      <c r="U150" s="22"/>
      <c r="W150" s="22"/>
      <c r="X150" s="22"/>
      <c r="Y150" s="22"/>
      <c r="AA150" s="22"/>
      <c r="AB150" s="22"/>
      <c r="AC150" s="22"/>
      <c r="AE150" s="24"/>
      <c r="AF150" s="24"/>
      <c r="AG150" s="24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6"/>
      <c r="AW150" s="24"/>
      <c r="AX150" s="20"/>
      <c r="AY150" s="21"/>
      <c r="AZ150" s="22"/>
      <c r="BA150" s="22"/>
      <c r="BB150" s="22"/>
      <c r="BD150" s="22"/>
      <c r="BE150" s="22"/>
      <c r="BF150" s="22"/>
      <c r="BH150" s="22"/>
      <c r="BI150" s="22"/>
      <c r="BJ150" s="22"/>
      <c r="BL150" s="22"/>
      <c r="BM150" s="22"/>
      <c r="BN150" s="22"/>
      <c r="BP150" s="22"/>
      <c r="BQ150" s="22"/>
      <c r="BR150" s="22"/>
      <c r="BT150" s="22"/>
      <c r="BU150" s="22"/>
      <c r="BV150" s="22"/>
      <c r="BX150" s="22"/>
      <c r="BY150" s="22"/>
      <c r="BZ150" s="22"/>
      <c r="CB150" s="24"/>
      <c r="CC150" s="24"/>
      <c r="CD150" s="24"/>
      <c r="CE150" s="25"/>
      <c r="CF150" s="25"/>
      <c r="CG150" s="25"/>
      <c r="CH150" s="25"/>
      <c r="CI150" s="25"/>
      <c r="CJ150" s="25"/>
      <c r="CK150" s="25"/>
      <c r="CL150" s="25"/>
      <c r="CM150" s="25"/>
      <c r="CN150" s="25"/>
      <c r="CO150" s="25"/>
      <c r="CP150" s="25"/>
      <c r="CQ150" s="25"/>
      <c r="CR150" s="25"/>
      <c r="CS150" s="26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4"/>
      <c r="EH150" s="24"/>
      <c r="EI150" s="24"/>
      <c r="EJ150" s="24"/>
      <c r="EK150" s="24"/>
      <c r="EL150" s="24"/>
      <c r="EM150" s="24"/>
      <c r="EN150" s="24"/>
      <c r="EO150" s="24"/>
      <c r="EP150" s="24"/>
      <c r="EQ150" s="24"/>
      <c r="ER150" s="24"/>
      <c r="ES150" s="24"/>
      <c r="ET150" s="24"/>
      <c r="EU150" s="24"/>
      <c r="EV150" s="24"/>
      <c r="EW150" s="24"/>
      <c r="EX150" s="24"/>
      <c r="EY150" s="24"/>
      <c r="EZ150" s="24"/>
      <c r="FA150" s="24"/>
      <c r="FB150" s="24"/>
      <c r="FC150" s="24"/>
      <c r="FD150" s="24"/>
      <c r="FE150" s="24"/>
      <c r="FF150" s="24"/>
      <c r="FG150" s="24"/>
      <c r="FH150" s="24"/>
      <c r="FI150" s="24"/>
      <c r="FJ150" s="24"/>
      <c r="FK150" s="24"/>
      <c r="FL150" s="24"/>
      <c r="FM150" s="24"/>
      <c r="FN150" s="24"/>
      <c r="FO150" s="24"/>
      <c r="FP150" s="24"/>
      <c r="FQ150" s="24"/>
      <c r="FR150" s="24"/>
      <c r="FS150" s="24"/>
      <c r="FT150" s="24"/>
      <c r="FU150" s="24"/>
      <c r="FV150" s="24"/>
      <c r="FW150" s="24"/>
      <c r="FX150" s="24"/>
      <c r="FY150" s="24"/>
      <c r="FZ150" s="24"/>
      <c r="GA150" s="24"/>
      <c r="GB150" s="24"/>
      <c r="GC150" s="24"/>
      <c r="GD150" s="24"/>
      <c r="GE150" s="24"/>
      <c r="GF150" s="24"/>
      <c r="GG150" s="24"/>
      <c r="GH150" s="24"/>
      <c r="GI150" s="24"/>
      <c r="GJ150" s="24"/>
      <c r="GK150" s="24"/>
      <c r="GL150" s="24"/>
      <c r="GM150" s="24"/>
      <c r="GN150" s="24"/>
      <c r="GO150" s="24"/>
      <c r="GP150" s="24"/>
      <c r="GQ150" s="24"/>
      <c r="GR150" s="24"/>
    </row>
    <row r="151" spans="1:200" s="23" customFormat="1" ht="14.25" customHeight="1">
      <c r="A151" s="20"/>
      <c r="B151" s="21"/>
      <c r="C151" s="22"/>
      <c r="D151" s="22"/>
      <c r="E151" s="22"/>
      <c r="G151" s="22"/>
      <c r="H151" s="22"/>
      <c r="I151" s="22"/>
      <c r="K151" s="22"/>
      <c r="L151" s="22"/>
      <c r="M151" s="22"/>
      <c r="O151" s="22"/>
      <c r="P151" s="22"/>
      <c r="Q151" s="22"/>
      <c r="S151" s="22"/>
      <c r="T151" s="22"/>
      <c r="U151" s="22"/>
      <c r="W151" s="22"/>
      <c r="X151" s="22"/>
      <c r="Y151" s="22"/>
      <c r="AA151" s="22"/>
      <c r="AB151" s="22"/>
      <c r="AC151" s="22"/>
      <c r="AE151" s="24"/>
      <c r="AF151" s="24"/>
      <c r="AG151" s="24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6"/>
      <c r="AW151" s="24"/>
      <c r="AX151" s="20"/>
      <c r="AY151" s="21"/>
      <c r="AZ151" s="22"/>
      <c r="BA151" s="22"/>
      <c r="BB151" s="22"/>
      <c r="BD151" s="22"/>
      <c r="BE151" s="22"/>
      <c r="BF151" s="22"/>
      <c r="BH151" s="22"/>
      <c r="BI151" s="22"/>
      <c r="BJ151" s="22"/>
      <c r="BL151" s="22"/>
      <c r="BM151" s="22"/>
      <c r="BN151" s="22"/>
      <c r="BP151" s="22"/>
      <c r="BQ151" s="22"/>
      <c r="BR151" s="22"/>
      <c r="BT151" s="22"/>
      <c r="BU151" s="22"/>
      <c r="BV151" s="22"/>
      <c r="BX151" s="22"/>
      <c r="BY151" s="22"/>
      <c r="BZ151" s="22"/>
      <c r="CB151" s="24"/>
      <c r="CC151" s="24"/>
      <c r="CD151" s="24"/>
      <c r="CE151" s="25"/>
      <c r="CF151" s="25"/>
      <c r="CG151" s="25"/>
      <c r="CH151" s="25"/>
      <c r="CI151" s="25"/>
      <c r="CJ151" s="25"/>
      <c r="CK151" s="25"/>
      <c r="CL151" s="25"/>
      <c r="CM151" s="25"/>
      <c r="CN151" s="25"/>
      <c r="CO151" s="25"/>
      <c r="CP151" s="25"/>
      <c r="CQ151" s="25"/>
      <c r="CR151" s="25"/>
      <c r="CS151" s="26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</row>
    <row r="152" spans="1:200" s="23" customFormat="1" ht="14.25" customHeight="1">
      <c r="A152" s="20"/>
      <c r="B152" s="21"/>
      <c r="C152" s="22"/>
      <c r="D152" s="22"/>
      <c r="E152" s="22"/>
      <c r="G152" s="22"/>
      <c r="H152" s="22"/>
      <c r="I152" s="22"/>
      <c r="K152" s="22"/>
      <c r="L152" s="22"/>
      <c r="M152" s="22"/>
      <c r="O152" s="22"/>
      <c r="P152" s="22"/>
      <c r="Q152" s="22"/>
      <c r="S152" s="22"/>
      <c r="T152" s="22"/>
      <c r="U152" s="22"/>
      <c r="W152" s="22"/>
      <c r="X152" s="22"/>
      <c r="Y152" s="22"/>
      <c r="AA152" s="22"/>
      <c r="AB152" s="22"/>
      <c r="AC152" s="22"/>
      <c r="AE152" s="24"/>
      <c r="AF152" s="24"/>
      <c r="AG152" s="24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6"/>
      <c r="AW152" s="24"/>
      <c r="AX152" s="20"/>
      <c r="AY152" s="21"/>
      <c r="AZ152" s="22"/>
      <c r="BA152" s="22"/>
      <c r="BB152" s="22"/>
      <c r="BD152" s="22"/>
      <c r="BE152" s="22"/>
      <c r="BF152" s="22"/>
      <c r="BH152" s="22"/>
      <c r="BI152" s="22"/>
      <c r="BJ152" s="22"/>
      <c r="BL152" s="22"/>
      <c r="BM152" s="22"/>
      <c r="BN152" s="22"/>
      <c r="BP152" s="22"/>
      <c r="BQ152" s="22"/>
      <c r="BR152" s="22"/>
      <c r="BT152" s="22"/>
      <c r="BU152" s="22"/>
      <c r="BV152" s="22"/>
      <c r="BX152" s="22"/>
      <c r="BY152" s="22"/>
      <c r="BZ152" s="22"/>
      <c r="CB152" s="24"/>
      <c r="CC152" s="24"/>
      <c r="CD152" s="24"/>
      <c r="CE152" s="25"/>
      <c r="CF152" s="25"/>
      <c r="CG152" s="25"/>
      <c r="CH152" s="25"/>
      <c r="CI152" s="25"/>
      <c r="CJ152" s="25"/>
      <c r="CK152" s="25"/>
      <c r="CL152" s="25"/>
      <c r="CM152" s="25"/>
      <c r="CN152" s="25"/>
      <c r="CO152" s="25"/>
      <c r="CP152" s="25"/>
      <c r="CQ152" s="25"/>
      <c r="CR152" s="25"/>
      <c r="CS152" s="26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4"/>
      <c r="EP152" s="24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4"/>
      <c r="FC152" s="24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4"/>
      <c r="FP152" s="24"/>
      <c r="FQ152" s="24"/>
      <c r="FR152" s="24"/>
      <c r="FS152" s="24"/>
      <c r="FT152" s="24"/>
      <c r="FU152" s="24"/>
      <c r="FV152" s="24"/>
      <c r="FW152" s="24"/>
      <c r="FX152" s="24"/>
      <c r="FY152" s="24"/>
      <c r="FZ152" s="24"/>
      <c r="GA152" s="24"/>
      <c r="GB152" s="24"/>
      <c r="GC152" s="24"/>
      <c r="GD152" s="24"/>
      <c r="GE152" s="24"/>
      <c r="GF152" s="24"/>
      <c r="GG152" s="24"/>
      <c r="GH152" s="24"/>
      <c r="GI152" s="24"/>
      <c r="GJ152" s="24"/>
      <c r="GK152" s="24"/>
      <c r="GL152" s="24"/>
      <c r="GM152" s="24"/>
      <c r="GN152" s="24"/>
      <c r="GO152" s="24"/>
      <c r="GP152" s="24"/>
      <c r="GQ152" s="24"/>
      <c r="GR152" s="24"/>
    </row>
    <row r="153" spans="1:200" s="23" customFormat="1" ht="14.25" customHeight="1">
      <c r="A153" s="20"/>
      <c r="B153" s="21"/>
      <c r="C153" s="22"/>
      <c r="D153" s="22"/>
      <c r="E153" s="22"/>
      <c r="G153" s="22"/>
      <c r="H153" s="22"/>
      <c r="I153" s="22"/>
      <c r="K153" s="22"/>
      <c r="L153" s="22"/>
      <c r="M153" s="22"/>
      <c r="O153" s="22"/>
      <c r="P153" s="22"/>
      <c r="Q153" s="22"/>
      <c r="S153" s="22"/>
      <c r="T153" s="22"/>
      <c r="U153" s="22"/>
      <c r="W153" s="22"/>
      <c r="X153" s="22"/>
      <c r="Y153" s="22"/>
      <c r="AA153" s="22"/>
      <c r="AB153" s="22"/>
      <c r="AC153" s="22"/>
      <c r="AE153" s="24"/>
      <c r="AF153" s="24"/>
      <c r="AG153" s="24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6"/>
      <c r="AW153" s="24"/>
      <c r="AX153" s="20"/>
      <c r="AY153" s="21"/>
      <c r="AZ153" s="22"/>
      <c r="BA153" s="22"/>
      <c r="BB153" s="22"/>
      <c r="BD153" s="22"/>
      <c r="BE153" s="22"/>
      <c r="BF153" s="22"/>
      <c r="BH153" s="22"/>
      <c r="BI153" s="22"/>
      <c r="BJ153" s="22"/>
      <c r="BL153" s="22"/>
      <c r="BM153" s="22"/>
      <c r="BN153" s="22"/>
      <c r="BP153" s="22"/>
      <c r="BQ153" s="22"/>
      <c r="BR153" s="22"/>
      <c r="BT153" s="22"/>
      <c r="BU153" s="22"/>
      <c r="BV153" s="22"/>
      <c r="BX153" s="22"/>
      <c r="BY153" s="22"/>
      <c r="BZ153" s="22"/>
      <c r="CB153" s="24"/>
      <c r="CC153" s="24"/>
      <c r="CD153" s="24"/>
      <c r="CE153" s="25"/>
      <c r="CF153" s="25"/>
      <c r="CG153" s="25"/>
      <c r="CH153" s="25"/>
      <c r="CI153" s="25"/>
      <c r="CJ153" s="25"/>
      <c r="CK153" s="25"/>
      <c r="CL153" s="25"/>
      <c r="CM153" s="25"/>
      <c r="CN153" s="25"/>
      <c r="CO153" s="25"/>
      <c r="CP153" s="25"/>
      <c r="CQ153" s="25"/>
      <c r="CR153" s="25"/>
      <c r="CS153" s="26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4"/>
      <c r="EH153" s="24"/>
      <c r="EI153" s="24"/>
      <c r="EJ153" s="24"/>
      <c r="EK153" s="24"/>
      <c r="EL153" s="24"/>
      <c r="EM153" s="24"/>
      <c r="EN153" s="24"/>
      <c r="EO153" s="24"/>
      <c r="EP153" s="24"/>
      <c r="EQ153" s="24"/>
      <c r="ER153" s="24"/>
      <c r="ES153" s="24"/>
      <c r="ET153" s="24"/>
      <c r="EU153" s="24"/>
      <c r="EV153" s="24"/>
      <c r="EW153" s="24"/>
      <c r="EX153" s="24"/>
      <c r="EY153" s="24"/>
      <c r="EZ153" s="24"/>
      <c r="FA153" s="24"/>
      <c r="FB153" s="24"/>
      <c r="FC153" s="24"/>
      <c r="FD153" s="24"/>
      <c r="FE153" s="24"/>
      <c r="FF153" s="24"/>
      <c r="FG153" s="24"/>
      <c r="FH153" s="24"/>
      <c r="FI153" s="24"/>
      <c r="FJ153" s="24"/>
      <c r="FK153" s="24"/>
      <c r="FL153" s="24"/>
      <c r="FM153" s="24"/>
      <c r="FN153" s="24"/>
      <c r="FO153" s="24"/>
      <c r="FP153" s="24"/>
      <c r="FQ153" s="24"/>
      <c r="FR153" s="24"/>
      <c r="FS153" s="24"/>
      <c r="FT153" s="24"/>
      <c r="FU153" s="24"/>
      <c r="FV153" s="24"/>
      <c r="FW153" s="24"/>
      <c r="FX153" s="24"/>
      <c r="FY153" s="24"/>
      <c r="FZ153" s="24"/>
      <c r="GA153" s="24"/>
      <c r="GB153" s="24"/>
      <c r="GC153" s="24"/>
      <c r="GD153" s="24"/>
      <c r="GE153" s="24"/>
      <c r="GF153" s="24"/>
      <c r="GG153" s="24"/>
      <c r="GH153" s="24"/>
      <c r="GI153" s="24"/>
      <c r="GJ153" s="24"/>
      <c r="GK153" s="24"/>
      <c r="GL153" s="24"/>
      <c r="GM153" s="24"/>
      <c r="GN153" s="24"/>
      <c r="GO153" s="24"/>
      <c r="GP153" s="24"/>
      <c r="GQ153" s="24"/>
      <c r="GR153" s="24"/>
    </row>
    <row r="154" spans="1:200" s="23" customFormat="1" ht="14.25" customHeight="1">
      <c r="A154" s="20"/>
      <c r="B154" s="21"/>
      <c r="C154" s="22"/>
      <c r="D154" s="22"/>
      <c r="E154" s="22"/>
      <c r="G154" s="22"/>
      <c r="H154" s="22"/>
      <c r="I154" s="22"/>
      <c r="K154" s="22"/>
      <c r="L154" s="22"/>
      <c r="M154" s="22"/>
      <c r="O154" s="22"/>
      <c r="P154" s="22"/>
      <c r="Q154" s="22"/>
      <c r="S154" s="22"/>
      <c r="T154" s="22"/>
      <c r="U154" s="22"/>
      <c r="W154" s="22"/>
      <c r="X154" s="22"/>
      <c r="Y154" s="22"/>
      <c r="AA154" s="22"/>
      <c r="AB154" s="22"/>
      <c r="AC154" s="22"/>
      <c r="AE154" s="24"/>
      <c r="AF154" s="24"/>
      <c r="AG154" s="24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6"/>
      <c r="AW154" s="24"/>
      <c r="AX154" s="20"/>
      <c r="AY154" s="21"/>
      <c r="AZ154" s="22"/>
      <c r="BA154" s="22"/>
      <c r="BB154" s="22"/>
      <c r="BD154" s="22"/>
      <c r="BE154" s="22"/>
      <c r="BF154" s="22"/>
      <c r="BH154" s="22"/>
      <c r="BI154" s="22"/>
      <c r="BJ154" s="22"/>
      <c r="BL154" s="22"/>
      <c r="BM154" s="22"/>
      <c r="BN154" s="22"/>
      <c r="BP154" s="22"/>
      <c r="BQ154" s="22"/>
      <c r="BR154" s="22"/>
      <c r="BT154" s="22"/>
      <c r="BU154" s="22"/>
      <c r="BV154" s="22"/>
      <c r="BX154" s="22"/>
      <c r="BY154" s="22"/>
      <c r="BZ154" s="22"/>
      <c r="CB154" s="24"/>
      <c r="CC154" s="24"/>
      <c r="CD154" s="24"/>
      <c r="CE154" s="25"/>
      <c r="CF154" s="25"/>
      <c r="CG154" s="25"/>
      <c r="CH154" s="25"/>
      <c r="CI154" s="25"/>
      <c r="CJ154" s="25"/>
      <c r="CK154" s="25"/>
      <c r="CL154" s="25"/>
      <c r="CM154" s="25"/>
      <c r="CN154" s="25"/>
      <c r="CO154" s="25"/>
      <c r="CP154" s="25"/>
      <c r="CQ154" s="25"/>
      <c r="CR154" s="25"/>
      <c r="CS154" s="26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4"/>
      <c r="EP154" s="24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4"/>
      <c r="FC154" s="24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4"/>
      <c r="FP154" s="24"/>
      <c r="FQ154" s="24"/>
      <c r="FR154" s="24"/>
      <c r="FS154" s="24"/>
      <c r="FT154" s="24"/>
      <c r="FU154" s="24"/>
      <c r="FV154" s="24"/>
      <c r="FW154" s="24"/>
      <c r="FX154" s="24"/>
      <c r="FY154" s="24"/>
      <c r="FZ154" s="24"/>
      <c r="GA154" s="24"/>
      <c r="GB154" s="24"/>
      <c r="GC154" s="24"/>
      <c r="GD154" s="24"/>
      <c r="GE154" s="24"/>
      <c r="GF154" s="24"/>
      <c r="GG154" s="24"/>
      <c r="GH154" s="24"/>
      <c r="GI154" s="24"/>
      <c r="GJ154" s="24"/>
      <c r="GK154" s="24"/>
      <c r="GL154" s="24"/>
      <c r="GM154" s="24"/>
      <c r="GN154" s="24"/>
      <c r="GO154" s="24"/>
      <c r="GP154" s="24"/>
      <c r="GQ154" s="24"/>
      <c r="GR154" s="24"/>
    </row>
    <row r="155" spans="1:200" s="23" customFormat="1" ht="14.25" customHeight="1">
      <c r="A155" s="20"/>
      <c r="B155" s="21"/>
      <c r="C155" s="22"/>
      <c r="D155" s="22"/>
      <c r="E155" s="22"/>
      <c r="G155" s="22"/>
      <c r="H155" s="22"/>
      <c r="I155" s="22"/>
      <c r="K155" s="22"/>
      <c r="L155" s="22"/>
      <c r="M155" s="22"/>
      <c r="O155" s="22"/>
      <c r="P155" s="22"/>
      <c r="Q155" s="22"/>
      <c r="S155" s="22"/>
      <c r="T155" s="22"/>
      <c r="U155" s="22"/>
      <c r="W155" s="22"/>
      <c r="X155" s="22"/>
      <c r="Y155" s="22"/>
      <c r="AA155" s="22"/>
      <c r="AB155" s="22"/>
      <c r="AC155" s="22"/>
      <c r="AE155" s="24"/>
      <c r="AF155" s="24"/>
      <c r="AG155" s="24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6"/>
      <c r="AW155" s="24"/>
      <c r="AX155" s="20"/>
      <c r="AY155" s="21"/>
      <c r="AZ155" s="22"/>
      <c r="BA155" s="22"/>
      <c r="BB155" s="22"/>
      <c r="BD155" s="22"/>
      <c r="BE155" s="22"/>
      <c r="BF155" s="22"/>
      <c r="BH155" s="22"/>
      <c r="BI155" s="22"/>
      <c r="BJ155" s="22"/>
      <c r="BL155" s="22"/>
      <c r="BM155" s="22"/>
      <c r="BN155" s="22"/>
      <c r="BP155" s="22"/>
      <c r="BQ155" s="22"/>
      <c r="BR155" s="22"/>
      <c r="BT155" s="22"/>
      <c r="BU155" s="22"/>
      <c r="BV155" s="22"/>
      <c r="BX155" s="22"/>
      <c r="BY155" s="22"/>
      <c r="BZ155" s="22"/>
      <c r="CB155" s="24"/>
      <c r="CC155" s="24"/>
      <c r="CD155" s="24"/>
      <c r="CE155" s="25"/>
      <c r="CF155" s="25"/>
      <c r="CG155" s="25"/>
      <c r="CH155" s="25"/>
      <c r="CI155" s="25"/>
      <c r="CJ155" s="25"/>
      <c r="CK155" s="25"/>
      <c r="CL155" s="25"/>
      <c r="CM155" s="25"/>
      <c r="CN155" s="25"/>
      <c r="CO155" s="25"/>
      <c r="CP155" s="25"/>
      <c r="CQ155" s="25"/>
      <c r="CR155" s="25"/>
      <c r="CS155" s="26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4"/>
      <c r="EH155" s="24"/>
      <c r="EI155" s="24"/>
      <c r="EJ155" s="24"/>
      <c r="EK155" s="24"/>
      <c r="EL155" s="24"/>
      <c r="EM155" s="24"/>
      <c r="EN155" s="24"/>
      <c r="EO155" s="24"/>
      <c r="EP155" s="24"/>
      <c r="EQ155" s="24"/>
      <c r="ER155" s="24"/>
      <c r="ES155" s="24"/>
      <c r="ET155" s="24"/>
      <c r="EU155" s="24"/>
      <c r="EV155" s="24"/>
      <c r="EW155" s="24"/>
      <c r="EX155" s="24"/>
      <c r="EY155" s="24"/>
      <c r="EZ155" s="24"/>
      <c r="FA155" s="24"/>
      <c r="FB155" s="24"/>
      <c r="FC155" s="24"/>
      <c r="FD155" s="24"/>
      <c r="FE155" s="24"/>
      <c r="FF155" s="24"/>
      <c r="FG155" s="24"/>
      <c r="FH155" s="24"/>
      <c r="FI155" s="24"/>
      <c r="FJ155" s="24"/>
      <c r="FK155" s="24"/>
      <c r="FL155" s="24"/>
      <c r="FM155" s="24"/>
      <c r="FN155" s="24"/>
      <c r="FO155" s="24"/>
      <c r="FP155" s="24"/>
      <c r="FQ155" s="24"/>
      <c r="FR155" s="24"/>
      <c r="FS155" s="24"/>
      <c r="FT155" s="24"/>
      <c r="FU155" s="24"/>
      <c r="FV155" s="24"/>
      <c r="FW155" s="24"/>
      <c r="FX155" s="24"/>
      <c r="FY155" s="24"/>
      <c r="FZ155" s="24"/>
      <c r="GA155" s="24"/>
      <c r="GB155" s="24"/>
      <c r="GC155" s="24"/>
      <c r="GD155" s="24"/>
      <c r="GE155" s="24"/>
      <c r="GF155" s="24"/>
      <c r="GG155" s="24"/>
      <c r="GH155" s="24"/>
      <c r="GI155" s="24"/>
      <c r="GJ155" s="24"/>
      <c r="GK155" s="24"/>
      <c r="GL155" s="24"/>
      <c r="GM155" s="24"/>
      <c r="GN155" s="24"/>
      <c r="GO155" s="24"/>
      <c r="GP155" s="24"/>
      <c r="GQ155" s="24"/>
      <c r="GR155" s="24"/>
    </row>
    <row r="156" spans="1:200" s="23" customFormat="1" ht="14.25" customHeight="1">
      <c r="A156" s="20"/>
      <c r="B156" s="21"/>
      <c r="C156" s="22"/>
      <c r="D156" s="22"/>
      <c r="E156" s="22"/>
      <c r="G156" s="22"/>
      <c r="H156" s="22"/>
      <c r="I156" s="22"/>
      <c r="K156" s="22"/>
      <c r="L156" s="22"/>
      <c r="M156" s="22"/>
      <c r="O156" s="22"/>
      <c r="P156" s="22"/>
      <c r="Q156" s="22"/>
      <c r="S156" s="22"/>
      <c r="T156" s="22"/>
      <c r="U156" s="22"/>
      <c r="W156" s="22"/>
      <c r="X156" s="22"/>
      <c r="Y156" s="22"/>
      <c r="AA156" s="22"/>
      <c r="AB156" s="22"/>
      <c r="AC156" s="22"/>
      <c r="AE156" s="24"/>
      <c r="AF156" s="24"/>
      <c r="AG156" s="24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6"/>
      <c r="AW156" s="24"/>
      <c r="AX156" s="20"/>
      <c r="AY156" s="21"/>
      <c r="AZ156" s="22"/>
      <c r="BA156" s="22"/>
      <c r="BB156" s="22"/>
      <c r="BD156" s="22"/>
      <c r="BE156" s="22"/>
      <c r="BF156" s="22"/>
      <c r="BH156" s="22"/>
      <c r="BI156" s="22"/>
      <c r="BJ156" s="22"/>
      <c r="BL156" s="22"/>
      <c r="BM156" s="22"/>
      <c r="BN156" s="22"/>
      <c r="BP156" s="22"/>
      <c r="BQ156" s="22"/>
      <c r="BR156" s="22"/>
      <c r="BT156" s="22"/>
      <c r="BU156" s="22"/>
      <c r="BV156" s="22"/>
      <c r="BX156" s="22"/>
      <c r="BY156" s="22"/>
      <c r="BZ156" s="22"/>
      <c r="CB156" s="24"/>
      <c r="CC156" s="24"/>
      <c r="CD156" s="24"/>
      <c r="CE156" s="25"/>
      <c r="CF156" s="25"/>
      <c r="CG156" s="25"/>
      <c r="CH156" s="25"/>
      <c r="CI156" s="25"/>
      <c r="CJ156" s="25"/>
      <c r="CK156" s="25"/>
      <c r="CL156" s="25"/>
      <c r="CM156" s="25"/>
      <c r="CN156" s="25"/>
      <c r="CO156" s="25"/>
      <c r="CP156" s="25"/>
      <c r="CQ156" s="25"/>
      <c r="CR156" s="25"/>
      <c r="CS156" s="26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4"/>
      <c r="EP156" s="24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4"/>
      <c r="FC156" s="24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4"/>
      <c r="FP156" s="24"/>
      <c r="FQ156" s="24"/>
      <c r="FR156" s="24"/>
      <c r="FS156" s="24"/>
      <c r="FT156" s="24"/>
      <c r="FU156" s="24"/>
      <c r="FV156" s="24"/>
      <c r="FW156" s="24"/>
      <c r="FX156" s="24"/>
      <c r="FY156" s="24"/>
      <c r="FZ156" s="24"/>
      <c r="GA156" s="24"/>
      <c r="GB156" s="24"/>
      <c r="GC156" s="24"/>
      <c r="GD156" s="24"/>
      <c r="GE156" s="24"/>
      <c r="GF156" s="24"/>
      <c r="GG156" s="24"/>
      <c r="GH156" s="24"/>
      <c r="GI156" s="24"/>
      <c r="GJ156" s="24"/>
      <c r="GK156" s="24"/>
      <c r="GL156" s="24"/>
      <c r="GM156" s="24"/>
      <c r="GN156" s="24"/>
      <c r="GO156" s="24"/>
      <c r="GP156" s="24"/>
      <c r="GQ156" s="24"/>
      <c r="GR156" s="24"/>
    </row>
    <row r="157" spans="1:200" s="23" customFormat="1" ht="14.25" customHeight="1">
      <c r="A157" s="20"/>
      <c r="B157" s="21"/>
      <c r="C157" s="22"/>
      <c r="D157" s="22"/>
      <c r="E157" s="22"/>
      <c r="G157" s="22"/>
      <c r="H157" s="22"/>
      <c r="I157" s="22"/>
      <c r="K157" s="22"/>
      <c r="L157" s="22"/>
      <c r="M157" s="22"/>
      <c r="O157" s="22"/>
      <c r="P157" s="22"/>
      <c r="Q157" s="22"/>
      <c r="S157" s="22"/>
      <c r="T157" s="22"/>
      <c r="U157" s="22"/>
      <c r="W157" s="22"/>
      <c r="X157" s="22"/>
      <c r="Y157" s="22"/>
      <c r="AA157" s="22"/>
      <c r="AB157" s="22"/>
      <c r="AC157" s="22"/>
      <c r="AE157" s="24"/>
      <c r="AF157" s="24"/>
      <c r="AG157" s="24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6"/>
      <c r="AW157" s="24"/>
      <c r="AX157" s="20"/>
      <c r="AY157" s="21"/>
      <c r="AZ157" s="22"/>
      <c r="BA157" s="22"/>
      <c r="BB157" s="22"/>
      <c r="BD157" s="22"/>
      <c r="BE157" s="22"/>
      <c r="BF157" s="22"/>
      <c r="BH157" s="22"/>
      <c r="BI157" s="22"/>
      <c r="BJ157" s="22"/>
      <c r="BL157" s="22"/>
      <c r="BM157" s="22"/>
      <c r="BN157" s="22"/>
      <c r="BP157" s="22"/>
      <c r="BQ157" s="22"/>
      <c r="BR157" s="22"/>
      <c r="BT157" s="22"/>
      <c r="BU157" s="22"/>
      <c r="BV157" s="22"/>
      <c r="BX157" s="22"/>
      <c r="BY157" s="22"/>
      <c r="BZ157" s="22"/>
      <c r="CB157" s="24"/>
      <c r="CC157" s="24"/>
      <c r="CD157" s="24"/>
      <c r="CE157" s="25"/>
      <c r="CF157" s="25"/>
      <c r="CG157" s="25"/>
      <c r="CH157" s="25"/>
      <c r="CI157" s="25"/>
      <c r="CJ157" s="25"/>
      <c r="CK157" s="25"/>
      <c r="CL157" s="25"/>
      <c r="CM157" s="25"/>
      <c r="CN157" s="25"/>
      <c r="CO157" s="25"/>
      <c r="CP157" s="25"/>
      <c r="CQ157" s="25"/>
      <c r="CR157" s="25"/>
      <c r="CS157" s="26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4"/>
      <c r="EH157" s="24"/>
      <c r="EI157" s="24"/>
      <c r="EJ157" s="24"/>
      <c r="EK157" s="24"/>
      <c r="EL157" s="24"/>
      <c r="EM157" s="24"/>
      <c r="EN157" s="24"/>
      <c r="EO157" s="24"/>
      <c r="EP157" s="24"/>
      <c r="EQ157" s="24"/>
      <c r="ER157" s="24"/>
      <c r="ES157" s="24"/>
      <c r="ET157" s="24"/>
      <c r="EU157" s="24"/>
      <c r="EV157" s="24"/>
      <c r="EW157" s="24"/>
      <c r="EX157" s="24"/>
      <c r="EY157" s="24"/>
      <c r="EZ157" s="24"/>
      <c r="FA157" s="24"/>
      <c r="FB157" s="24"/>
      <c r="FC157" s="24"/>
      <c r="FD157" s="24"/>
      <c r="FE157" s="24"/>
      <c r="FF157" s="24"/>
      <c r="FG157" s="24"/>
      <c r="FH157" s="24"/>
      <c r="FI157" s="24"/>
      <c r="FJ157" s="24"/>
      <c r="FK157" s="24"/>
      <c r="FL157" s="24"/>
      <c r="FM157" s="24"/>
      <c r="FN157" s="24"/>
      <c r="FO157" s="24"/>
      <c r="FP157" s="24"/>
      <c r="FQ157" s="24"/>
      <c r="FR157" s="24"/>
      <c r="FS157" s="24"/>
      <c r="FT157" s="24"/>
      <c r="FU157" s="24"/>
      <c r="FV157" s="24"/>
      <c r="FW157" s="24"/>
      <c r="FX157" s="24"/>
      <c r="FY157" s="24"/>
      <c r="FZ157" s="24"/>
      <c r="GA157" s="24"/>
      <c r="GB157" s="24"/>
      <c r="GC157" s="24"/>
      <c r="GD157" s="24"/>
      <c r="GE157" s="24"/>
      <c r="GF157" s="24"/>
      <c r="GG157" s="24"/>
      <c r="GH157" s="24"/>
      <c r="GI157" s="24"/>
      <c r="GJ157" s="24"/>
      <c r="GK157" s="24"/>
      <c r="GL157" s="24"/>
      <c r="GM157" s="24"/>
      <c r="GN157" s="24"/>
      <c r="GO157" s="24"/>
      <c r="GP157" s="24"/>
      <c r="GQ157" s="24"/>
      <c r="GR157" s="24"/>
    </row>
    <row r="158" spans="1:200" s="23" customFormat="1" ht="14.25" customHeight="1">
      <c r="A158" s="20"/>
      <c r="B158" s="21"/>
      <c r="C158" s="22"/>
      <c r="D158" s="22"/>
      <c r="E158" s="22"/>
      <c r="G158" s="22"/>
      <c r="H158" s="22"/>
      <c r="I158" s="22"/>
      <c r="K158" s="22"/>
      <c r="L158" s="22"/>
      <c r="M158" s="22"/>
      <c r="O158" s="22"/>
      <c r="P158" s="22"/>
      <c r="Q158" s="22"/>
      <c r="S158" s="22"/>
      <c r="T158" s="22"/>
      <c r="U158" s="22"/>
      <c r="W158" s="22"/>
      <c r="X158" s="22"/>
      <c r="Y158" s="22"/>
      <c r="AA158" s="22"/>
      <c r="AB158" s="22"/>
      <c r="AC158" s="22"/>
      <c r="AE158" s="24"/>
      <c r="AF158" s="24"/>
      <c r="AG158" s="24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6"/>
      <c r="AW158" s="24"/>
      <c r="AX158" s="20"/>
      <c r="AY158" s="21"/>
      <c r="AZ158" s="22"/>
      <c r="BA158" s="22"/>
      <c r="BB158" s="22"/>
      <c r="BD158" s="22"/>
      <c r="BE158" s="22"/>
      <c r="BF158" s="22"/>
      <c r="BH158" s="22"/>
      <c r="BI158" s="22"/>
      <c r="BJ158" s="22"/>
      <c r="BL158" s="22"/>
      <c r="BM158" s="22"/>
      <c r="BN158" s="22"/>
      <c r="BP158" s="22"/>
      <c r="BQ158" s="22"/>
      <c r="BR158" s="22"/>
      <c r="BT158" s="22"/>
      <c r="BU158" s="22"/>
      <c r="BV158" s="22"/>
      <c r="BX158" s="22"/>
      <c r="BY158" s="22"/>
      <c r="BZ158" s="22"/>
      <c r="CB158" s="24"/>
      <c r="CC158" s="24"/>
      <c r="CD158" s="24"/>
      <c r="CE158" s="25"/>
      <c r="CF158" s="25"/>
      <c r="CG158" s="25"/>
      <c r="CH158" s="25"/>
      <c r="CI158" s="25"/>
      <c r="CJ158" s="25"/>
      <c r="CK158" s="25"/>
      <c r="CL158" s="25"/>
      <c r="CM158" s="25"/>
      <c r="CN158" s="25"/>
      <c r="CO158" s="25"/>
      <c r="CP158" s="25"/>
      <c r="CQ158" s="25"/>
      <c r="CR158" s="25"/>
      <c r="CS158" s="26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4"/>
      <c r="EP158" s="24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4"/>
      <c r="FC158" s="24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4"/>
      <c r="FP158" s="24"/>
      <c r="FQ158" s="24"/>
      <c r="FR158" s="24"/>
      <c r="FS158" s="24"/>
      <c r="FT158" s="24"/>
      <c r="FU158" s="24"/>
      <c r="FV158" s="24"/>
      <c r="FW158" s="24"/>
      <c r="FX158" s="24"/>
      <c r="FY158" s="24"/>
      <c r="FZ158" s="24"/>
      <c r="GA158" s="24"/>
      <c r="GB158" s="24"/>
      <c r="GC158" s="24"/>
      <c r="GD158" s="24"/>
      <c r="GE158" s="24"/>
      <c r="GF158" s="24"/>
      <c r="GG158" s="24"/>
      <c r="GH158" s="24"/>
      <c r="GI158" s="24"/>
      <c r="GJ158" s="24"/>
      <c r="GK158" s="24"/>
      <c r="GL158" s="24"/>
      <c r="GM158" s="24"/>
      <c r="GN158" s="24"/>
      <c r="GO158" s="24"/>
      <c r="GP158" s="24"/>
      <c r="GQ158" s="24"/>
      <c r="GR158" s="24"/>
    </row>
    <row r="159" spans="1:200" s="23" customFormat="1" ht="14.25" customHeight="1">
      <c r="A159" s="20"/>
      <c r="B159" s="21"/>
      <c r="C159" s="22"/>
      <c r="D159" s="22"/>
      <c r="E159" s="22"/>
      <c r="G159" s="22"/>
      <c r="H159" s="22"/>
      <c r="I159" s="22"/>
      <c r="K159" s="22"/>
      <c r="L159" s="22"/>
      <c r="M159" s="22"/>
      <c r="O159" s="22"/>
      <c r="P159" s="22"/>
      <c r="Q159" s="22"/>
      <c r="S159" s="22"/>
      <c r="T159" s="22"/>
      <c r="U159" s="22"/>
      <c r="W159" s="22"/>
      <c r="X159" s="22"/>
      <c r="Y159" s="22"/>
      <c r="AA159" s="22"/>
      <c r="AB159" s="22"/>
      <c r="AC159" s="22"/>
      <c r="AE159" s="24"/>
      <c r="AF159" s="24"/>
      <c r="AG159" s="24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6"/>
      <c r="AW159" s="24"/>
      <c r="AX159" s="20"/>
      <c r="AY159" s="21"/>
      <c r="AZ159" s="22"/>
      <c r="BA159" s="22"/>
      <c r="BB159" s="22"/>
      <c r="BD159" s="22"/>
      <c r="BE159" s="22"/>
      <c r="BF159" s="22"/>
      <c r="BH159" s="22"/>
      <c r="BI159" s="22"/>
      <c r="BJ159" s="22"/>
      <c r="BL159" s="22"/>
      <c r="BM159" s="22"/>
      <c r="BN159" s="22"/>
      <c r="BP159" s="22"/>
      <c r="BQ159" s="22"/>
      <c r="BR159" s="22"/>
      <c r="BT159" s="22"/>
      <c r="BU159" s="22"/>
      <c r="BV159" s="22"/>
      <c r="BX159" s="22"/>
      <c r="BY159" s="22"/>
      <c r="BZ159" s="22"/>
      <c r="CB159" s="24"/>
      <c r="CC159" s="24"/>
      <c r="CD159" s="24"/>
      <c r="CE159" s="25"/>
      <c r="CF159" s="25"/>
      <c r="CG159" s="25"/>
      <c r="CH159" s="25"/>
      <c r="CI159" s="25"/>
      <c r="CJ159" s="25"/>
      <c r="CK159" s="25"/>
      <c r="CL159" s="25"/>
      <c r="CM159" s="25"/>
      <c r="CN159" s="25"/>
      <c r="CO159" s="25"/>
      <c r="CP159" s="25"/>
      <c r="CQ159" s="25"/>
      <c r="CR159" s="25"/>
      <c r="CS159" s="26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4"/>
      <c r="EH159" s="24"/>
      <c r="EI159" s="24"/>
      <c r="EJ159" s="24"/>
      <c r="EK159" s="24"/>
      <c r="EL159" s="24"/>
      <c r="EM159" s="24"/>
      <c r="EN159" s="24"/>
      <c r="EO159" s="24"/>
      <c r="EP159" s="24"/>
      <c r="EQ159" s="24"/>
      <c r="ER159" s="24"/>
      <c r="ES159" s="24"/>
      <c r="ET159" s="24"/>
      <c r="EU159" s="24"/>
      <c r="EV159" s="24"/>
      <c r="EW159" s="24"/>
      <c r="EX159" s="24"/>
      <c r="EY159" s="24"/>
      <c r="EZ159" s="24"/>
      <c r="FA159" s="24"/>
      <c r="FB159" s="24"/>
      <c r="FC159" s="24"/>
      <c r="FD159" s="24"/>
      <c r="FE159" s="24"/>
      <c r="FF159" s="24"/>
      <c r="FG159" s="24"/>
      <c r="FH159" s="24"/>
      <c r="FI159" s="24"/>
      <c r="FJ159" s="24"/>
      <c r="FK159" s="24"/>
      <c r="FL159" s="24"/>
      <c r="FM159" s="24"/>
      <c r="FN159" s="24"/>
      <c r="FO159" s="24"/>
      <c r="FP159" s="24"/>
      <c r="FQ159" s="24"/>
      <c r="FR159" s="24"/>
      <c r="FS159" s="24"/>
      <c r="FT159" s="24"/>
      <c r="FU159" s="24"/>
      <c r="FV159" s="24"/>
      <c r="FW159" s="24"/>
      <c r="FX159" s="24"/>
      <c r="FY159" s="24"/>
      <c r="FZ159" s="24"/>
      <c r="GA159" s="24"/>
      <c r="GB159" s="24"/>
      <c r="GC159" s="24"/>
      <c r="GD159" s="24"/>
      <c r="GE159" s="24"/>
      <c r="GF159" s="24"/>
      <c r="GG159" s="24"/>
      <c r="GH159" s="24"/>
      <c r="GI159" s="24"/>
      <c r="GJ159" s="24"/>
      <c r="GK159" s="24"/>
      <c r="GL159" s="24"/>
      <c r="GM159" s="24"/>
      <c r="GN159" s="24"/>
      <c r="GO159" s="24"/>
      <c r="GP159" s="24"/>
      <c r="GQ159" s="24"/>
      <c r="GR159" s="24"/>
    </row>
    <row r="160" spans="1:200" s="23" customFormat="1" ht="14.25" customHeight="1">
      <c r="A160" s="20"/>
      <c r="B160" s="21"/>
      <c r="C160" s="22"/>
      <c r="D160" s="22"/>
      <c r="E160" s="22"/>
      <c r="G160" s="22"/>
      <c r="H160" s="22"/>
      <c r="I160" s="22"/>
      <c r="K160" s="22"/>
      <c r="L160" s="22"/>
      <c r="M160" s="22"/>
      <c r="O160" s="22"/>
      <c r="P160" s="22"/>
      <c r="Q160" s="22"/>
      <c r="S160" s="22"/>
      <c r="T160" s="22"/>
      <c r="U160" s="22"/>
      <c r="W160" s="22"/>
      <c r="X160" s="22"/>
      <c r="Y160" s="22"/>
      <c r="AA160" s="22"/>
      <c r="AB160" s="22"/>
      <c r="AC160" s="22"/>
      <c r="AE160" s="24"/>
      <c r="AF160" s="24"/>
      <c r="AG160" s="24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6"/>
      <c r="AW160" s="24"/>
      <c r="AX160" s="20"/>
      <c r="AY160" s="21"/>
      <c r="AZ160" s="22"/>
      <c r="BA160" s="22"/>
      <c r="BB160" s="22"/>
      <c r="BD160" s="22"/>
      <c r="BE160" s="22"/>
      <c r="BF160" s="22"/>
      <c r="BH160" s="22"/>
      <c r="BI160" s="22"/>
      <c r="BJ160" s="22"/>
      <c r="BL160" s="22"/>
      <c r="BM160" s="22"/>
      <c r="BN160" s="22"/>
      <c r="BP160" s="22"/>
      <c r="BQ160" s="22"/>
      <c r="BR160" s="22"/>
      <c r="BT160" s="22"/>
      <c r="BU160" s="22"/>
      <c r="BV160" s="22"/>
      <c r="BX160" s="22"/>
      <c r="BY160" s="22"/>
      <c r="BZ160" s="22"/>
      <c r="CB160" s="24"/>
      <c r="CC160" s="24"/>
      <c r="CD160" s="24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6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4"/>
      <c r="EP160" s="24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4"/>
      <c r="FC160" s="24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4"/>
      <c r="FP160" s="24"/>
      <c r="FQ160" s="24"/>
      <c r="FR160" s="24"/>
      <c r="FS160" s="24"/>
      <c r="FT160" s="24"/>
      <c r="FU160" s="24"/>
      <c r="FV160" s="24"/>
      <c r="FW160" s="24"/>
      <c r="FX160" s="24"/>
      <c r="FY160" s="24"/>
      <c r="FZ160" s="24"/>
      <c r="GA160" s="24"/>
      <c r="GB160" s="24"/>
      <c r="GC160" s="24"/>
      <c r="GD160" s="24"/>
      <c r="GE160" s="24"/>
      <c r="GF160" s="24"/>
      <c r="GG160" s="24"/>
      <c r="GH160" s="24"/>
      <c r="GI160" s="24"/>
      <c r="GJ160" s="24"/>
      <c r="GK160" s="24"/>
      <c r="GL160" s="24"/>
      <c r="GM160" s="24"/>
      <c r="GN160" s="24"/>
      <c r="GO160" s="24"/>
      <c r="GP160" s="24"/>
      <c r="GQ160" s="24"/>
      <c r="GR160" s="24"/>
    </row>
    <row r="161" spans="1:200" s="23" customFormat="1" ht="14.25" customHeight="1">
      <c r="A161" s="20"/>
      <c r="B161" s="21"/>
      <c r="C161" s="22"/>
      <c r="D161" s="22"/>
      <c r="E161" s="22"/>
      <c r="G161" s="22"/>
      <c r="H161" s="22"/>
      <c r="I161" s="22"/>
      <c r="K161" s="22"/>
      <c r="L161" s="22"/>
      <c r="M161" s="22"/>
      <c r="O161" s="22"/>
      <c r="P161" s="22"/>
      <c r="Q161" s="22"/>
      <c r="S161" s="22"/>
      <c r="T161" s="22"/>
      <c r="U161" s="22"/>
      <c r="W161" s="22"/>
      <c r="X161" s="22"/>
      <c r="Y161" s="22"/>
      <c r="AA161" s="22"/>
      <c r="AB161" s="22"/>
      <c r="AC161" s="22"/>
      <c r="AE161" s="24"/>
      <c r="AF161" s="24"/>
      <c r="AG161" s="24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6"/>
      <c r="AW161" s="24"/>
      <c r="AX161" s="20"/>
      <c r="AY161" s="21"/>
      <c r="AZ161" s="22"/>
      <c r="BA161" s="22"/>
      <c r="BB161" s="22"/>
      <c r="BD161" s="22"/>
      <c r="BE161" s="22"/>
      <c r="BF161" s="22"/>
      <c r="BH161" s="22"/>
      <c r="BI161" s="22"/>
      <c r="BJ161" s="22"/>
      <c r="BL161" s="22"/>
      <c r="BM161" s="22"/>
      <c r="BN161" s="22"/>
      <c r="BP161" s="22"/>
      <c r="BQ161" s="22"/>
      <c r="BR161" s="22"/>
      <c r="BT161" s="22"/>
      <c r="BU161" s="22"/>
      <c r="BV161" s="22"/>
      <c r="BX161" s="22"/>
      <c r="BY161" s="22"/>
      <c r="BZ161" s="22"/>
      <c r="CB161" s="24"/>
      <c r="CC161" s="24"/>
      <c r="CD161" s="24"/>
      <c r="CE161" s="25"/>
      <c r="CF161" s="25"/>
      <c r="CG161" s="25"/>
      <c r="CH161" s="25"/>
      <c r="CI161" s="25"/>
      <c r="CJ161" s="25"/>
      <c r="CK161" s="25"/>
      <c r="CL161" s="25"/>
      <c r="CM161" s="25"/>
      <c r="CN161" s="25"/>
      <c r="CO161" s="25"/>
      <c r="CP161" s="25"/>
      <c r="CQ161" s="25"/>
      <c r="CR161" s="25"/>
      <c r="CS161" s="26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4"/>
      <c r="EH161" s="24"/>
      <c r="EI161" s="24"/>
      <c r="EJ161" s="24"/>
      <c r="EK161" s="24"/>
      <c r="EL161" s="24"/>
      <c r="EM161" s="24"/>
      <c r="EN161" s="24"/>
      <c r="EO161" s="24"/>
      <c r="EP161" s="24"/>
      <c r="EQ161" s="24"/>
      <c r="ER161" s="24"/>
      <c r="ES161" s="24"/>
      <c r="ET161" s="24"/>
      <c r="EU161" s="24"/>
      <c r="EV161" s="24"/>
      <c r="EW161" s="24"/>
      <c r="EX161" s="24"/>
      <c r="EY161" s="24"/>
      <c r="EZ161" s="24"/>
      <c r="FA161" s="24"/>
      <c r="FB161" s="24"/>
      <c r="FC161" s="24"/>
      <c r="FD161" s="24"/>
      <c r="FE161" s="24"/>
      <c r="FF161" s="24"/>
      <c r="FG161" s="24"/>
      <c r="FH161" s="24"/>
      <c r="FI161" s="24"/>
      <c r="FJ161" s="24"/>
      <c r="FK161" s="24"/>
      <c r="FL161" s="24"/>
      <c r="FM161" s="24"/>
      <c r="FN161" s="24"/>
      <c r="FO161" s="24"/>
      <c r="FP161" s="24"/>
      <c r="FQ161" s="24"/>
      <c r="FR161" s="24"/>
      <c r="FS161" s="24"/>
      <c r="FT161" s="24"/>
      <c r="FU161" s="24"/>
      <c r="FV161" s="24"/>
      <c r="FW161" s="24"/>
      <c r="FX161" s="24"/>
      <c r="FY161" s="24"/>
      <c r="FZ161" s="24"/>
      <c r="GA161" s="24"/>
      <c r="GB161" s="24"/>
      <c r="GC161" s="24"/>
      <c r="GD161" s="24"/>
      <c r="GE161" s="24"/>
      <c r="GF161" s="24"/>
      <c r="GG161" s="24"/>
      <c r="GH161" s="24"/>
      <c r="GI161" s="24"/>
      <c r="GJ161" s="24"/>
      <c r="GK161" s="24"/>
      <c r="GL161" s="24"/>
      <c r="GM161" s="24"/>
      <c r="GN161" s="24"/>
      <c r="GO161" s="24"/>
      <c r="GP161" s="24"/>
      <c r="GQ161" s="24"/>
      <c r="GR161" s="24"/>
    </row>
    <row r="162" spans="1:200" s="23" customFormat="1" ht="14.25" customHeight="1">
      <c r="A162" s="20"/>
      <c r="B162" s="21"/>
      <c r="C162" s="22"/>
      <c r="D162" s="22"/>
      <c r="E162" s="22"/>
      <c r="G162" s="22"/>
      <c r="H162" s="22"/>
      <c r="I162" s="22"/>
      <c r="K162" s="22"/>
      <c r="L162" s="22"/>
      <c r="M162" s="22"/>
      <c r="O162" s="22"/>
      <c r="P162" s="22"/>
      <c r="Q162" s="22"/>
      <c r="S162" s="22"/>
      <c r="T162" s="22"/>
      <c r="U162" s="22"/>
      <c r="W162" s="22"/>
      <c r="X162" s="22"/>
      <c r="Y162" s="22"/>
      <c r="AA162" s="22"/>
      <c r="AB162" s="22"/>
      <c r="AC162" s="22"/>
      <c r="AE162" s="24"/>
      <c r="AF162" s="24"/>
      <c r="AG162" s="24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6"/>
      <c r="AW162" s="24"/>
      <c r="AX162" s="20"/>
      <c r="AY162" s="21"/>
      <c r="AZ162" s="22"/>
      <c r="BA162" s="22"/>
      <c r="BB162" s="22"/>
      <c r="BD162" s="22"/>
      <c r="BE162" s="22"/>
      <c r="BF162" s="22"/>
      <c r="BH162" s="22"/>
      <c r="BI162" s="22"/>
      <c r="BJ162" s="22"/>
      <c r="BL162" s="22"/>
      <c r="BM162" s="22"/>
      <c r="BN162" s="22"/>
      <c r="BP162" s="22"/>
      <c r="BQ162" s="22"/>
      <c r="BR162" s="22"/>
      <c r="BT162" s="22"/>
      <c r="BU162" s="22"/>
      <c r="BV162" s="22"/>
      <c r="BX162" s="22"/>
      <c r="BY162" s="22"/>
      <c r="BZ162" s="22"/>
      <c r="CB162" s="24"/>
      <c r="CC162" s="24"/>
      <c r="CD162" s="24"/>
      <c r="CE162" s="25"/>
      <c r="CF162" s="25"/>
      <c r="CG162" s="25"/>
      <c r="CH162" s="25"/>
      <c r="CI162" s="25"/>
      <c r="CJ162" s="25"/>
      <c r="CK162" s="25"/>
      <c r="CL162" s="25"/>
      <c r="CM162" s="25"/>
      <c r="CN162" s="25"/>
      <c r="CO162" s="25"/>
      <c r="CP162" s="25"/>
      <c r="CQ162" s="25"/>
      <c r="CR162" s="25"/>
      <c r="CS162" s="26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4"/>
      <c r="EP162" s="24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4"/>
      <c r="FC162" s="24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4"/>
      <c r="FP162" s="24"/>
      <c r="FQ162" s="24"/>
      <c r="FR162" s="24"/>
      <c r="FS162" s="24"/>
      <c r="FT162" s="24"/>
      <c r="FU162" s="24"/>
      <c r="FV162" s="24"/>
      <c r="FW162" s="24"/>
      <c r="FX162" s="24"/>
      <c r="FY162" s="24"/>
      <c r="FZ162" s="24"/>
      <c r="GA162" s="24"/>
      <c r="GB162" s="24"/>
      <c r="GC162" s="24"/>
      <c r="GD162" s="24"/>
      <c r="GE162" s="24"/>
      <c r="GF162" s="24"/>
      <c r="GG162" s="24"/>
      <c r="GH162" s="24"/>
      <c r="GI162" s="24"/>
      <c r="GJ162" s="24"/>
      <c r="GK162" s="24"/>
      <c r="GL162" s="24"/>
      <c r="GM162" s="24"/>
      <c r="GN162" s="24"/>
      <c r="GO162" s="24"/>
      <c r="GP162" s="24"/>
      <c r="GQ162" s="24"/>
      <c r="GR162" s="24"/>
    </row>
    <row r="163" spans="1:200" s="23" customFormat="1" ht="14.25" customHeight="1">
      <c r="A163" s="20"/>
      <c r="B163" s="21"/>
      <c r="C163" s="22"/>
      <c r="D163" s="22"/>
      <c r="E163" s="22"/>
      <c r="G163" s="22"/>
      <c r="H163" s="22"/>
      <c r="I163" s="22"/>
      <c r="K163" s="22"/>
      <c r="L163" s="22"/>
      <c r="M163" s="22"/>
      <c r="O163" s="22"/>
      <c r="P163" s="22"/>
      <c r="Q163" s="22"/>
      <c r="S163" s="22"/>
      <c r="T163" s="22"/>
      <c r="U163" s="22"/>
      <c r="W163" s="22"/>
      <c r="X163" s="22"/>
      <c r="Y163" s="22"/>
      <c r="AA163" s="22"/>
      <c r="AB163" s="22"/>
      <c r="AC163" s="22"/>
      <c r="AE163" s="24"/>
      <c r="AF163" s="24"/>
      <c r="AG163" s="24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6"/>
      <c r="AW163" s="24"/>
      <c r="AX163" s="20"/>
      <c r="AY163" s="21"/>
      <c r="AZ163" s="22"/>
      <c r="BA163" s="22"/>
      <c r="BB163" s="22"/>
      <c r="BD163" s="22"/>
      <c r="BE163" s="22"/>
      <c r="BF163" s="22"/>
      <c r="BH163" s="22"/>
      <c r="BI163" s="22"/>
      <c r="BJ163" s="22"/>
      <c r="BL163" s="22"/>
      <c r="BM163" s="22"/>
      <c r="BN163" s="22"/>
      <c r="BP163" s="22"/>
      <c r="BQ163" s="22"/>
      <c r="BR163" s="22"/>
      <c r="BT163" s="22"/>
      <c r="BU163" s="22"/>
      <c r="BV163" s="22"/>
      <c r="BX163" s="22"/>
      <c r="BY163" s="22"/>
      <c r="BZ163" s="22"/>
      <c r="CB163" s="24"/>
      <c r="CC163" s="24"/>
      <c r="CD163" s="24"/>
      <c r="CE163" s="25"/>
      <c r="CF163" s="25"/>
      <c r="CG163" s="25"/>
      <c r="CH163" s="25"/>
      <c r="CI163" s="25"/>
      <c r="CJ163" s="25"/>
      <c r="CK163" s="25"/>
      <c r="CL163" s="25"/>
      <c r="CM163" s="25"/>
      <c r="CN163" s="25"/>
      <c r="CO163" s="25"/>
      <c r="CP163" s="25"/>
      <c r="CQ163" s="25"/>
      <c r="CR163" s="25"/>
      <c r="CS163" s="26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4"/>
      <c r="EH163" s="24"/>
      <c r="EI163" s="24"/>
      <c r="EJ163" s="24"/>
      <c r="EK163" s="24"/>
      <c r="EL163" s="24"/>
      <c r="EM163" s="24"/>
      <c r="EN163" s="24"/>
      <c r="EO163" s="24"/>
      <c r="EP163" s="24"/>
      <c r="EQ163" s="24"/>
      <c r="ER163" s="24"/>
      <c r="ES163" s="24"/>
      <c r="ET163" s="24"/>
      <c r="EU163" s="24"/>
      <c r="EV163" s="24"/>
      <c r="EW163" s="24"/>
      <c r="EX163" s="24"/>
      <c r="EY163" s="24"/>
      <c r="EZ163" s="24"/>
      <c r="FA163" s="24"/>
      <c r="FB163" s="24"/>
      <c r="FC163" s="24"/>
      <c r="FD163" s="24"/>
      <c r="FE163" s="24"/>
      <c r="FF163" s="24"/>
      <c r="FG163" s="24"/>
      <c r="FH163" s="24"/>
      <c r="FI163" s="24"/>
      <c r="FJ163" s="24"/>
      <c r="FK163" s="24"/>
      <c r="FL163" s="24"/>
      <c r="FM163" s="24"/>
      <c r="FN163" s="24"/>
      <c r="FO163" s="24"/>
      <c r="FP163" s="24"/>
      <c r="FQ163" s="24"/>
      <c r="FR163" s="24"/>
      <c r="FS163" s="24"/>
      <c r="FT163" s="24"/>
      <c r="FU163" s="24"/>
      <c r="FV163" s="24"/>
      <c r="FW163" s="24"/>
      <c r="FX163" s="24"/>
      <c r="FY163" s="24"/>
      <c r="FZ163" s="24"/>
      <c r="GA163" s="24"/>
      <c r="GB163" s="24"/>
      <c r="GC163" s="24"/>
      <c r="GD163" s="24"/>
      <c r="GE163" s="24"/>
      <c r="GF163" s="24"/>
      <c r="GG163" s="24"/>
      <c r="GH163" s="24"/>
      <c r="GI163" s="24"/>
      <c r="GJ163" s="24"/>
      <c r="GK163" s="24"/>
      <c r="GL163" s="24"/>
      <c r="GM163" s="24"/>
      <c r="GN163" s="24"/>
      <c r="GO163" s="24"/>
      <c r="GP163" s="24"/>
      <c r="GQ163" s="24"/>
      <c r="GR163" s="24"/>
    </row>
    <row r="164" spans="1:200" s="23" customFormat="1" ht="14.25" customHeight="1">
      <c r="A164" s="20"/>
      <c r="B164" s="21"/>
      <c r="C164" s="22"/>
      <c r="D164" s="22"/>
      <c r="E164" s="22"/>
      <c r="G164" s="22"/>
      <c r="H164" s="22"/>
      <c r="I164" s="22"/>
      <c r="K164" s="22"/>
      <c r="L164" s="22"/>
      <c r="M164" s="22"/>
      <c r="O164" s="22"/>
      <c r="P164" s="22"/>
      <c r="Q164" s="22"/>
      <c r="S164" s="22"/>
      <c r="T164" s="22"/>
      <c r="U164" s="22"/>
      <c r="W164" s="22"/>
      <c r="X164" s="22"/>
      <c r="Y164" s="22"/>
      <c r="AA164" s="22"/>
      <c r="AB164" s="22"/>
      <c r="AC164" s="22"/>
      <c r="AE164" s="24"/>
      <c r="AF164" s="24"/>
      <c r="AG164" s="24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6"/>
      <c r="AW164" s="24"/>
      <c r="AX164" s="20"/>
      <c r="AY164" s="21"/>
      <c r="AZ164" s="22"/>
      <c r="BA164" s="22"/>
      <c r="BB164" s="22"/>
      <c r="BD164" s="22"/>
      <c r="BE164" s="22"/>
      <c r="BF164" s="22"/>
      <c r="BH164" s="22"/>
      <c r="BI164" s="22"/>
      <c r="BJ164" s="22"/>
      <c r="BL164" s="22"/>
      <c r="BM164" s="22"/>
      <c r="BN164" s="22"/>
      <c r="BP164" s="22"/>
      <c r="BQ164" s="22"/>
      <c r="BR164" s="22"/>
      <c r="BT164" s="22"/>
      <c r="BU164" s="22"/>
      <c r="BV164" s="22"/>
      <c r="BX164" s="22"/>
      <c r="BY164" s="22"/>
      <c r="BZ164" s="22"/>
      <c r="CB164" s="24"/>
      <c r="CC164" s="24"/>
      <c r="CD164" s="24"/>
      <c r="CE164" s="25"/>
      <c r="CF164" s="25"/>
      <c r="CG164" s="25"/>
      <c r="CH164" s="25"/>
      <c r="CI164" s="25"/>
      <c r="CJ164" s="25"/>
      <c r="CK164" s="25"/>
      <c r="CL164" s="25"/>
      <c r="CM164" s="25"/>
      <c r="CN164" s="25"/>
      <c r="CO164" s="25"/>
      <c r="CP164" s="25"/>
      <c r="CQ164" s="25"/>
      <c r="CR164" s="25"/>
      <c r="CS164" s="26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4"/>
      <c r="EP164" s="24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4"/>
      <c r="FC164" s="24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4"/>
      <c r="FP164" s="24"/>
      <c r="FQ164" s="24"/>
      <c r="FR164" s="24"/>
      <c r="FS164" s="24"/>
      <c r="FT164" s="24"/>
      <c r="FU164" s="24"/>
      <c r="FV164" s="24"/>
      <c r="FW164" s="24"/>
      <c r="FX164" s="24"/>
      <c r="FY164" s="24"/>
      <c r="FZ164" s="24"/>
      <c r="GA164" s="24"/>
      <c r="GB164" s="24"/>
      <c r="GC164" s="24"/>
      <c r="GD164" s="24"/>
      <c r="GE164" s="24"/>
      <c r="GF164" s="24"/>
      <c r="GG164" s="24"/>
      <c r="GH164" s="24"/>
      <c r="GI164" s="24"/>
      <c r="GJ164" s="24"/>
      <c r="GK164" s="24"/>
      <c r="GL164" s="24"/>
      <c r="GM164" s="24"/>
      <c r="GN164" s="24"/>
      <c r="GO164" s="24"/>
      <c r="GP164" s="24"/>
      <c r="GQ164" s="24"/>
      <c r="GR164" s="24"/>
    </row>
    <row r="165" spans="1:200" s="23" customFormat="1" ht="14.25" customHeight="1">
      <c r="A165" s="20"/>
      <c r="B165" s="21"/>
      <c r="C165" s="22"/>
      <c r="D165" s="22"/>
      <c r="E165" s="22"/>
      <c r="G165" s="22"/>
      <c r="H165" s="22"/>
      <c r="I165" s="22"/>
      <c r="K165" s="22"/>
      <c r="L165" s="22"/>
      <c r="M165" s="22"/>
      <c r="O165" s="22"/>
      <c r="P165" s="22"/>
      <c r="Q165" s="22"/>
      <c r="S165" s="22"/>
      <c r="T165" s="22"/>
      <c r="U165" s="22"/>
      <c r="W165" s="22"/>
      <c r="X165" s="22"/>
      <c r="Y165" s="22"/>
      <c r="AA165" s="22"/>
      <c r="AB165" s="22"/>
      <c r="AC165" s="22"/>
      <c r="AE165" s="24"/>
      <c r="AF165" s="24"/>
      <c r="AG165" s="24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6"/>
      <c r="AW165" s="24"/>
      <c r="AX165" s="20"/>
      <c r="AY165" s="21"/>
      <c r="AZ165" s="22"/>
      <c r="BA165" s="22"/>
      <c r="BB165" s="22"/>
      <c r="BD165" s="22"/>
      <c r="BE165" s="22"/>
      <c r="BF165" s="22"/>
      <c r="BH165" s="22"/>
      <c r="BI165" s="22"/>
      <c r="BJ165" s="22"/>
      <c r="BL165" s="22"/>
      <c r="BM165" s="22"/>
      <c r="BN165" s="22"/>
      <c r="BP165" s="22"/>
      <c r="BQ165" s="22"/>
      <c r="BR165" s="22"/>
      <c r="BT165" s="22"/>
      <c r="BU165" s="22"/>
      <c r="BV165" s="22"/>
      <c r="BX165" s="22"/>
      <c r="BY165" s="22"/>
      <c r="BZ165" s="22"/>
      <c r="CB165" s="24"/>
      <c r="CC165" s="24"/>
      <c r="CD165" s="24"/>
      <c r="CE165" s="25"/>
      <c r="CF165" s="25"/>
      <c r="CG165" s="25"/>
      <c r="CH165" s="25"/>
      <c r="CI165" s="25"/>
      <c r="CJ165" s="25"/>
      <c r="CK165" s="25"/>
      <c r="CL165" s="25"/>
      <c r="CM165" s="25"/>
      <c r="CN165" s="25"/>
      <c r="CO165" s="25"/>
      <c r="CP165" s="25"/>
      <c r="CQ165" s="25"/>
      <c r="CR165" s="25"/>
      <c r="CS165" s="26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4"/>
      <c r="EH165" s="24"/>
      <c r="EI165" s="24"/>
      <c r="EJ165" s="24"/>
      <c r="EK165" s="24"/>
      <c r="EL165" s="24"/>
      <c r="EM165" s="24"/>
      <c r="EN165" s="24"/>
      <c r="EO165" s="24"/>
      <c r="EP165" s="24"/>
      <c r="EQ165" s="24"/>
      <c r="ER165" s="24"/>
      <c r="ES165" s="24"/>
      <c r="ET165" s="24"/>
      <c r="EU165" s="24"/>
      <c r="EV165" s="24"/>
      <c r="EW165" s="24"/>
      <c r="EX165" s="24"/>
      <c r="EY165" s="24"/>
      <c r="EZ165" s="24"/>
      <c r="FA165" s="24"/>
      <c r="FB165" s="24"/>
      <c r="FC165" s="24"/>
      <c r="FD165" s="24"/>
      <c r="FE165" s="24"/>
      <c r="FF165" s="24"/>
      <c r="FG165" s="24"/>
      <c r="FH165" s="24"/>
      <c r="FI165" s="24"/>
      <c r="FJ165" s="24"/>
      <c r="FK165" s="24"/>
      <c r="FL165" s="24"/>
      <c r="FM165" s="24"/>
      <c r="FN165" s="24"/>
      <c r="FO165" s="24"/>
      <c r="FP165" s="24"/>
      <c r="FQ165" s="24"/>
      <c r="FR165" s="24"/>
      <c r="FS165" s="24"/>
      <c r="FT165" s="24"/>
      <c r="FU165" s="24"/>
      <c r="FV165" s="24"/>
      <c r="FW165" s="24"/>
      <c r="FX165" s="24"/>
      <c r="FY165" s="24"/>
      <c r="FZ165" s="24"/>
      <c r="GA165" s="24"/>
      <c r="GB165" s="24"/>
      <c r="GC165" s="24"/>
      <c r="GD165" s="24"/>
      <c r="GE165" s="24"/>
      <c r="GF165" s="24"/>
      <c r="GG165" s="24"/>
      <c r="GH165" s="24"/>
      <c r="GI165" s="24"/>
      <c r="GJ165" s="24"/>
      <c r="GK165" s="24"/>
      <c r="GL165" s="24"/>
      <c r="GM165" s="24"/>
      <c r="GN165" s="24"/>
      <c r="GO165" s="24"/>
      <c r="GP165" s="24"/>
      <c r="GQ165" s="24"/>
      <c r="GR165" s="24"/>
    </row>
    <row r="166" spans="1:200" s="23" customFormat="1" ht="14.25" customHeight="1">
      <c r="A166" s="20"/>
      <c r="B166" s="21"/>
      <c r="C166" s="22"/>
      <c r="D166" s="22"/>
      <c r="E166" s="22"/>
      <c r="G166" s="22"/>
      <c r="H166" s="22"/>
      <c r="I166" s="22"/>
      <c r="K166" s="22"/>
      <c r="L166" s="22"/>
      <c r="M166" s="22"/>
      <c r="O166" s="22"/>
      <c r="P166" s="22"/>
      <c r="Q166" s="22"/>
      <c r="S166" s="22"/>
      <c r="T166" s="22"/>
      <c r="U166" s="22"/>
      <c r="W166" s="22"/>
      <c r="X166" s="22"/>
      <c r="Y166" s="22"/>
      <c r="AA166" s="22"/>
      <c r="AB166" s="22"/>
      <c r="AC166" s="22"/>
      <c r="AE166" s="24"/>
      <c r="AF166" s="24"/>
      <c r="AG166" s="24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6"/>
      <c r="AW166" s="24"/>
      <c r="AX166" s="20"/>
      <c r="AY166" s="21"/>
      <c r="AZ166" s="22"/>
      <c r="BA166" s="22"/>
      <c r="BB166" s="22"/>
      <c r="BD166" s="22"/>
      <c r="BE166" s="22"/>
      <c r="BF166" s="22"/>
      <c r="BH166" s="22"/>
      <c r="BI166" s="22"/>
      <c r="BJ166" s="22"/>
      <c r="BL166" s="22"/>
      <c r="BM166" s="22"/>
      <c r="BN166" s="22"/>
      <c r="BP166" s="22"/>
      <c r="BQ166" s="22"/>
      <c r="BR166" s="22"/>
      <c r="BT166" s="22"/>
      <c r="BU166" s="22"/>
      <c r="BV166" s="22"/>
      <c r="BX166" s="22"/>
      <c r="BY166" s="22"/>
      <c r="BZ166" s="22"/>
      <c r="CB166" s="24"/>
      <c r="CC166" s="24"/>
      <c r="CD166" s="24"/>
      <c r="CE166" s="25"/>
      <c r="CF166" s="25"/>
      <c r="CG166" s="25"/>
      <c r="CH166" s="25"/>
      <c r="CI166" s="25"/>
      <c r="CJ166" s="25"/>
      <c r="CK166" s="25"/>
      <c r="CL166" s="25"/>
      <c r="CM166" s="25"/>
      <c r="CN166" s="25"/>
      <c r="CO166" s="25"/>
      <c r="CP166" s="25"/>
      <c r="CQ166" s="25"/>
      <c r="CR166" s="25"/>
      <c r="CS166" s="26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4"/>
      <c r="EP166" s="24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4"/>
      <c r="FC166" s="24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4"/>
      <c r="FP166" s="24"/>
      <c r="FQ166" s="24"/>
      <c r="FR166" s="24"/>
      <c r="FS166" s="24"/>
      <c r="FT166" s="24"/>
      <c r="FU166" s="24"/>
      <c r="FV166" s="24"/>
      <c r="FW166" s="24"/>
      <c r="FX166" s="24"/>
      <c r="FY166" s="24"/>
      <c r="FZ166" s="24"/>
      <c r="GA166" s="24"/>
      <c r="GB166" s="24"/>
      <c r="GC166" s="24"/>
      <c r="GD166" s="24"/>
      <c r="GE166" s="24"/>
      <c r="GF166" s="24"/>
      <c r="GG166" s="24"/>
      <c r="GH166" s="24"/>
      <c r="GI166" s="24"/>
      <c r="GJ166" s="24"/>
      <c r="GK166" s="24"/>
      <c r="GL166" s="24"/>
      <c r="GM166" s="24"/>
      <c r="GN166" s="24"/>
      <c r="GO166" s="24"/>
      <c r="GP166" s="24"/>
      <c r="GQ166" s="24"/>
      <c r="GR166" s="24"/>
    </row>
    <row r="167" spans="1:200" s="23" customFormat="1" ht="14.25" customHeight="1">
      <c r="A167" s="20"/>
      <c r="B167" s="21"/>
      <c r="C167" s="22"/>
      <c r="D167" s="22"/>
      <c r="E167" s="22"/>
      <c r="G167" s="22"/>
      <c r="H167" s="22"/>
      <c r="I167" s="22"/>
      <c r="K167" s="22"/>
      <c r="L167" s="22"/>
      <c r="M167" s="22"/>
      <c r="O167" s="22"/>
      <c r="P167" s="22"/>
      <c r="Q167" s="22"/>
      <c r="S167" s="22"/>
      <c r="T167" s="22"/>
      <c r="U167" s="22"/>
      <c r="W167" s="22"/>
      <c r="X167" s="22"/>
      <c r="Y167" s="22"/>
      <c r="AA167" s="22"/>
      <c r="AB167" s="22"/>
      <c r="AC167" s="22"/>
      <c r="AE167" s="24"/>
      <c r="AF167" s="24"/>
      <c r="AG167" s="24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6"/>
      <c r="AW167" s="24"/>
      <c r="AX167" s="20"/>
      <c r="AY167" s="21"/>
      <c r="AZ167" s="22"/>
      <c r="BA167" s="22"/>
      <c r="BB167" s="22"/>
      <c r="BD167" s="22"/>
      <c r="BE167" s="22"/>
      <c r="BF167" s="22"/>
      <c r="BH167" s="22"/>
      <c r="BI167" s="22"/>
      <c r="BJ167" s="22"/>
      <c r="BL167" s="22"/>
      <c r="BM167" s="22"/>
      <c r="BN167" s="22"/>
      <c r="BP167" s="22"/>
      <c r="BQ167" s="22"/>
      <c r="BR167" s="22"/>
      <c r="BT167" s="22"/>
      <c r="BU167" s="22"/>
      <c r="BV167" s="22"/>
      <c r="BX167" s="22"/>
      <c r="BY167" s="22"/>
      <c r="BZ167" s="22"/>
      <c r="CB167" s="24"/>
      <c r="CC167" s="24"/>
      <c r="CD167" s="24"/>
      <c r="CE167" s="25"/>
      <c r="CF167" s="25"/>
      <c r="CG167" s="25"/>
      <c r="CH167" s="25"/>
      <c r="CI167" s="25"/>
      <c r="CJ167" s="25"/>
      <c r="CK167" s="25"/>
      <c r="CL167" s="25"/>
      <c r="CM167" s="25"/>
      <c r="CN167" s="25"/>
      <c r="CO167" s="25"/>
      <c r="CP167" s="25"/>
      <c r="CQ167" s="25"/>
      <c r="CR167" s="25"/>
      <c r="CS167" s="26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24"/>
      <c r="EN167" s="24"/>
      <c r="EO167" s="24"/>
      <c r="EP167" s="24"/>
      <c r="EQ167" s="24"/>
      <c r="ER167" s="24"/>
      <c r="ES167" s="24"/>
      <c r="ET167" s="24"/>
      <c r="EU167" s="24"/>
      <c r="EV167" s="24"/>
      <c r="EW167" s="24"/>
      <c r="EX167" s="24"/>
      <c r="EY167" s="24"/>
      <c r="EZ167" s="24"/>
      <c r="FA167" s="24"/>
      <c r="FB167" s="24"/>
      <c r="FC167" s="24"/>
      <c r="FD167" s="24"/>
      <c r="FE167" s="24"/>
      <c r="FF167" s="24"/>
      <c r="FG167" s="24"/>
      <c r="FH167" s="24"/>
      <c r="FI167" s="24"/>
      <c r="FJ167" s="24"/>
      <c r="FK167" s="24"/>
      <c r="FL167" s="24"/>
      <c r="FM167" s="24"/>
      <c r="FN167" s="24"/>
      <c r="FO167" s="24"/>
      <c r="FP167" s="24"/>
      <c r="FQ167" s="24"/>
      <c r="FR167" s="24"/>
      <c r="FS167" s="24"/>
      <c r="FT167" s="24"/>
      <c r="FU167" s="24"/>
      <c r="FV167" s="24"/>
      <c r="FW167" s="24"/>
      <c r="FX167" s="24"/>
      <c r="FY167" s="24"/>
      <c r="FZ167" s="24"/>
      <c r="GA167" s="24"/>
      <c r="GB167" s="24"/>
      <c r="GC167" s="24"/>
      <c r="GD167" s="24"/>
      <c r="GE167" s="24"/>
      <c r="GF167" s="24"/>
      <c r="GG167" s="24"/>
      <c r="GH167" s="24"/>
      <c r="GI167" s="24"/>
      <c r="GJ167" s="24"/>
      <c r="GK167" s="24"/>
      <c r="GL167" s="24"/>
      <c r="GM167" s="24"/>
      <c r="GN167" s="24"/>
      <c r="GO167" s="24"/>
      <c r="GP167" s="24"/>
      <c r="GQ167" s="24"/>
      <c r="GR167" s="24"/>
    </row>
    <row r="168" spans="1:200" s="23" customFormat="1" ht="14.25" customHeight="1">
      <c r="A168" s="20"/>
      <c r="B168" s="21"/>
      <c r="C168" s="22"/>
      <c r="D168" s="22"/>
      <c r="E168" s="22"/>
      <c r="G168" s="22"/>
      <c r="H168" s="22"/>
      <c r="I168" s="22"/>
      <c r="K168" s="22"/>
      <c r="L168" s="22"/>
      <c r="M168" s="22"/>
      <c r="O168" s="22"/>
      <c r="P168" s="22"/>
      <c r="Q168" s="22"/>
      <c r="S168" s="22"/>
      <c r="T168" s="22"/>
      <c r="U168" s="22"/>
      <c r="W168" s="22"/>
      <c r="X168" s="22"/>
      <c r="Y168" s="22"/>
      <c r="AA168" s="22"/>
      <c r="AB168" s="22"/>
      <c r="AC168" s="22"/>
      <c r="AE168" s="24"/>
      <c r="AF168" s="24"/>
      <c r="AG168" s="24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6"/>
      <c r="AW168" s="24"/>
      <c r="AX168" s="20"/>
      <c r="AY168" s="21"/>
      <c r="AZ168" s="22"/>
      <c r="BA168" s="22"/>
      <c r="BB168" s="22"/>
      <c r="BD168" s="22"/>
      <c r="BE168" s="22"/>
      <c r="BF168" s="22"/>
      <c r="BH168" s="22"/>
      <c r="BI168" s="22"/>
      <c r="BJ168" s="22"/>
      <c r="BL168" s="22"/>
      <c r="BM168" s="22"/>
      <c r="BN168" s="22"/>
      <c r="BP168" s="22"/>
      <c r="BQ168" s="22"/>
      <c r="BR168" s="22"/>
      <c r="BT168" s="22"/>
      <c r="BU168" s="22"/>
      <c r="BV168" s="22"/>
      <c r="BX168" s="22"/>
      <c r="BY168" s="22"/>
      <c r="BZ168" s="22"/>
      <c r="CB168" s="24"/>
      <c r="CC168" s="24"/>
      <c r="CD168" s="24"/>
      <c r="CE168" s="25"/>
      <c r="CF168" s="25"/>
      <c r="CG168" s="25"/>
      <c r="CH168" s="25"/>
      <c r="CI168" s="25"/>
      <c r="CJ168" s="25"/>
      <c r="CK168" s="25"/>
      <c r="CL168" s="25"/>
      <c r="CM168" s="25"/>
      <c r="CN168" s="25"/>
      <c r="CO168" s="25"/>
      <c r="CP168" s="25"/>
      <c r="CQ168" s="25"/>
      <c r="CR168" s="25"/>
      <c r="CS168" s="26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4"/>
      <c r="EP168" s="24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4"/>
      <c r="FC168" s="24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4"/>
      <c r="FP168" s="24"/>
      <c r="FQ168" s="24"/>
      <c r="FR168" s="24"/>
      <c r="FS168" s="24"/>
      <c r="FT168" s="24"/>
      <c r="FU168" s="24"/>
      <c r="FV168" s="24"/>
      <c r="FW168" s="24"/>
      <c r="FX168" s="24"/>
      <c r="FY168" s="24"/>
      <c r="FZ168" s="24"/>
      <c r="GA168" s="24"/>
      <c r="GB168" s="24"/>
      <c r="GC168" s="24"/>
      <c r="GD168" s="24"/>
      <c r="GE168" s="24"/>
      <c r="GF168" s="24"/>
      <c r="GG168" s="24"/>
      <c r="GH168" s="24"/>
      <c r="GI168" s="24"/>
      <c r="GJ168" s="24"/>
      <c r="GK168" s="24"/>
      <c r="GL168" s="24"/>
      <c r="GM168" s="24"/>
      <c r="GN168" s="24"/>
      <c r="GO168" s="24"/>
      <c r="GP168" s="24"/>
      <c r="GQ168" s="24"/>
      <c r="GR168" s="24"/>
    </row>
    <row r="169" spans="1:200" s="23" customFormat="1" ht="14.25" customHeight="1">
      <c r="A169" s="20"/>
      <c r="B169" s="21"/>
      <c r="C169" s="22"/>
      <c r="D169" s="22"/>
      <c r="E169" s="22"/>
      <c r="G169" s="22"/>
      <c r="H169" s="22"/>
      <c r="I169" s="22"/>
      <c r="K169" s="22"/>
      <c r="L169" s="22"/>
      <c r="M169" s="22"/>
      <c r="O169" s="22"/>
      <c r="P169" s="22"/>
      <c r="Q169" s="22"/>
      <c r="S169" s="22"/>
      <c r="T169" s="22"/>
      <c r="U169" s="22"/>
      <c r="W169" s="22"/>
      <c r="X169" s="22"/>
      <c r="Y169" s="22"/>
      <c r="AA169" s="22"/>
      <c r="AB169" s="22"/>
      <c r="AC169" s="22"/>
      <c r="AE169" s="24"/>
      <c r="AF169" s="24"/>
      <c r="AG169" s="24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6"/>
      <c r="AW169" s="24"/>
      <c r="AX169" s="20"/>
      <c r="AY169" s="21"/>
      <c r="AZ169" s="22"/>
      <c r="BA169" s="22"/>
      <c r="BB169" s="22"/>
      <c r="BD169" s="22"/>
      <c r="BE169" s="22"/>
      <c r="BF169" s="22"/>
      <c r="BH169" s="22"/>
      <c r="BI169" s="22"/>
      <c r="BJ169" s="22"/>
      <c r="BL169" s="22"/>
      <c r="BM169" s="22"/>
      <c r="BN169" s="22"/>
      <c r="BP169" s="22"/>
      <c r="BQ169" s="22"/>
      <c r="BR169" s="22"/>
      <c r="BT169" s="22"/>
      <c r="BU169" s="22"/>
      <c r="BV169" s="22"/>
      <c r="BX169" s="22"/>
      <c r="BY169" s="22"/>
      <c r="BZ169" s="22"/>
      <c r="CB169" s="24"/>
      <c r="CC169" s="24"/>
      <c r="CD169" s="24"/>
      <c r="CE169" s="25"/>
      <c r="CF169" s="25"/>
      <c r="CG169" s="25"/>
      <c r="CH169" s="25"/>
      <c r="CI169" s="25"/>
      <c r="CJ169" s="25"/>
      <c r="CK169" s="25"/>
      <c r="CL169" s="25"/>
      <c r="CM169" s="25"/>
      <c r="CN169" s="25"/>
      <c r="CO169" s="25"/>
      <c r="CP169" s="25"/>
      <c r="CQ169" s="25"/>
      <c r="CR169" s="25"/>
      <c r="CS169" s="26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4"/>
      <c r="EH169" s="24"/>
      <c r="EI169" s="24"/>
      <c r="EJ169" s="24"/>
      <c r="EK169" s="24"/>
      <c r="EL169" s="24"/>
      <c r="EM169" s="24"/>
      <c r="EN169" s="24"/>
      <c r="EO169" s="24"/>
      <c r="EP169" s="24"/>
      <c r="EQ169" s="24"/>
      <c r="ER169" s="24"/>
      <c r="ES169" s="24"/>
      <c r="ET169" s="24"/>
      <c r="EU169" s="24"/>
      <c r="EV169" s="24"/>
      <c r="EW169" s="24"/>
      <c r="EX169" s="24"/>
      <c r="EY169" s="24"/>
      <c r="EZ169" s="24"/>
      <c r="FA169" s="24"/>
      <c r="FB169" s="24"/>
      <c r="FC169" s="24"/>
      <c r="FD169" s="24"/>
      <c r="FE169" s="24"/>
      <c r="FF169" s="24"/>
      <c r="FG169" s="24"/>
      <c r="FH169" s="24"/>
      <c r="FI169" s="24"/>
      <c r="FJ169" s="24"/>
      <c r="FK169" s="24"/>
      <c r="FL169" s="24"/>
      <c r="FM169" s="24"/>
      <c r="FN169" s="24"/>
      <c r="FO169" s="24"/>
      <c r="FP169" s="24"/>
      <c r="FQ169" s="24"/>
      <c r="FR169" s="24"/>
      <c r="FS169" s="24"/>
      <c r="FT169" s="24"/>
      <c r="FU169" s="24"/>
      <c r="FV169" s="24"/>
      <c r="FW169" s="24"/>
      <c r="FX169" s="24"/>
      <c r="FY169" s="24"/>
      <c r="FZ169" s="24"/>
      <c r="GA169" s="24"/>
      <c r="GB169" s="24"/>
      <c r="GC169" s="24"/>
      <c r="GD169" s="24"/>
      <c r="GE169" s="24"/>
      <c r="GF169" s="24"/>
      <c r="GG169" s="24"/>
      <c r="GH169" s="24"/>
      <c r="GI169" s="24"/>
      <c r="GJ169" s="24"/>
      <c r="GK169" s="24"/>
      <c r="GL169" s="24"/>
      <c r="GM169" s="24"/>
      <c r="GN169" s="24"/>
      <c r="GO169" s="24"/>
      <c r="GP169" s="24"/>
      <c r="GQ169" s="24"/>
      <c r="GR169" s="24"/>
    </row>
    <row r="170" spans="1:200" s="23" customFormat="1" ht="14.25" customHeight="1">
      <c r="A170" s="20"/>
      <c r="B170" s="21"/>
      <c r="C170" s="22"/>
      <c r="D170" s="22"/>
      <c r="E170" s="22"/>
      <c r="G170" s="22"/>
      <c r="H170" s="22"/>
      <c r="I170" s="22"/>
      <c r="K170" s="22"/>
      <c r="L170" s="22"/>
      <c r="M170" s="22"/>
      <c r="O170" s="22"/>
      <c r="P170" s="22"/>
      <c r="Q170" s="22"/>
      <c r="S170" s="22"/>
      <c r="T170" s="22"/>
      <c r="U170" s="22"/>
      <c r="W170" s="22"/>
      <c r="X170" s="22"/>
      <c r="Y170" s="22"/>
      <c r="AA170" s="22"/>
      <c r="AB170" s="22"/>
      <c r="AC170" s="22"/>
      <c r="AE170" s="24"/>
      <c r="AF170" s="24"/>
      <c r="AG170" s="24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6"/>
      <c r="AW170" s="24"/>
      <c r="AX170" s="20"/>
      <c r="AY170" s="21"/>
      <c r="AZ170" s="22"/>
      <c r="BA170" s="22"/>
      <c r="BB170" s="22"/>
      <c r="BD170" s="22"/>
      <c r="BE170" s="22"/>
      <c r="BF170" s="22"/>
      <c r="BH170" s="22"/>
      <c r="BI170" s="22"/>
      <c r="BJ170" s="22"/>
      <c r="BL170" s="22"/>
      <c r="BM170" s="22"/>
      <c r="BN170" s="22"/>
      <c r="BP170" s="22"/>
      <c r="BQ170" s="22"/>
      <c r="BR170" s="22"/>
      <c r="BT170" s="22"/>
      <c r="BU170" s="22"/>
      <c r="BV170" s="22"/>
      <c r="BX170" s="22"/>
      <c r="BY170" s="22"/>
      <c r="BZ170" s="22"/>
      <c r="CB170" s="24"/>
      <c r="CC170" s="24"/>
      <c r="CD170" s="24"/>
      <c r="CE170" s="25"/>
      <c r="CF170" s="25"/>
      <c r="CG170" s="25"/>
      <c r="CH170" s="25"/>
      <c r="CI170" s="25"/>
      <c r="CJ170" s="25"/>
      <c r="CK170" s="25"/>
      <c r="CL170" s="25"/>
      <c r="CM170" s="25"/>
      <c r="CN170" s="25"/>
      <c r="CO170" s="25"/>
      <c r="CP170" s="25"/>
      <c r="CQ170" s="25"/>
      <c r="CR170" s="25"/>
      <c r="CS170" s="26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4"/>
      <c r="EP170" s="24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4"/>
      <c r="FC170" s="24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4"/>
      <c r="FP170" s="24"/>
      <c r="FQ170" s="24"/>
      <c r="FR170" s="24"/>
      <c r="FS170" s="24"/>
      <c r="FT170" s="24"/>
      <c r="FU170" s="24"/>
      <c r="FV170" s="24"/>
      <c r="FW170" s="24"/>
      <c r="FX170" s="24"/>
      <c r="FY170" s="24"/>
      <c r="FZ170" s="24"/>
      <c r="GA170" s="24"/>
      <c r="GB170" s="24"/>
      <c r="GC170" s="24"/>
      <c r="GD170" s="24"/>
      <c r="GE170" s="24"/>
      <c r="GF170" s="24"/>
      <c r="GG170" s="24"/>
      <c r="GH170" s="24"/>
      <c r="GI170" s="24"/>
      <c r="GJ170" s="24"/>
      <c r="GK170" s="24"/>
      <c r="GL170" s="24"/>
      <c r="GM170" s="24"/>
      <c r="GN170" s="24"/>
      <c r="GO170" s="24"/>
      <c r="GP170" s="24"/>
      <c r="GQ170" s="24"/>
      <c r="GR170" s="24"/>
    </row>
    <row r="171" spans="1:200" s="23" customFormat="1" ht="14.25" customHeight="1">
      <c r="A171" s="20"/>
      <c r="B171" s="21"/>
      <c r="C171" s="22"/>
      <c r="D171" s="22"/>
      <c r="E171" s="22"/>
      <c r="G171" s="22"/>
      <c r="H171" s="22"/>
      <c r="I171" s="22"/>
      <c r="K171" s="22"/>
      <c r="L171" s="22"/>
      <c r="M171" s="22"/>
      <c r="O171" s="22"/>
      <c r="P171" s="22"/>
      <c r="Q171" s="22"/>
      <c r="S171" s="22"/>
      <c r="T171" s="22"/>
      <c r="U171" s="22"/>
      <c r="W171" s="22"/>
      <c r="X171" s="22"/>
      <c r="Y171" s="22"/>
      <c r="AA171" s="22"/>
      <c r="AB171" s="22"/>
      <c r="AC171" s="22"/>
      <c r="AE171" s="24"/>
      <c r="AF171" s="24"/>
      <c r="AG171" s="24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6"/>
      <c r="AW171" s="24"/>
      <c r="AX171" s="20"/>
      <c r="AY171" s="21"/>
      <c r="AZ171" s="22"/>
      <c r="BA171" s="22"/>
      <c r="BB171" s="22"/>
      <c r="BD171" s="22"/>
      <c r="BE171" s="22"/>
      <c r="BF171" s="22"/>
      <c r="BH171" s="22"/>
      <c r="BI171" s="22"/>
      <c r="BJ171" s="22"/>
      <c r="BL171" s="22"/>
      <c r="BM171" s="22"/>
      <c r="BN171" s="22"/>
      <c r="BP171" s="22"/>
      <c r="BQ171" s="22"/>
      <c r="BR171" s="22"/>
      <c r="BT171" s="22"/>
      <c r="BU171" s="22"/>
      <c r="BV171" s="22"/>
      <c r="BX171" s="22"/>
      <c r="BY171" s="22"/>
      <c r="BZ171" s="22"/>
      <c r="CB171" s="24"/>
      <c r="CC171" s="24"/>
      <c r="CD171" s="24"/>
      <c r="CE171" s="25"/>
      <c r="CF171" s="25"/>
      <c r="CG171" s="25"/>
      <c r="CH171" s="25"/>
      <c r="CI171" s="25"/>
      <c r="CJ171" s="25"/>
      <c r="CK171" s="25"/>
      <c r="CL171" s="25"/>
      <c r="CM171" s="25"/>
      <c r="CN171" s="25"/>
      <c r="CO171" s="25"/>
      <c r="CP171" s="25"/>
      <c r="CQ171" s="25"/>
      <c r="CR171" s="25"/>
      <c r="CS171" s="26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4"/>
      <c r="EH171" s="24"/>
      <c r="EI171" s="24"/>
      <c r="EJ171" s="24"/>
      <c r="EK171" s="24"/>
      <c r="EL171" s="24"/>
      <c r="EM171" s="24"/>
      <c r="EN171" s="24"/>
      <c r="EO171" s="24"/>
      <c r="EP171" s="24"/>
      <c r="EQ171" s="24"/>
      <c r="ER171" s="24"/>
      <c r="ES171" s="24"/>
      <c r="ET171" s="24"/>
      <c r="EU171" s="24"/>
      <c r="EV171" s="24"/>
      <c r="EW171" s="24"/>
      <c r="EX171" s="24"/>
      <c r="EY171" s="24"/>
      <c r="EZ171" s="24"/>
      <c r="FA171" s="24"/>
      <c r="FB171" s="24"/>
      <c r="FC171" s="24"/>
      <c r="FD171" s="24"/>
      <c r="FE171" s="24"/>
      <c r="FF171" s="24"/>
      <c r="FG171" s="24"/>
      <c r="FH171" s="24"/>
      <c r="FI171" s="24"/>
      <c r="FJ171" s="24"/>
      <c r="FK171" s="24"/>
      <c r="FL171" s="24"/>
      <c r="FM171" s="24"/>
      <c r="FN171" s="24"/>
      <c r="FO171" s="24"/>
      <c r="FP171" s="24"/>
      <c r="FQ171" s="24"/>
      <c r="FR171" s="24"/>
      <c r="FS171" s="24"/>
      <c r="FT171" s="24"/>
      <c r="FU171" s="24"/>
      <c r="FV171" s="24"/>
      <c r="FW171" s="24"/>
      <c r="FX171" s="24"/>
      <c r="FY171" s="24"/>
      <c r="FZ171" s="24"/>
      <c r="GA171" s="24"/>
      <c r="GB171" s="24"/>
      <c r="GC171" s="24"/>
      <c r="GD171" s="24"/>
      <c r="GE171" s="24"/>
      <c r="GF171" s="24"/>
      <c r="GG171" s="24"/>
      <c r="GH171" s="24"/>
      <c r="GI171" s="24"/>
      <c r="GJ171" s="24"/>
      <c r="GK171" s="24"/>
      <c r="GL171" s="24"/>
      <c r="GM171" s="24"/>
      <c r="GN171" s="24"/>
      <c r="GO171" s="24"/>
      <c r="GP171" s="24"/>
      <c r="GQ171" s="24"/>
      <c r="GR171" s="24"/>
    </row>
    <row r="172" spans="1:200" s="23" customFormat="1" ht="14.25" customHeight="1">
      <c r="A172" s="20"/>
      <c r="B172" s="21"/>
      <c r="C172" s="22"/>
      <c r="D172" s="22"/>
      <c r="E172" s="22"/>
      <c r="G172" s="22"/>
      <c r="H172" s="22"/>
      <c r="I172" s="22"/>
      <c r="K172" s="22"/>
      <c r="L172" s="22"/>
      <c r="M172" s="22"/>
      <c r="O172" s="22"/>
      <c r="P172" s="22"/>
      <c r="Q172" s="22"/>
      <c r="S172" s="22"/>
      <c r="T172" s="22"/>
      <c r="U172" s="22"/>
      <c r="W172" s="22"/>
      <c r="X172" s="22"/>
      <c r="Y172" s="22"/>
      <c r="AA172" s="22"/>
      <c r="AB172" s="22"/>
      <c r="AC172" s="22"/>
      <c r="AE172" s="24"/>
      <c r="AF172" s="24"/>
      <c r="AG172" s="24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6"/>
      <c r="AW172" s="24"/>
      <c r="AX172" s="20"/>
      <c r="AY172" s="21"/>
      <c r="AZ172" s="22"/>
      <c r="BA172" s="22"/>
      <c r="BB172" s="22"/>
      <c r="BD172" s="22"/>
      <c r="BE172" s="22"/>
      <c r="BF172" s="22"/>
      <c r="BH172" s="22"/>
      <c r="BI172" s="22"/>
      <c r="BJ172" s="22"/>
      <c r="BL172" s="22"/>
      <c r="BM172" s="22"/>
      <c r="BN172" s="22"/>
      <c r="BP172" s="22"/>
      <c r="BQ172" s="22"/>
      <c r="BR172" s="22"/>
      <c r="BT172" s="22"/>
      <c r="BU172" s="22"/>
      <c r="BV172" s="22"/>
      <c r="BX172" s="22"/>
      <c r="BY172" s="22"/>
      <c r="BZ172" s="22"/>
      <c r="CB172" s="24"/>
      <c r="CC172" s="24"/>
      <c r="CD172" s="24"/>
      <c r="CE172" s="25"/>
      <c r="CF172" s="25"/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6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4"/>
      <c r="EP172" s="24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4"/>
      <c r="FC172" s="24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4"/>
      <c r="FP172" s="24"/>
      <c r="FQ172" s="24"/>
      <c r="FR172" s="24"/>
      <c r="FS172" s="24"/>
      <c r="FT172" s="24"/>
      <c r="FU172" s="24"/>
      <c r="FV172" s="24"/>
      <c r="FW172" s="24"/>
      <c r="FX172" s="24"/>
      <c r="FY172" s="24"/>
      <c r="FZ172" s="24"/>
      <c r="GA172" s="24"/>
      <c r="GB172" s="24"/>
      <c r="GC172" s="24"/>
      <c r="GD172" s="24"/>
      <c r="GE172" s="24"/>
      <c r="GF172" s="24"/>
      <c r="GG172" s="24"/>
      <c r="GH172" s="24"/>
      <c r="GI172" s="24"/>
      <c r="GJ172" s="24"/>
      <c r="GK172" s="24"/>
      <c r="GL172" s="24"/>
      <c r="GM172" s="24"/>
      <c r="GN172" s="24"/>
      <c r="GO172" s="24"/>
      <c r="GP172" s="24"/>
      <c r="GQ172" s="24"/>
      <c r="GR172" s="24"/>
    </row>
    <row r="173" spans="1:200" s="23" customFormat="1" ht="14.25" customHeight="1">
      <c r="A173" s="20"/>
      <c r="B173" s="21"/>
      <c r="C173" s="22"/>
      <c r="D173" s="22"/>
      <c r="E173" s="22"/>
      <c r="G173" s="22"/>
      <c r="H173" s="22"/>
      <c r="I173" s="22"/>
      <c r="K173" s="22"/>
      <c r="L173" s="22"/>
      <c r="M173" s="22"/>
      <c r="O173" s="22"/>
      <c r="P173" s="22"/>
      <c r="Q173" s="22"/>
      <c r="S173" s="22"/>
      <c r="T173" s="22"/>
      <c r="U173" s="22"/>
      <c r="W173" s="22"/>
      <c r="X173" s="22"/>
      <c r="Y173" s="22"/>
      <c r="AA173" s="22"/>
      <c r="AB173" s="22"/>
      <c r="AC173" s="22"/>
      <c r="AE173" s="24"/>
      <c r="AF173" s="24"/>
      <c r="AG173" s="24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6"/>
      <c r="AW173" s="24"/>
      <c r="AX173" s="20"/>
      <c r="AY173" s="21"/>
      <c r="AZ173" s="22"/>
      <c r="BA173" s="22"/>
      <c r="BB173" s="22"/>
      <c r="BD173" s="22"/>
      <c r="BE173" s="22"/>
      <c r="BF173" s="22"/>
      <c r="BH173" s="22"/>
      <c r="BI173" s="22"/>
      <c r="BJ173" s="22"/>
      <c r="BL173" s="22"/>
      <c r="BM173" s="22"/>
      <c r="BN173" s="22"/>
      <c r="BP173" s="22"/>
      <c r="BQ173" s="22"/>
      <c r="BR173" s="22"/>
      <c r="BT173" s="22"/>
      <c r="BU173" s="22"/>
      <c r="BV173" s="22"/>
      <c r="BX173" s="22"/>
      <c r="BY173" s="22"/>
      <c r="BZ173" s="22"/>
      <c r="CB173" s="24"/>
      <c r="CC173" s="24"/>
      <c r="CD173" s="24"/>
      <c r="CE173" s="25"/>
      <c r="CF173" s="25"/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6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24"/>
      <c r="EN173" s="24"/>
      <c r="EO173" s="24"/>
      <c r="EP173" s="24"/>
      <c r="EQ173" s="24"/>
      <c r="ER173" s="24"/>
      <c r="ES173" s="24"/>
      <c r="ET173" s="24"/>
      <c r="EU173" s="24"/>
      <c r="EV173" s="24"/>
      <c r="EW173" s="24"/>
      <c r="EX173" s="24"/>
      <c r="EY173" s="24"/>
      <c r="EZ173" s="24"/>
      <c r="FA173" s="24"/>
      <c r="FB173" s="24"/>
      <c r="FC173" s="24"/>
      <c r="FD173" s="24"/>
      <c r="FE173" s="24"/>
      <c r="FF173" s="24"/>
      <c r="FG173" s="24"/>
      <c r="FH173" s="24"/>
      <c r="FI173" s="24"/>
      <c r="FJ173" s="24"/>
      <c r="FK173" s="24"/>
      <c r="FL173" s="24"/>
      <c r="FM173" s="24"/>
      <c r="FN173" s="24"/>
      <c r="FO173" s="24"/>
      <c r="FP173" s="24"/>
      <c r="FQ173" s="24"/>
      <c r="FR173" s="24"/>
      <c r="FS173" s="24"/>
      <c r="FT173" s="24"/>
      <c r="FU173" s="24"/>
      <c r="FV173" s="24"/>
      <c r="FW173" s="24"/>
      <c r="FX173" s="24"/>
      <c r="FY173" s="24"/>
      <c r="FZ173" s="24"/>
      <c r="GA173" s="24"/>
      <c r="GB173" s="24"/>
      <c r="GC173" s="24"/>
      <c r="GD173" s="24"/>
      <c r="GE173" s="24"/>
      <c r="GF173" s="24"/>
      <c r="GG173" s="24"/>
      <c r="GH173" s="24"/>
      <c r="GI173" s="24"/>
      <c r="GJ173" s="24"/>
      <c r="GK173" s="24"/>
      <c r="GL173" s="24"/>
      <c r="GM173" s="24"/>
      <c r="GN173" s="24"/>
      <c r="GO173" s="24"/>
      <c r="GP173" s="24"/>
      <c r="GQ173" s="24"/>
      <c r="GR173" s="24"/>
    </row>
    <row r="174" spans="1:200" s="23" customFormat="1" ht="14.25" customHeight="1">
      <c r="A174" s="20"/>
      <c r="B174" s="21"/>
      <c r="C174" s="22"/>
      <c r="D174" s="22"/>
      <c r="E174" s="22"/>
      <c r="G174" s="22"/>
      <c r="H174" s="22"/>
      <c r="I174" s="22"/>
      <c r="K174" s="22"/>
      <c r="L174" s="22"/>
      <c r="M174" s="22"/>
      <c r="O174" s="22"/>
      <c r="P174" s="22"/>
      <c r="Q174" s="22"/>
      <c r="S174" s="22"/>
      <c r="T174" s="22"/>
      <c r="U174" s="22"/>
      <c r="W174" s="22"/>
      <c r="X174" s="22"/>
      <c r="Y174" s="22"/>
      <c r="AA174" s="22"/>
      <c r="AB174" s="22"/>
      <c r="AC174" s="22"/>
      <c r="AE174" s="24"/>
      <c r="AF174" s="24"/>
      <c r="AG174" s="24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6"/>
      <c r="AW174" s="24"/>
      <c r="AX174" s="20"/>
      <c r="AY174" s="21"/>
      <c r="AZ174" s="22"/>
      <c r="BA174" s="22"/>
      <c r="BB174" s="22"/>
      <c r="BD174" s="22"/>
      <c r="BE174" s="22"/>
      <c r="BF174" s="22"/>
      <c r="BH174" s="22"/>
      <c r="BI174" s="22"/>
      <c r="BJ174" s="22"/>
      <c r="BL174" s="22"/>
      <c r="BM174" s="22"/>
      <c r="BN174" s="22"/>
      <c r="BP174" s="22"/>
      <c r="BQ174" s="22"/>
      <c r="BR174" s="22"/>
      <c r="BT174" s="22"/>
      <c r="BU174" s="22"/>
      <c r="BV174" s="22"/>
      <c r="BX174" s="22"/>
      <c r="BY174" s="22"/>
      <c r="BZ174" s="22"/>
      <c r="CB174" s="24"/>
      <c r="CC174" s="24"/>
      <c r="CD174" s="24"/>
      <c r="CE174" s="25"/>
      <c r="CF174" s="25"/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6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4"/>
      <c r="EP174" s="24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4"/>
      <c r="FC174" s="24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4"/>
      <c r="FP174" s="24"/>
      <c r="FQ174" s="24"/>
      <c r="FR174" s="24"/>
      <c r="FS174" s="24"/>
      <c r="FT174" s="24"/>
      <c r="FU174" s="24"/>
      <c r="FV174" s="24"/>
      <c r="FW174" s="24"/>
      <c r="FX174" s="24"/>
      <c r="FY174" s="24"/>
      <c r="FZ174" s="24"/>
      <c r="GA174" s="24"/>
      <c r="GB174" s="24"/>
      <c r="GC174" s="24"/>
      <c r="GD174" s="24"/>
      <c r="GE174" s="24"/>
      <c r="GF174" s="24"/>
      <c r="GG174" s="24"/>
      <c r="GH174" s="24"/>
      <c r="GI174" s="24"/>
      <c r="GJ174" s="24"/>
      <c r="GK174" s="24"/>
      <c r="GL174" s="24"/>
      <c r="GM174" s="24"/>
      <c r="GN174" s="24"/>
      <c r="GO174" s="24"/>
      <c r="GP174" s="24"/>
      <c r="GQ174" s="24"/>
      <c r="GR174" s="24"/>
    </row>
    <row r="175" spans="1:200" s="23" customFormat="1" ht="14.25" customHeight="1">
      <c r="A175" s="20"/>
      <c r="B175" s="21"/>
      <c r="C175" s="22"/>
      <c r="D175" s="22"/>
      <c r="E175" s="22"/>
      <c r="G175" s="22"/>
      <c r="H175" s="22"/>
      <c r="I175" s="22"/>
      <c r="K175" s="22"/>
      <c r="L175" s="22"/>
      <c r="M175" s="22"/>
      <c r="O175" s="22"/>
      <c r="P175" s="22"/>
      <c r="Q175" s="22"/>
      <c r="S175" s="22"/>
      <c r="T175" s="22"/>
      <c r="U175" s="22"/>
      <c r="W175" s="22"/>
      <c r="X175" s="22"/>
      <c r="Y175" s="22"/>
      <c r="AA175" s="22"/>
      <c r="AB175" s="22"/>
      <c r="AC175" s="22"/>
      <c r="AE175" s="24"/>
      <c r="AF175" s="24"/>
      <c r="AG175" s="24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6"/>
      <c r="AW175" s="24"/>
      <c r="AX175" s="20"/>
      <c r="AY175" s="21"/>
      <c r="AZ175" s="22"/>
      <c r="BA175" s="22"/>
      <c r="BB175" s="22"/>
      <c r="BD175" s="22"/>
      <c r="BE175" s="22"/>
      <c r="BF175" s="22"/>
      <c r="BH175" s="22"/>
      <c r="BI175" s="22"/>
      <c r="BJ175" s="22"/>
      <c r="BL175" s="22"/>
      <c r="BM175" s="22"/>
      <c r="BN175" s="22"/>
      <c r="BP175" s="22"/>
      <c r="BQ175" s="22"/>
      <c r="BR175" s="22"/>
      <c r="BT175" s="22"/>
      <c r="BU175" s="22"/>
      <c r="BV175" s="22"/>
      <c r="BX175" s="22"/>
      <c r="BY175" s="22"/>
      <c r="BZ175" s="22"/>
      <c r="CB175" s="24"/>
      <c r="CC175" s="24"/>
      <c r="CD175" s="24"/>
      <c r="CE175" s="25"/>
      <c r="CF175" s="25"/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6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24"/>
      <c r="EN175" s="24"/>
      <c r="EO175" s="24"/>
      <c r="EP175" s="24"/>
      <c r="EQ175" s="24"/>
      <c r="ER175" s="24"/>
      <c r="ES175" s="24"/>
      <c r="ET175" s="24"/>
      <c r="EU175" s="24"/>
      <c r="EV175" s="24"/>
      <c r="EW175" s="24"/>
      <c r="EX175" s="24"/>
      <c r="EY175" s="24"/>
      <c r="EZ175" s="24"/>
      <c r="FA175" s="24"/>
      <c r="FB175" s="24"/>
      <c r="FC175" s="24"/>
      <c r="FD175" s="24"/>
      <c r="FE175" s="24"/>
      <c r="FF175" s="24"/>
      <c r="FG175" s="24"/>
      <c r="FH175" s="24"/>
      <c r="FI175" s="24"/>
      <c r="FJ175" s="24"/>
      <c r="FK175" s="24"/>
      <c r="FL175" s="24"/>
      <c r="FM175" s="24"/>
      <c r="FN175" s="24"/>
      <c r="FO175" s="24"/>
      <c r="FP175" s="24"/>
      <c r="FQ175" s="24"/>
      <c r="FR175" s="24"/>
      <c r="FS175" s="24"/>
      <c r="FT175" s="24"/>
      <c r="FU175" s="24"/>
      <c r="FV175" s="24"/>
      <c r="FW175" s="24"/>
      <c r="FX175" s="24"/>
      <c r="FY175" s="24"/>
      <c r="FZ175" s="24"/>
      <c r="GA175" s="24"/>
      <c r="GB175" s="24"/>
      <c r="GC175" s="24"/>
      <c r="GD175" s="24"/>
      <c r="GE175" s="24"/>
      <c r="GF175" s="24"/>
      <c r="GG175" s="24"/>
      <c r="GH175" s="24"/>
      <c r="GI175" s="24"/>
      <c r="GJ175" s="24"/>
      <c r="GK175" s="24"/>
      <c r="GL175" s="24"/>
      <c r="GM175" s="24"/>
      <c r="GN175" s="24"/>
      <c r="GO175" s="24"/>
      <c r="GP175" s="24"/>
      <c r="GQ175" s="24"/>
      <c r="GR175" s="24"/>
    </row>
    <row r="176" spans="1:200" s="23" customFormat="1" ht="14.25" customHeight="1">
      <c r="A176" s="20"/>
      <c r="B176" s="21"/>
      <c r="C176" s="22"/>
      <c r="D176" s="22"/>
      <c r="E176" s="22"/>
      <c r="G176" s="22"/>
      <c r="H176" s="22"/>
      <c r="I176" s="22"/>
      <c r="K176" s="22"/>
      <c r="L176" s="22"/>
      <c r="M176" s="22"/>
      <c r="O176" s="22"/>
      <c r="P176" s="22"/>
      <c r="Q176" s="22"/>
      <c r="S176" s="22"/>
      <c r="T176" s="22"/>
      <c r="U176" s="22"/>
      <c r="W176" s="22"/>
      <c r="X176" s="22"/>
      <c r="Y176" s="22"/>
      <c r="AA176" s="22"/>
      <c r="AB176" s="22"/>
      <c r="AC176" s="22"/>
      <c r="AE176" s="24"/>
      <c r="AF176" s="24"/>
      <c r="AG176" s="24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6"/>
      <c r="AW176" s="24"/>
      <c r="AX176" s="20"/>
      <c r="AY176" s="21"/>
      <c r="AZ176" s="22"/>
      <c r="BA176" s="22"/>
      <c r="BB176" s="22"/>
      <c r="BD176" s="22"/>
      <c r="BE176" s="22"/>
      <c r="BF176" s="22"/>
      <c r="BH176" s="22"/>
      <c r="BI176" s="22"/>
      <c r="BJ176" s="22"/>
      <c r="BL176" s="22"/>
      <c r="BM176" s="22"/>
      <c r="BN176" s="22"/>
      <c r="BP176" s="22"/>
      <c r="BQ176" s="22"/>
      <c r="BR176" s="22"/>
      <c r="BT176" s="22"/>
      <c r="BU176" s="22"/>
      <c r="BV176" s="22"/>
      <c r="BX176" s="22"/>
      <c r="BY176" s="22"/>
      <c r="BZ176" s="22"/>
      <c r="CB176" s="24"/>
      <c r="CC176" s="24"/>
      <c r="CD176" s="24"/>
      <c r="CE176" s="25"/>
      <c r="CF176" s="25"/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6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4"/>
      <c r="EP176" s="24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4"/>
      <c r="FC176" s="24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4"/>
      <c r="FP176" s="24"/>
      <c r="FQ176" s="24"/>
      <c r="FR176" s="24"/>
      <c r="FS176" s="24"/>
      <c r="FT176" s="24"/>
      <c r="FU176" s="24"/>
      <c r="FV176" s="24"/>
      <c r="FW176" s="24"/>
      <c r="FX176" s="24"/>
      <c r="FY176" s="24"/>
      <c r="FZ176" s="24"/>
      <c r="GA176" s="24"/>
      <c r="GB176" s="24"/>
      <c r="GC176" s="24"/>
      <c r="GD176" s="24"/>
      <c r="GE176" s="24"/>
      <c r="GF176" s="24"/>
      <c r="GG176" s="24"/>
      <c r="GH176" s="24"/>
      <c r="GI176" s="24"/>
      <c r="GJ176" s="24"/>
      <c r="GK176" s="24"/>
      <c r="GL176" s="24"/>
      <c r="GM176" s="24"/>
      <c r="GN176" s="24"/>
      <c r="GO176" s="24"/>
      <c r="GP176" s="24"/>
      <c r="GQ176" s="24"/>
      <c r="GR176" s="24"/>
    </row>
    <row r="177" spans="1:200" s="23" customFormat="1" ht="14.25" customHeight="1">
      <c r="A177" s="20"/>
      <c r="B177" s="21"/>
      <c r="C177" s="22"/>
      <c r="D177" s="22"/>
      <c r="E177" s="22"/>
      <c r="G177" s="22"/>
      <c r="H177" s="22"/>
      <c r="I177" s="22"/>
      <c r="K177" s="22"/>
      <c r="L177" s="22"/>
      <c r="M177" s="22"/>
      <c r="O177" s="22"/>
      <c r="P177" s="22"/>
      <c r="Q177" s="22"/>
      <c r="S177" s="22"/>
      <c r="T177" s="22"/>
      <c r="U177" s="22"/>
      <c r="W177" s="22"/>
      <c r="X177" s="22"/>
      <c r="Y177" s="22"/>
      <c r="AA177" s="22"/>
      <c r="AB177" s="22"/>
      <c r="AC177" s="22"/>
      <c r="AE177" s="24"/>
      <c r="AF177" s="24"/>
      <c r="AG177" s="24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6"/>
      <c r="AW177" s="24"/>
      <c r="AX177" s="20"/>
      <c r="AY177" s="21"/>
      <c r="AZ177" s="22"/>
      <c r="BA177" s="22"/>
      <c r="BB177" s="22"/>
      <c r="BD177" s="22"/>
      <c r="BE177" s="22"/>
      <c r="BF177" s="22"/>
      <c r="BH177" s="22"/>
      <c r="BI177" s="22"/>
      <c r="BJ177" s="22"/>
      <c r="BL177" s="22"/>
      <c r="BM177" s="22"/>
      <c r="BN177" s="22"/>
      <c r="BP177" s="22"/>
      <c r="BQ177" s="22"/>
      <c r="BR177" s="22"/>
      <c r="BT177" s="22"/>
      <c r="BU177" s="22"/>
      <c r="BV177" s="22"/>
      <c r="BX177" s="22"/>
      <c r="BY177" s="22"/>
      <c r="BZ177" s="22"/>
      <c r="CB177" s="24"/>
      <c r="CC177" s="24"/>
      <c r="CD177" s="24"/>
      <c r="CE177" s="25"/>
      <c r="CF177" s="25"/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6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24"/>
      <c r="EN177" s="24"/>
      <c r="EO177" s="24"/>
      <c r="EP177" s="24"/>
      <c r="EQ177" s="24"/>
      <c r="ER177" s="24"/>
      <c r="ES177" s="24"/>
      <c r="ET177" s="24"/>
      <c r="EU177" s="24"/>
      <c r="EV177" s="24"/>
      <c r="EW177" s="24"/>
      <c r="EX177" s="24"/>
      <c r="EY177" s="24"/>
      <c r="EZ177" s="24"/>
      <c r="FA177" s="24"/>
      <c r="FB177" s="24"/>
      <c r="FC177" s="24"/>
      <c r="FD177" s="24"/>
      <c r="FE177" s="24"/>
      <c r="FF177" s="24"/>
      <c r="FG177" s="24"/>
      <c r="FH177" s="24"/>
      <c r="FI177" s="24"/>
      <c r="FJ177" s="24"/>
      <c r="FK177" s="24"/>
      <c r="FL177" s="24"/>
      <c r="FM177" s="24"/>
      <c r="FN177" s="24"/>
      <c r="FO177" s="24"/>
      <c r="FP177" s="24"/>
      <c r="FQ177" s="24"/>
      <c r="FR177" s="24"/>
      <c r="FS177" s="24"/>
      <c r="FT177" s="24"/>
      <c r="FU177" s="24"/>
      <c r="FV177" s="24"/>
      <c r="FW177" s="24"/>
      <c r="FX177" s="24"/>
      <c r="FY177" s="24"/>
      <c r="FZ177" s="24"/>
      <c r="GA177" s="24"/>
      <c r="GB177" s="24"/>
      <c r="GC177" s="24"/>
      <c r="GD177" s="24"/>
      <c r="GE177" s="24"/>
      <c r="GF177" s="24"/>
      <c r="GG177" s="24"/>
      <c r="GH177" s="24"/>
      <c r="GI177" s="24"/>
      <c r="GJ177" s="24"/>
      <c r="GK177" s="24"/>
      <c r="GL177" s="24"/>
      <c r="GM177" s="24"/>
      <c r="GN177" s="24"/>
      <c r="GO177" s="24"/>
      <c r="GP177" s="24"/>
      <c r="GQ177" s="24"/>
      <c r="GR177" s="24"/>
    </row>
    <row r="178" spans="1:200" s="23" customFormat="1" ht="14.25" customHeight="1">
      <c r="A178" s="20"/>
      <c r="B178" s="21"/>
      <c r="C178" s="22"/>
      <c r="D178" s="22"/>
      <c r="E178" s="22"/>
      <c r="G178" s="22"/>
      <c r="H178" s="22"/>
      <c r="I178" s="22"/>
      <c r="K178" s="22"/>
      <c r="L178" s="22"/>
      <c r="M178" s="22"/>
      <c r="O178" s="22"/>
      <c r="P178" s="22"/>
      <c r="Q178" s="22"/>
      <c r="S178" s="22"/>
      <c r="T178" s="22"/>
      <c r="U178" s="22"/>
      <c r="W178" s="22"/>
      <c r="X178" s="22"/>
      <c r="Y178" s="22"/>
      <c r="AA178" s="22"/>
      <c r="AB178" s="22"/>
      <c r="AC178" s="22"/>
      <c r="AE178" s="24"/>
      <c r="AF178" s="24"/>
      <c r="AG178" s="24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6"/>
      <c r="AW178" s="24"/>
      <c r="AX178" s="20"/>
      <c r="AY178" s="21"/>
      <c r="AZ178" s="22"/>
      <c r="BA178" s="22"/>
      <c r="BB178" s="22"/>
      <c r="BD178" s="22"/>
      <c r="BE178" s="22"/>
      <c r="BF178" s="22"/>
      <c r="BH178" s="22"/>
      <c r="BI178" s="22"/>
      <c r="BJ178" s="22"/>
      <c r="BL178" s="22"/>
      <c r="BM178" s="22"/>
      <c r="BN178" s="22"/>
      <c r="BP178" s="22"/>
      <c r="BQ178" s="22"/>
      <c r="BR178" s="22"/>
      <c r="BT178" s="22"/>
      <c r="BU178" s="22"/>
      <c r="BV178" s="22"/>
      <c r="BX178" s="22"/>
      <c r="BY178" s="22"/>
      <c r="BZ178" s="22"/>
      <c r="CB178" s="24"/>
      <c r="CC178" s="24"/>
      <c r="CD178" s="24"/>
      <c r="CE178" s="25"/>
      <c r="CF178" s="25"/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6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4"/>
      <c r="EP178" s="24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4"/>
      <c r="FC178" s="24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4"/>
      <c r="FP178" s="24"/>
      <c r="FQ178" s="24"/>
      <c r="FR178" s="24"/>
      <c r="FS178" s="24"/>
      <c r="FT178" s="24"/>
      <c r="FU178" s="24"/>
      <c r="FV178" s="24"/>
      <c r="FW178" s="24"/>
      <c r="FX178" s="24"/>
      <c r="FY178" s="24"/>
      <c r="FZ178" s="24"/>
      <c r="GA178" s="24"/>
      <c r="GB178" s="24"/>
      <c r="GC178" s="24"/>
      <c r="GD178" s="24"/>
      <c r="GE178" s="24"/>
      <c r="GF178" s="24"/>
      <c r="GG178" s="24"/>
      <c r="GH178" s="24"/>
      <c r="GI178" s="24"/>
      <c r="GJ178" s="24"/>
      <c r="GK178" s="24"/>
      <c r="GL178" s="24"/>
      <c r="GM178" s="24"/>
      <c r="GN178" s="24"/>
      <c r="GO178" s="24"/>
      <c r="GP178" s="24"/>
      <c r="GQ178" s="24"/>
      <c r="GR178" s="24"/>
    </row>
    <row r="179" spans="1:200" s="23" customFormat="1" ht="14.25" customHeight="1">
      <c r="A179" s="20"/>
      <c r="B179" s="21"/>
      <c r="C179" s="22"/>
      <c r="D179" s="22"/>
      <c r="E179" s="22"/>
      <c r="G179" s="22"/>
      <c r="H179" s="22"/>
      <c r="I179" s="22"/>
      <c r="K179" s="22"/>
      <c r="L179" s="22"/>
      <c r="M179" s="22"/>
      <c r="O179" s="22"/>
      <c r="P179" s="22"/>
      <c r="Q179" s="22"/>
      <c r="S179" s="22"/>
      <c r="T179" s="22"/>
      <c r="U179" s="22"/>
      <c r="W179" s="22"/>
      <c r="X179" s="22"/>
      <c r="Y179" s="22"/>
      <c r="AA179" s="22"/>
      <c r="AB179" s="22"/>
      <c r="AC179" s="22"/>
      <c r="AE179" s="24"/>
      <c r="AF179" s="24"/>
      <c r="AG179" s="24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6"/>
      <c r="AW179" s="24"/>
      <c r="AX179" s="20"/>
      <c r="AY179" s="21"/>
      <c r="AZ179" s="22"/>
      <c r="BA179" s="22"/>
      <c r="BB179" s="22"/>
      <c r="BD179" s="22"/>
      <c r="BE179" s="22"/>
      <c r="BF179" s="22"/>
      <c r="BH179" s="22"/>
      <c r="BI179" s="22"/>
      <c r="BJ179" s="22"/>
      <c r="BL179" s="22"/>
      <c r="BM179" s="22"/>
      <c r="BN179" s="22"/>
      <c r="BP179" s="22"/>
      <c r="BQ179" s="22"/>
      <c r="BR179" s="22"/>
      <c r="BT179" s="22"/>
      <c r="BU179" s="22"/>
      <c r="BV179" s="22"/>
      <c r="BX179" s="22"/>
      <c r="BY179" s="22"/>
      <c r="BZ179" s="22"/>
      <c r="CB179" s="24"/>
      <c r="CC179" s="24"/>
      <c r="CD179" s="24"/>
      <c r="CE179" s="25"/>
      <c r="CF179" s="25"/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6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24"/>
      <c r="EN179" s="24"/>
      <c r="EO179" s="24"/>
      <c r="EP179" s="24"/>
      <c r="EQ179" s="24"/>
      <c r="ER179" s="24"/>
      <c r="ES179" s="24"/>
      <c r="ET179" s="24"/>
      <c r="EU179" s="24"/>
      <c r="EV179" s="24"/>
      <c r="EW179" s="24"/>
      <c r="EX179" s="24"/>
      <c r="EY179" s="24"/>
      <c r="EZ179" s="24"/>
      <c r="FA179" s="24"/>
      <c r="FB179" s="24"/>
      <c r="FC179" s="24"/>
      <c r="FD179" s="24"/>
      <c r="FE179" s="24"/>
      <c r="FF179" s="24"/>
      <c r="FG179" s="24"/>
      <c r="FH179" s="24"/>
      <c r="FI179" s="24"/>
      <c r="FJ179" s="24"/>
      <c r="FK179" s="24"/>
      <c r="FL179" s="24"/>
      <c r="FM179" s="24"/>
      <c r="FN179" s="24"/>
      <c r="FO179" s="24"/>
      <c r="FP179" s="24"/>
      <c r="FQ179" s="24"/>
      <c r="FR179" s="24"/>
      <c r="FS179" s="24"/>
      <c r="FT179" s="24"/>
      <c r="FU179" s="24"/>
      <c r="FV179" s="24"/>
      <c r="FW179" s="24"/>
      <c r="FX179" s="24"/>
      <c r="FY179" s="24"/>
      <c r="FZ179" s="24"/>
      <c r="GA179" s="24"/>
      <c r="GB179" s="24"/>
      <c r="GC179" s="24"/>
      <c r="GD179" s="24"/>
      <c r="GE179" s="24"/>
      <c r="GF179" s="24"/>
      <c r="GG179" s="24"/>
      <c r="GH179" s="24"/>
      <c r="GI179" s="24"/>
      <c r="GJ179" s="24"/>
      <c r="GK179" s="24"/>
      <c r="GL179" s="24"/>
      <c r="GM179" s="24"/>
      <c r="GN179" s="24"/>
      <c r="GO179" s="24"/>
      <c r="GP179" s="24"/>
      <c r="GQ179" s="24"/>
      <c r="GR179" s="24"/>
    </row>
    <row r="180" spans="1:200" s="23" customFormat="1" ht="14.25" customHeight="1">
      <c r="A180" s="20"/>
      <c r="B180" s="21"/>
      <c r="C180" s="22"/>
      <c r="D180" s="22"/>
      <c r="E180" s="22"/>
      <c r="G180" s="22"/>
      <c r="H180" s="22"/>
      <c r="I180" s="22"/>
      <c r="K180" s="22"/>
      <c r="L180" s="22"/>
      <c r="M180" s="22"/>
      <c r="O180" s="22"/>
      <c r="P180" s="22"/>
      <c r="Q180" s="22"/>
      <c r="S180" s="22"/>
      <c r="T180" s="22"/>
      <c r="U180" s="22"/>
      <c r="W180" s="22"/>
      <c r="X180" s="22"/>
      <c r="Y180" s="22"/>
      <c r="AA180" s="22"/>
      <c r="AB180" s="22"/>
      <c r="AC180" s="22"/>
      <c r="AE180" s="24"/>
      <c r="AF180" s="24"/>
      <c r="AG180" s="24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6"/>
      <c r="AW180" s="24"/>
      <c r="AX180" s="20"/>
      <c r="AY180" s="21"/>
      <c r="AZ180" s="22"/>
      <c r="BA180" s="22"/>
      <c r="BB180" s="22"/>
      <c r="BD180" s="22"/>
      <c r="BE180" s="22"/>
      <c r="BF180" s="22"/>
      <c r="BH180" s="22"/>
      <c r="BI180" s="22"/>
      <c r="BJ180" s="22"/>
      <c r="BL180" s="22"/>
      <c r="BM180" s="22"/>
      <c r="BN180" s="22"/>
      <c r="BP180" s="22"/>
      <c r="BQ180" s="22"/>
      <c r="BR180" s="22"/>
      <c r="BT180" s="22"/>
      <c r="BU180" s="22"/>
      <c r="BV180" s="22"/>
      <c r="BX180" s="22"/>
      <c r="BY180" s="22"/>
      <c r="BZ180" s="22"/>
      <c r="CB180" s="24"/>
      <c r="CC180" s="24"/>
      <c r="CD180" s="24"/>
      <c r="CE180" s="25"/>
      <c r="CF180" s="25"/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6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4"/>
      <c r="EP180" s="24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4"/>
      <c r="FC180" s="24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4"/>
      <c r="FP180" s="24"/>
      <c r="FQ180" s="24"/>
      <c r="FR180" s="24"/>
      <c r="FS180" s="24"/>
      <c r="FT180" s="24"/>
      <c r="FU180" s="24"/>
      <c r="FV180" s="24"/>
      <c r="FW180" s="24"/>
      <c r="FX180" s="24"/>
      <c r="FY180" s="24"/>
      <c r="FZ180" s="24"/>
      <c r="GA180" s="24"/>
      <c r="GB180" s="24"/>
      <c r="GC180" s="24"/>
      <c r="GD180" s="24"/>
      <c r="GE180" s="24"/>
      <c r="GF180" s="24"/>
      <c r="GG180" s="24"/>
      <c r="GH180" s="24"/>
      <c r="GI180" s="24"/>
      <c r="GJ180" s="24"/>
      <c r="GK180" s="24"/>
      <c r="GL180" s="24"/>
      <c r="GM180" s="24"/>
      <c r="GN180" s="24"/>
      <c r="GO180" s="24"/>
      <c r="GP180" s="24"/>
      <c r="GQ180" s="24"/>
      <c r="GR180" s="24"/>
    </row>
    <row r="181" spans="1:200" s="23" customFormat="1" ht="14.25" customHeight="1">
      <c r="A181" s="20"/>
      <c r="B181" s="21"/>
      <c r="C181" s="22"/>
      <c r="D181" s="22"/>
      <c r="E181" s="22"/>
      <c r="G181" s="22"/>
      <c r="H181" s="22"/>
      <c r="I181" s="22"/>
      <c r="K181" s="22"/>
      <c r="L181" s="22"/>
      <c r="M181" s="22"/>
      <c r="O181" s="22"/>
      <c r="P181" s="22"/>
      <c r="Q181" s="22"/>
      <c r="S181" s="22"/>
      <c r="T181" s="22"/>
      <c r="U181" s="22"/>
      <c r="W181" s="22"/>
      <c r="X181" s="22"/>
      <c r="Y181" s="22"/>
      <c r="AA181" s="22"/>
      <c r="AB181" s="22"/>
      <c r="AC181" s="22"/>
      <c r="AE181" s="24"/>
      <c r="AF181" s="24"/>
      <c r="AG181" s="24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6"/>
      <c r="AW181" s="24"/>
      <c r="AX181" s="20"/>
      <c r="AY181" s="21"/>
      <c r="AZ181" s="22"/>
      <c r="BA181" s="22"/>
      <c r="BB181" s="22"/>
      <c r="BD181" s="22"/>
      <c r="BE181" s="22"/>
      <c r="BF181" s="22"/>
      <c r="BH181" s="22"/>
      <c r="BI181" s="22"/>
      <c r="BJ181" s="22"/>
      <c r="BL181" s="22"/>
      <c r="BM181" s="22"/>
      <c r="BN181" s="22"/>
      <c r="BP181" s="22"/>
      <c r="BQ181" s="22"/>
      <c r="BR181" s="22"/>
      <c r="BT181" s="22"/>
      <c r="BU181" s="22"/>
      <c r="BV181" s="22"/>
      <c r="BX181" s="22"/>
      <c r="BY181" s="22"/>
      <c r="BZ181" s="22"/>
      <c r="CB181" s="24"/>
      <c r="CC181" s="24"/>
      <c r="CD181" s="24"/>
      <c r="CE181" s="25"/>
      <c r="CF181" s="25"/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6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24"/>
      <c r="EN181" s="24"/>
      <c r="EO181" s="24"/>
      <c r="EP181" s="24"/>
      <c r="EQ181" s="24"/>
      <c r="ER181" s="24"/>
      <c r="ES181" s="24"/>
      <c r="ET181" s="24"/>
      <c r="EU181" s="24"/>
      <c r="EV181" s="24"/>
      <c r="EW181" s="24"/>
      <c r="EX181" s="24"/>
      <c r="EY181" s="24"/>
      <c r="EZ181" s="24"/>
      <c r="FA181" s="24"/>
      <c r="FB181" s="24"/>
      <c r="FC181" s="24"/>
      <c r="FD181" s="24"/>
      <c r="FE181" s="24"/>
      <c r="FF181" s="24"/>
      <c r="FG181" s="24"/>
      <c r="FH181" s="24"/>
      <c r="FI181" s="24"/>
      <c r="FJ181" s="24"/>
      <c r="FK181" s="24"/>
      <c r="FL181" s="24"/>
      <c r="FM181" s="24"/>
      <c r="FN181" s="24"/>
      <c r="FO181" s="24"/>
      <c r="FP181" s="24"/>
      <c r="FQ181" s="24"/>
      <c r="FR181" s="24"/>
      <c r="FS181" s="24"/>
      <c r="FT181" s="24"/>
      <c r="FU181" s="24"/>
      <c r="FV181" s="24"/>
      <c r="FW181" s="24"/>
      <c r="FX181" s="24"/>
      <c r="FY181" s="24"/>
      <c r="FZ181" s="24"/>
      <c r="GA181" s="24"/>
      <c r="GB181" s="24"/>
      <c r="GC181" s="24"/>
      <c r="GD181" s="24"/>
      <c r="GE181" s="24"/>
      <c r="GF181" s="24"/>
      <c r="GG181" s="24"/>
      <c r="GH181" s="24"/>
      <c r="GI181" s="24"/>
      <c r="GJ181" s="24"/>
      <c r="GK181" s="24"/>
      <c r="GL181" s="24"/>
      <c r="GM181" s="24"/>
      <c r="GN181" s="24"/>
      <c r="GO181" s="24"/>
      <c r="GP181" s="24"/>
      <c r="GQ181" s="24"/>
      <c r="GR181" s="24"/>
    </row>
    <row r="182" spans="1:200" s="23" customFormat="1" ht="14.25" customHeight="1">
      <c r="A182" s="20"/>
      <c r="B182" s="21"/>
      <c r="C182" s="22"/>
      <c r="D182" s="22"/>
      <c r="E182" s="22"/>
      <c r="G182" s="22"/>
      <c r="H182" s="22"/>
      <c r="I182" s="22"/>
      <c r="K182" s="22"/>
      <c r="L182" s="22"/>
      <c r="M182" s="22"/>
      <c r="O182" s="22"/>
      <c r="P182" s="22"/>
      <c r="Q182" s="22"/>
      <c r="S182" s="22"/>
      <c r="T182" s="22"/>
      <c r="U182" s="22"/>
      <c r="W182" s="22"/>
      <c r="X182" s="22"/>
      <c r="Y182" s="22"/>
      <c r="AA182" s="22"/>
      <c r="AB182" s="22"/>
      <c r="AC182" s="22"/>
      <c r="AE182" s="24"/>
      <c r="AF182" s="24"/>
      <c r="AG182" s="24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6"/>
      <c r="AW182" s="24"/>
      <c r="AX182" s="20"/>
      <c r="AY182" s="21"/>
      <c r="AZ182" s="22"/>
      <c r="BA182" s="22"/>
      <c r="BB182" s="22"/>
      <c r="BD182" s="22"/>
      <c r="BE182" s="22"/>
      <c r="BF182" s="22"/>
      <c r="BH182" s="22"/>
      <c r="BI182" s="22"/>
      <c r="BJ182" s="22"/>
      <c r="BL182" s="22"/>
      <c r="BM182" s="22"/>
      <c r="BN182" s="22"/>
      <c r="BP182" s="22"/>
      <c r="BQ182" s="22"/>
      <c r="BR182" s="22"/>
      <c r="BT182" s="22"/>
      <c r="BU182" s="22"/>
      <c r="BV182" s="22"/>
      <c r="BX182" s="22"/>
      <c r="BY182" s="22"/>
      <c r="BZ182" s="22"/>
      <c r="CB182" s="24"/>
      <c r="CC182" s="24"/>
      <c r="CD182" s="24"/>
      <c r="CE182" s="25"/>
      <c r="CF182" s="25"/>
      <c r="CG182" s="25"/>
      <c r="CH182" s="25"/>
      <c r="CI182" s="25"/>
      <c r="CJ182" s="25"/>
      <c r="CK182" s="25"/>
      <c r="CL182" s="25"/>
      <c r="CM182" s="25"/>
      <c r="CN182" s="25"/>
      <c r="CO182" s="25"/>
      <c r="CP182" s="25"/>
      <c r="CQ182" s="25"/>
      <c r="CR182" s="25"/>
      <c r="CS182" s="26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4"/>
      <c r="EP182" s="24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4"/>
      <c r="FC182" s="24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4"/>
      <c r="FP182" s="24"/>
      <c r="FQ182" s="24"/>
      <c r="FR182" s="24"/>
      <c r="FS182" s="24"/>
      <c r="FT182" s="24"/>
      <c r="FU182" s="24"/>
      <c r="FV182" s="24"/>
      <c r="FW182" s="24"/>
      <c r="FX182" s="24"/>
      <c r="FY182" s="24"/>
      <c r="FZ182" s="24"/>
      <c r="GA182" s="24"/>
      <c r="GB182" s="24"/>
      <c r="GC182" s="24"/>
      <c r="GD182" s="24"/>
      <c r="GE182" s="24"/>
      <c r="GF182" s="24"/>
      <c r="GG182" s="24"/>
      <c r="GH182" s="24"/>
      <c r="GI182" s="24"/>
      <c r="GJ182" s="24"/>
      <c r="GK182" s="24"/>
      <c r="GL182" s="24"/>
      <c r="GM182" s="24"/>
      <c r="GN182" s="24"/>
      <c r="GO182" s="24"/>
      <c r="GP182" s="24"/>
      <c r="GQ182" s="24"/>
      <c r="GR182" s="24"/>
    </row>
    <row r="183" spans="1:200" s="23" customFormat="1" ht="14.25" customHeight="1">
      <c r="A183" s="20"/>
      <c r="B183" s="21"/>
      <c r="C183" s="22"/>
      <c r="D183" s="22"/>
      <c r="E183" s="22"/>
      <c r="G183" s="22"/>
      <c r="H183" s="22"/>
      <c r="I183" s="22"/>
      <c r="K183" s="22"/>
      <c r="L183" s="22"/>
      <c r="M183" s="22"/>
      <c r="O183" s="22"/>
      <c r="P183" s="22"/>
      <c r="Q183" s="22"/>
      <c r="S183" s="22"/>
      <c r="T183" s="22"/>
      <c r="U183" s="22"/>
      <c r="W183" s="22"/>
      <c r="X183" s="22"/>
      <c r="Y183" s="22"/>
      <c r="AA183" s="22"/>
      <c r="AB183" s="22"/>
      <c r="AC183" s="22"/>
      <c r="AE183" s="24"/>
      <c r="AF183" s="24"/>
      <c r="AG183" s="24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6"/>
      <c r="AW183" s="24"/>
      <c r="AX183" s="20"/>
      <c r="AY183" s="21"/>
      <c r="AZ183" s="22"/>
      <c r="BA183" s="22"/>
      <c r="BB183" s="22"/>
      <c r="BD183" s="22"/>
      <c r="BE183" s="22"/>
      <c r="BF183" s="22"/>
      <c r="BH183" s="22"/>
      <c r="BI183" s="22"/>
      <c r="BJ183" s="22"/>
      <c r="BL183" s="22"/>
      <c r="BM183" s="22"/>
      <c r="BN183" s="22"/>
      <c r="BP183" s="22"/>
      <c r="BQ183" s="22"/>
      <c r="BR183" s="22"/>
      <c r="BT183" s="22"/>
      <c r="BU183" s="22"/>
      <c r="BV183" s="22"/>
      <c r="BX183" s="22"/>
      <c r="BY183" s="22"/>
      <c r="BZ183" s="22"/>
      <c r="CB183" s="24"/>
      <c r="CC183" s="24"/>
      <c r="CD183" s="24"/>
      <c r="CE183" s="25"/>
      <c r="CF183" s="25"/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6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24"/>
      <c r="EN183" s="24"/>
      <c r="EO183" s="24"/>
      <c r="EP183" s="24"/>
      <c r="EQ183" s="24"/>
      <c r="ER183" s="24"/>
      <c r="ES183" s="24"/>
      <c r="ET183" s="24"/>
      <c r="EU183" s="24"/>
      <c r="EV183" s="24"/>
      <c r="EW183" s="24"/>
      <c r="EX183" s="24"/>
      <c r="EY183" s="24"/>
      <c r="EZ183" s="24"/>
      <c r="FA183" s="24"/>
      <c r="FB183" s="24"/>
      <c r="FC183" s="24"/>
      <c r="FD183" s="24"/>
      <c r="FE183" s="24"/>
      <c r="FF183" s="24"/>
      <c r="FG183" s="24"/>
      <c r="FH183" s="24"/>
      <c r="FI183" s="24"/>
      <c r="FJ183" s="24"/>
      <c r="FK183" s="24"/>
      <c r="FL183" s="24"/>
      <c r="FM183" s="24"/>
      <c r="FN183" s="24"/>
      <c r="FO183" s="24"/>
      <c r="FP183" s="24"/>
      <c r="FQ183" s="24"/>
      <c r="FR183" s="24"/>
      <c r="FS183" s="24"/>
      <c r="FT183" s="24"/>
      <c r="FU183" s="24"/>
      <c r="FV183" s="24"/>
      <c r="FW183" s="24"/>
      <c r="FX183" s="24"/>
      <c r="FY183" s="24"/>
      <c r="FZ183" s="24"/>
      <c r="GA183" s="24"/>
      <c r="GB183" s="24"/>
      <c r="GC183" s="24"/>
      <c r="GD183" s="24"/>
      <c r="GE183" s="24"/>
      <c r="GF183" s="24"/>
      <c r="GG183" s="24"/>
      <c r="GH183" s="24"/>
      <c r="GI183" s="24"/>
      <c r="GJ183" s="24"/>
      <c r="GK183" s="24"/>
      <c r="GL183" s="24"/>
      <c r="GM183" s="24"/>
      <c r="GN183" s="24"/>
      <c r="GO183" s="24"/>
      <c r="GP183" s="24"/>
      <c r="GQ183" s="24"/>
      <c r="GR183" s="24"/>
    </row>
    <row r="184" spans="1:200" s="23" customFormat="1" ht="14.25" customHeight="1">
      <c r="A184" s="20"/>
      <c r="B184" s="21"/>
      <c r="C184" s="22"/>
      <c r="D184" s="22"/>
      <c r="E184" s="22"/>
      <c r="G184" s="22"/>
      <c r="H184" s="22"/>
      <c r="I184" s="22"/>
      <c r="K184" s="22"/>
      <c r="L184" s="22"/>
      <c r="M184" s="22"/>
      <c r="O184" s="22"/>
      <c r="P184" s="22"/>
      <c r="Q184" s="22"/>
      <c r="S184" s="22"/>
      <c r="T184" s="22"/>
      <c r="U184" s="22"/>
      <c r="W184" s="22"/>
      <c r="X184" s="22"/>
      <c r="Y184" s="22"/>
      <c r="AA184" s="22"/>
      <c r="AB184" s="22"/>
      <c r="AC184" s="22"/>
      <c r="AE184" s="24"/>
      <c r="AF184" s="24"/>
      <c r="AG184" s="24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6"/>
      <c r="AW184" s="24"/>
      <c r="AX184" s="20"/>
      <c r="AY184" s="21"/>
      <c r="AZ184" s="22"/>
      <c r="BA184" s="22"/>
      <c r="BB184" s="22"/>
      <c r="BD184" s="22"/>
      <c r="BE184" s="22"/>
      <c r="BF184" s="22"/>
      <c r="BH184" s="22"/>
      <c r="BI184" s="22"/>
      <c r="BJ184" s="22"/>
      <c r="BL184" s="22"/>
      <c r="BM184" s="22"/>
      <c r="BN184" s="22"/>
      <c r="BP184" s="22"/>
      <c r="BQ184" s="22"/>
      <c r="BR184" s="22"/>
      <c r="BT184" s="22"/>
      <c r="BU184" s="22"/>
      <c r="BV184" s="22"/>
      <c r="BX184" s="22"/>
      <c r="BY184" s="22"/>
      <c r="BZ184" s="22"/>
      <c r="CB184" s="24"/>
      <c r="CC184" s="24"/>
      <c r="CD184" s="24"/>
      <c r="CE184" s="25"/>
      <c r="CF184" s="25"/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6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4"/>
      <c r="EP184" s="24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4"/>
      <c r="FC184" s="24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4"/>
      <c r="FP184" s="24"/>
      <c r="FQ184" s="24"/>
      <c r="FR184" s="24"/>
      <c r="FS184" s="24"/>
      <c r="FT184" s="24"/>
      <c r="FU184" s="24"/>
      <c r="FV184" s="24"/>
      <c r="FW184" s="24"/>
      <c r="FX184" s="24"/>
      <c r="FY184" s="24"/>
      <c r="FZ184" s="24"/>
      <c r="GA184" s="24"/>
      <c r="GB184" s="24"/>
      <c r="GC184" s="24"/>
      <c r="GD184" s="24"/>
      <c r="GE184" s="24"/>
      <c r="GF184" s="24"/>
      <c r="GG184" s="24"/>
      <c r="GH184" s="24"/>
      <c r="GI184" s="24"/>
      <c r="GJ184" s="24"/>
      <c r="GK184" s="24"/>
      <c r="GL184" s="24"/>
      <c r="GM184" s="24"/>
      <c r="GN184" s="24"/>
      <c r="GO184" s="24"/>
      <c r="GP184" s="24"/>
      <c r="GQ184" s="24"/>
      <c r="GR184" s="24"/>
    </row>
    <row r="185" spans="1:200" s="23" customFormat="1" ht="14.25" customHeight="1">
      <c r="A185" s="20"/>
      <c r="B185" s="21"/>
      <c r="C185" s="22"/>
      <c r="D185" s="22"/>
      <c r="E185" s="22"/>
      <c r="G185" s="22"/>
      <c r="H185" s="22"/>
      <c r="I185" s="22"/>
      <c r="K185" s="22"/>
      <c r="L185" s="22"/>
      <c r="M185" s="22"/>
      <c r="O185" s="22"/>
      <c r="P185" s="22"/>
      <c r="Q185" s="22"/>
      <c r="S185" s="22"/>
      <c r="T185" s="22"/>
      <c r="U185" s="22"/>
      <c r="W185" s="22"/>
      <c r="X185" s="22"/>
      <c r="Y185" s="22"/>
      <c r="AA185" s="22"/>
      <c r="AB185" s="22"/>
      <c r="AC185" s="22"/>
      <c r="AE185" s="24"/>
      <c r="AF185" s="24"/>
      <c r="AG185" s="24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6"/>
      <c r="AW185" s="24"/>
      <c r="AX185" s="20"/>
      <c r="AY185" s="21"/>
      <c r="AZ185" s="22"/>
      <c r="BA185" s="22"/>
      <c r="BB185" s="22"/>
      <c r="BD185" s="22"/>
      <c r="BE185" s="22"/>
      <c r="BF185" s="22"/>
      <c r="BH185" s="22"/>
      <c r="BI185" s="22"/>
      <c r="BJ185" s="22"/>
      <c r="BL185" s="22"/>
      <c r="BM185" s="22"/>
      <c r="BN185" s="22"/>
      <c r="BP185" s="22"/>
      <c r="BQ185" s="22"/>
      <c r="BR185" s="22"/>
      <c r="BT185" s="22"/>
      <c r="BU185" s="22"/>
      <c r="BV185" s="22"/>
      <c r="BX185" s="22"/>
      <c r="BY185" s="22"/>
      <c r="BZ185" s="22"/>
      <c r="CB185" s="24"/>
      <c r="CC185" s="24"/>
      <c r="CD185" s="24"/>
      <c r="CE185" s="25"/>
      <c r="CF185" s="25"/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6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24"/>
      <c r="EN185" s="24"/>
      <c r="EO185" s="24"/>
      <c r="EP185" s="24"/>
      <c r="EQ185" s="24"/>
      <c r="ER185" s="24"/>
      <c r="ES185" s="24"/>
      <c r="ET185" s="24"/>
      <c r="EU185" s="24"/>
      <c r="EV185" s="24"/>
      <c r="EW185" s="24"/>
      <c r="EX185" s="24"/>
      <c r="EY185" s="24"/>
      <c r="EZ185" s="24"/>
      <c r="FA185" s="24"/>
      <c r="FB185" s="24"/>
      <c r="FC185" s="24"/>
      <c r="FD185" s="24"/>
      <c r="FE185" s="24"/>
      <c r="FF185" s="24"/>
      <c r="FG185" s="24"/>
      <c r="FH185" s="24"/>
      <c r="FI185" s="24"/>
      <c r="FJ185" s="24"/>
      <c r="FK185" s="24"/>
      <c r="FL185" s="24"/>
      <c r="FM185" s="24"/>
      <c r="FN185" s="24"/>
      <c r="FO185" s="24"/>
      <c r="FP185" s="24"/>
      <c r="FQ185" s="24"/>
      <c r="FR185" s="24"/>
      <c r="FS185" s="24"/>
      <c r="FT185" s="24"/>
      <c r="FU185" s="24"/>
      <c r="FV185" s="24"/>
      <c r="FW185" s="24"/>
      <c r="FX185" s="24"/>
      <c r="FY185" s="24"/>
      <c r="FZ185" s="24"/>
      <c r="GA185" s="24"/>
      <c r="GB185" s="24"/>
      <c r="GC185" s="24"/>
      <c r="GD185" s="24"/>
      <c r="GE185" s="24"/>
      <c r="GF185" s="24"/>
      <c r="GG185" s="24"/>
      <c r="GH185" s="24"/>
      <c r="GI185" s="24"/>
      <c r="GJ185" s="24"/>
      <c r="GK185" s="24"/>
      <c r="GL185" s="24"/>
      <c r="GM185" s="24"/>
      <c r="GN185" s="24"/>
      <c r="GO185" s="24"/>
      <c r="GP185" s="24"/>
      <c r="GQ185" s="24"/>
      <c r="GR185" s="24"/>
    </row>
    <row r="186" spans="1:200" s="23" customFormat="1" ht="14.25" customHeight="1">
      <c r="A186" s="20"/>
      <c r="B186" s="21"/>
      <c r="C186" s="22"/>
      <c r="D186" s="22"/>
      <c r="E186" s="22"/>
      <c r="G186" s="22"/>
      <c r="H186" s="22"/>
      <c r="I186" s="22"/>
      <c r="K186" s="22"/>
      <c r="L186" s="22"/>
      <c r="M186" s="22"/>
      <c r="O186" s="22"/>
      <c r="P186" s="22"/>
      <c r="Q186" s="22"/>
      <c r="S186" s="22"/>
      <c r="T186" s="22"/>
      <c r="U186" s="22"/>
      <c r="W186" s="22"/>
      <c r="X186" s="22"/>
      <c r="Y186" s="22"/>
      <c r="AA186" s="22"/>
      <c r="AB186" s="22"/>
      <c r="AC186" s="22"/>
      <c r="AE186" s="24"/>
      <c r="AF186" s="24"/>
      <c r="AG186" s="24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6"/>
      <c r="AW186" s="24"/>
      <c r="AX186" s="20"/>
      <c r="AY186" s="21"/>
      <c r="AZ186" s="22"/>
      <c r="BA186" s="22"/>
      <c r="BB186" s="22"/>
      <c r="BD186" s="22"/>
      <c r="BE186" s="22"/>
      <c r="BF186" s="22"/>
      <c r="BH186" s="22"/>
      <c r="BI186" s="22"/>
      <c r="BJ186" s="22"/>
      <c r="BL186" s="22"/>
      <c r="BM186" s="22"/>
      <c r="BN186" s="22"/>
      <c r="BP186" s="22"/>
      <c r="BQ186" s="22"/>
      <c r="BR186" s="22"/>
      <c r="BT186" s="22"/>
      <c r="BU186" s="22"/>
      <c r="BV186" s="22"/>
      <c r="BX186" s="22"/>
      <c r="BY186" s="22"/>
      <c r="BZ186" s="22"/>
      <c r="CB186" s="24"/>
      <c r="CC186" s="24"/>
      <c r="CD186" s="24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6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4"/>
      <c r="EP186" s="24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4"/>
      <c r="FC186" s="24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4"/>
      <c r="FP186" s="24"/>
      <c r="FQ186" s="24"/>
      <c r="FR186" s="24"/>
      <c r="FS186" s="24"/>
      <c r="FT186" s="24"/>
      <c r="FU186" s="24"/>
      <c r="FV186" s="24"/>
      <c r="FW186" s="24"/>
      <c r="FX186" s="24"/>
      <c r="FY186" s="24"/>
      <c r="FZ186" s="24"/>
      <c r="GA186" s="24"/>
      <c r="GB186" s="24"/>
      <c r="GC186" s="24"/>
      <c r="GD186" s="24"/>
      <c r="GE186" s="24"/>
      <c r="GF186" s="24"/>
      <c r="GG186" s="24"/>
      <c r="GH186" s="24"/>
      <c r="GI186" s="24"/>
      <c r="GJ186" s="24"/>
      <c r="GK186" s="24"/>
      <c r="GL186" s="24"/>
      <c r="GM186" s="24"/>
      <c r="GN186" s="24"/>
      <c r="GO186" s="24"/>
      <c r="GP186" s="24"/>
      <c r="GQ186" s="24"/>
      <c r="GR186" s="24"/>
    </row>
    <row r="187" spans="1:200" s="23" customFormat="1" ht="14.25" customHeight="1">
      <c r="A187" s="20"/>
      <c r="B187" s="21"/>
      <c r="C187" s="22"/>
      <c r="D187" s="22"/>
      <c r="E187" s="22"/>
      <c r="G187" s="22"/>
      <c r="H187" s="22"/>
      <c r="I187" s="22"/>
      <c r="K187" s="22"/>
      <c r="L187" s="22"/>
      <c r="M187" s="22"/>
      <c r="O187" s="22"/>
      <c r="P187" s="22"/>
      <c r="Q187" s="22"/>
      <c r="S187" s="22"/>
      <c r="T187" s="22"/>
      <c r="U187" s="22"/>
      <c r="W187" s="22"/>
      <c r="X187" s="22"/>
      <c r="Y187" s="22"/>
      <c r="AA187" s="22"/>
      <c r="AB187" s="22"/>
      <c r="AC187" s="22"/>
      <c r="AE187" s="24"/>
      <c r="AF187" s="24"/>
      <c r="AG187" s="24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6"/>
      <c r="AW187" s="24"/>
      <c r="AX187" s="20"/>
      <c r="AY187" s="21"/>
      <c r="AZ187" s="22"/>
      <c r="BA187" s="22"/>
      <c r="BB187" s="22"/>
      <c r="BD187" s="22"/>
      <c r="BE187" s="22"/>
      <c r="BF187" s="22"/>
      <c r="BH187" s="22"/>
      <c r="BI187" s="22"/>
      <c r="BJ187" s="22"/>
      <c r="BL187" s="22"/>
      <c r="BM187" s="22"/>
      <c r="BN187" s="22"/>
      <c r="BP187" s="22"/>
      <c r="BQ187" s="22"/>
      <c r="BR187" s="22"/>
      <c r="BT187" s="22"/>
      <c r="BU187" s="22"/>
      <c r="BV187" s="22"/>
      <c r="BX187" s="22"/>
      <c r="BY187" s="22"/>
      <c r="BZ187" s="22"/>
      <c r="CB187" s="24"/>
      <c r="CC187" s="24"/>
      <c r="CD187" s="24"/>
      <c r="CE187" s="25"/>
      <c r="CF187" s="25"/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6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  <c r="EN187" s="24"/>
      <c r="EO187" s="24"/>
      <c r="EP187" s="24"/>
      <c r="EQ187" s="24"/>
      <c r="ER187" s="24"/>
      <c r="ES187" s="24"/>
      <c r="ET187" s="24"/>
      <c r="EU187" s="24"/>
      <c r="EV187" s="24"/>
      <c r="EW187" s="24"/>
      <c r="EX187" s="24"/>
      <c r="EY187" s="24"/>
      <c r="EZ187" s="24"/>
      <c r="FA187" s="24"/>
      <c r="FB187" s="24"/>
      <c r="FC187" s="24"/>
      <c r="FD187" s="24"/>
      <c r="FE187" s="24"/>
      <c r="FF187" s="24"/>
      <c r="FG187" s="24"/>
      <c r="FH187" s="24"/>
      <c r="FI187" s="24"/>
      <c r="FJ187" s="24"/>
      <c r="FK187" s="24"/>
      <c r="FL187" s="24"/>
      <c r="FM187" s="24"/>
      <c r="FN187" s="24"/>
      <c r="FO187" s="24"/>
      <c r="FP187" s="24"/>
      <c r="FQ187" s="24"/>
      <c r="FR187" s="24"/>
      <c r="FS187" s="24"/>
      <c r="FT187" s="24"/>
      <c r="FU187" s="24"/>
      <c r="FV187" s="24"/>
      <c r="FW187" s="24"/>
      <c r="FX187" s="24"/>
      <c r="FY187" s="24"/>
      <c r="FZ187" s="24"/>
      <c r="GA187" s="24"/>
      <c r="GB187" s="24"/>
      <c r="GC187" s="24"/>
      <c r="GD187" s="24"/>
      <c r="GE187" s="24"/>
      <c r="GF187" s="24"/>
      <c r="GG187" s="24"/>
      <c r="GH187" s="24"/>
      <c r="GI187" s="24"/>
      <c r="GJ187" s="24"/>
      <c r="GK187" s="24"/>
      <c r="GL187" s="24"/>
      <c r="GM187" s="24"/>
      <c r="GN187" s="24"/>
      <c r="GO187" s="24"/>
      <c r="GP187" s="24"/>
      <c r="GQ187" s="24"/>
      <c r="GR187" s="24"/>
    </row>
    <row r="188" spans="1:200" s="23" customFormat="1" ht="14.25" customHeight="1">
      <c r="A188" s="20"/>
      <c r="B188" s="21"/>
      <c r="C188" s="22"/>
      <c r="D188" s="22"/>
      <c r="E188" s="22"/>
      <c r="G188" s="22"/>
      <c r="H188" s="22"/>
      <c r="I188" s="22"/>
      <c r="K188" s="22"/>
      <c r="L188" s="22"/>
      <c r="M188" s="22"/>
      <c r="O188" s="22"/>
      <c r="P188" s="22"/>
      <c r="Q188" s="22"/>
      <c r="S188" s="22"/>
      <c r="T188" s="22"/>
      <c r="U188" s="22"/>
      <c r="W188" s="22"/>
      <c r="X188" s="22"/>
      <c r="Y188" s="22"/>
      <c r="AA188" s="22"/>
      <c r="AB188" s="22"/>
      <c r="AC188" s="22"/>
      <c r="AE188" s="24"/>
      <c r="AF188" s="24"/>
      <c r="AG188" s="24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6"/>
      <c r="AW188" s="24"/>
      <c r="AX188" s="20"/>
      <c r="AY188" s="21"/>
      <c r="AZ188" s="22"/>
      <c r="BA188" s="22"/>
      <c r="BB188" s="22"/>
      <c r="BD188" s="22"/>
      <c r="BE188" s="22"/>
      <c r="BF188" s="22"/>
      <c r="BH188" s="22"/>
      <c r="BI188" s="22"/>
      <c r="BJ188" s="22"/>
      <c r="BL188" s="22"/>
      <c r="BM188" s="22"/>
      <c r="BN188" s="22"/>
      <c r="BP188" s="22"/>
      <c r="BQ188" s="22"/>
      <c r="BR188" s="22"/>
      <c r="BT188" s="22"/>
      <c r="BU188" s="22"/>
      <c r="BV188" s="22"/>
      <c r="BX188" s="22"/>
      <c r="BY188" s="22"/>
      <c r="BZ188" s="22"/>
      <c r="CB188" s="24"/>
      <c r="CC188" s="24"/>
      <c r="CD188" s="24"/>
      <c r="CE188" s="25"/>
      <c r="CF188" s="25"/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6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4"/>
      <c r="EP188" s="24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4"/>
      <c r="FC188" s="24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4"/>
      <c r="FP188" s="24"/>
      <c r="FQ188" s="24"/>
      <c r="FR188" s="24"/>
      <c r="FS188" s="24"/>
      <c r="FT188" s="24"/>
      <c r="FU188" s="24"/>
      <c r="FV188" s="24"/>
      <c r="FW188" s="24"/>
      <c r="FX188" s="24"/>
      <c r="FY188" s="24"/>
      <c r="FZ188" s="24"/>
      <c r="GA188" s="24"/>
      <c r="GB188" s="24"/>
      <c r="GC188" s="24"/>
      <c r="GD188" s="24"/>
      <c r="GE188" s="24"/>
      <c r="GF188" s="24"/>
      <c r="GG188" s="24"/>
      <c r="GH188" s="24"/>
      <c r="GI188" s="24"/>
      <c r="GJ188" s="24"/>
      <c r="GK188" s="24"/>
      <c r="GL188" s="24"/>
      <c r="GM188" s="24"/>
      <c r="GN188" s="24"/>
      <c r="GO188" s="24"/>
      <c r="GP188" s="24"/>
      <c r="GQ188" s="24"/>
      <c r="GR188" s="24"/>
    </row>
    <row r="189" spans="1:200" s="23" customFormat="1" ht="14.25" customHeight="1">
      <c r="A189" s="20"/>
      <c r="B189" s="21"/>
      <c r="C189" s="22"/>
      <c r="D189" s="22"/>
      <c r="E189" s="22"/>
      <c r="G189" s="22"/>
      <c r="H189" s="22"/>
      <c r="I189" s="22"/>
      <c r="K189" s="22"/>
      <c r="L189" s="22"/>
      <c r="M189" s="22"/>
      <c r="O189" s="22"/>
      <c r="P189" s="22"/>
      <c r="Q189" s="22"/>
      <c r="S189" s="22"/>
      <c r="T189" s="22"/>
      <c r="U189" s="22"/>
      <c r="W189" s="22"/>
      <c r="X189" s="22"/>
      <c r="Y189" s="22"/>
      <c r="AA189" s="22"/>
      <c r="AB189" s="22"/>
      <c r="AC189" s="22"/>
      <c r="AE189" s="24"/>
      <c r="AF189" s="24"/>
      <c r="AG189" s="24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6"/>
      <c r="AW189" s="24"/>
      <c r="AX189" s="20"/>
      <c r="AY189" s="21"/>
      <c r="AZ189" s="22"/>
      <c r="BA189" s="22"/>
      <c r="BB189" s="22"/>
      <c r="BD189" s="22"/>
      <c r="BE189" s="22"/>
      <c r="BF189" s="22"/>
      <c r="BH189" s="22"/>
      <c r="BI189" s="22"/>
      <c r="BJ189" s="22"/>
      <c r="BL189" s="22"/>
      <c r="BM189" s="22"/>
      <c r="BN189" s="22"/>
      <c r="BP189" s="22"/>
      <c r="BQ189" s="22"/>
      <c r="BR189" s="22"/>
      <c r="BT189" s="22"/>
      <c r="BU189" s="22"/>
      <c r="BV189" s="22"/>
      <c r="BX189" s="22"/>
      <c r="BY189" s="22"/>
      <c r="BZ189" s="22"/>
      <c r="CB189" s="24"/>
      <c r="CC189" s="24"/>
      <c r="CD189" s="24"/>
      <c r="CE189" s="25"/>
      <c r="CF189" s="25"/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6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4"/>
      <c r="EH189" s="24"/>
      <c r="EI189" s="24"/>
      <c r="EJ189" s="24"/>
      <c r="EK189" s="24"/>
      <c r="EL189" s="24"/>
      <c r="EM189" s="24"/>
      <c r="EN189" s="24"/>
      <c r="EO189" s="24"/>
      <c r="EP189" s="24"/>
      <c r="EQ189" s="24"/>
      <c r="ER189" s="24"/>
      <c r="ES189" s="24"/>
      <c r="ET189" s="24"/>
      <c r="EU189" s="24"/>
      <c r="EV189" s="24"/>
      <c r="EW189" s="24"/>
      <c r="EX189" s="24"/>
      <c r="EY189" s="24"/>
      <c r="EZ189" s="24"/>
      <c r="FA189" s="24"/>
      <c r="FB189" s="24"/>
      <c r="FC189" s="24"/>
      <c r="FD189" s="24"/>
      <c r="FE189" s="24"/>
      <c r="FF189" s="24"/>
      <c r="FG189" s="24"/>
      <c r="FH189" s="24"/>
      <c r="FI189" s="24"/>
      <c r="FJ189" s="24"/>
      <c r="FK189" s="24"/>
      <c r="FL189" s="24"/>
      <c r="FM189" s="24"/>
      <c r="FN189" s="24"/>
      <c r="FO189" s="24"/>
      <c r="FP189" s="24"/>
      <c r="FQ189" s="24"/>
      <c r="FR189" s="24"/>
      <c r="FS189" s="24"/>
      <c r="FT189" s="24"/>
      <c r="FU189" s="24"/>
      <c r="FV189" s="24"/>
      <c r="FW189" s="24"/>
      <c r="FX189" s="24"/>
      <c r="FY189" s="24"/>
      <c r="FZ189" s="24"/>
      <c r="GA189" s="24"/>
      <c r="GB189" s="24"/>
      <c r="GC189" s="24"/>
      <c r="GD189" s="24"/>
      <c r="GE189" s="24"/>
      <c r="GF189" s="24"/>
      <c r="GG189" s="24"/>
      <c r="GH189" s="24"/>
      <c r="GI189" s="24"/>
      <c r="GJ189" s="24"/>
      <c r="GK189" s="24"/>
      <c r="GL189" s="24"/>
      <c r="GM189" s="24"/>
      <c r="GN189" s="24"/>
      <c r="GO189" s="24"/>
      <c r="GP189" s="24"/>
      <c r="GQ189" s="24"/>
      <c r="GR189" s="24"/>
    </row>
    <row r="190" spans="1:200" s="23" customFormat="1" ht="14.25" customHeight="1">
      <c r="A190" s="20"/>
      <c r="B190" s="21"/>
      <c r="C190" s="22"/>
      <c r="D190" s="22"/>
      <c r="E190" s="22"/>
      <c r="G190" s="22"/>
      <c r="H190" s="22"/>
      <c r="I190" s="22"/>
      <c r="K190" s="22"/>
      <c r="L190" s="22"/>
      <c r="M190" s="22"/>
      <c r="O190" s="22"/>
      <c r="P190" s="22"/>
      <c r="Q190" s="22"/>
      <c r="S190" s="22"/>
      <c r="T190" s="22"/>
      <c r="U190" s="22"/>
      <c r="W190" s="22"/>
      <c r="X190" s="22"/>
      <c r="Y190" s="22"/>
      <c r="AA190" s="22"/>
      <c r="AB190" s="22"/>
      <c r="AC190" s="22"/>
      <c r="AE190" s="24"/>
      <c r="AF190" s="24"/>
      <c r="AG190" s="24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6"/>
      <c r="AW190" s="24"/>
      <c r="AX190" s="20"/>
      <c r="AY190" s="21"/>
      <c r="AZ190" s="22"/>
      <c r="BA190" s="22"/>
      <c r="BB190" s="22"/>
      <c r="BD190" s="22"/>
      <c r="BE190" s="22"/>
      <c r="BF190" s="22"/>
      <c r="BH190" s="22"/>
      <c r="BI190" s="22"/>
      <c r="BJ190" s="22"/>
      <c r="BL190" s="22"/>
      <c r="BM190" s="22"/>
      <c r="BN190" s="22"/>
      <c r="BP190" s="22"/>
      <c r="BQ190" s="22"/>
      <c r="BR190" s="22"/>
      <c r="BT190" s="22"/>
      <c r="BU190" s="22"/>
      <c r="BV190" s="22"/>
      <c r="BX190" s="22"/>
      <c r="BY190" s="22"/>
      <c r="BZ190" s="22"/>
      <c r="CB190" s="24"/>
      <c r="CC190" s="24"/>
      <c r="CD190" s="24"/>
      <c r="CE190" s="25"/>
      <c r="CF190" s="25"/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6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4"/>
      <c r="EP190" s="24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4"/>
      <c r="FC190" s="24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4"/>
      <c r="FP190" s="24"/>
      <c r="FQ190" s="24"/>
      <c r="FR190" s="24"/>
      <c r="FS190" s="24"/>
      <c r="FT190" s="24"/>
      <c r="FU190" s="24"/>
      <c r="FV190" s="24"/>
      <c r="FW190" s="24"/>
      <c r="FX190" s="24"/>
      <c r="FY190" s="24"/>
      <c r="FZ190" s="24"/>
      <c r="GA190" s="24"/>
      <c r="GB190" s="24"/>
      <c r="GC190" s="24"/>
      <c r="GD190" s="24"/>
      <c r="GE190" s="24"/>
      <c r="GF190" s="24"/>
      <c r="GG190" s="24"/>
      <c r="GH190" s="24"/>
      <c r="GI190" s="24"/>
      <c r="GJ190" s="24"/>
      <c r="GK190" s="24"/>
      <c r="GL190" s="24"/>
      <c r="GM190" s="24"/>
      <c r="GN190" s="24"/>
      <c r="GO190" s="24"/>
      <c r="GP190" s="24"/>
      <c r="GQ190" s="24"/>
      <c r="GR190" s="24"/>
    </row>
    <row r="191" spans="1:200" s="23" customFormat="1" ht="14.25" customHeight="1">
      <c r="A191" s="20"/>
      <c r="B191" s="21"/>
      <c r="C191" s="22"/>
      <c r="D191" s="22"/>
      <c r="E191" s="22"/>
      <c r="G191" s="22"/>
      <c r="H191" s="22"/>
      <c r="I191" s="22"/>
      <c r="K191" s="22"/>
      <c r="L191" s="22"/>
      <c r="M191" s="22"/>
      <c r="O191" s="22"/>
      <c r="P191" s="22"/>
      <c r="Q191" s="22"/>
      <c r="S191" s="22"/>
      <c r="T191" s="22"/>
      <c r="U191" s="22"/>
      <c r="W191" s="22"/>
      <c r="X191" s="22"/>
      <c r="Y191" s="22"/>
      <c r="AA191" s="22"/>
      <c r="AB191" s="22"/>
      <c r="AC191" s="22"/>
      <c r="AE191" s="24"/>
      <c r="AF191" s="24"/>
      <c r="AG191" s="24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6"/>
      <c r="AW191" s="24"/>
      <c r="AX191" s="20"/>
      <c r="AY191" s="21"/>
      <c r="AZ191" s="22"/>
      <c r="BA191" s="22"/>
      <c r="BB191" s="22"/>
      <c r="BD191" s="22"/>
      <c r="BE191" s="22"/>
      <c r="BF191" s="22"/>
      <c r="BH191" s="22"/>
      <c r="BI191" s="22"/>
      <c r="BJ191" s="22"/>
      <c r="BL191" s="22"/>
      <c r="BM191" s="22"/>
      <c r="BN191" s="22"/>
      <c r="BP191" s="22"/>
      <c r="BQ191" s="22"/>
      <c r="BR191" s="22"/>
      <c r="BT191" s="22"/>
      <c r="BU191" s="22"/>
      <c r="BV191" s="22"/>
      <c r="BX191" s="22"/>
      <c r="BY191" s="22"/>
      <c r="BZ191" s="22"/>
      <c r="CB191" s="24"/>
      <c r="CC191" s="24"/>
      <c r="CD191" s="24"/>
      <c r="CE191" s="25"/>
      <c r="CF191" s="25"/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6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</row>
    <row r="192" spans="1:200" s="23" customFormat="1" ht="14.25" customHeight="1">
      <c r="A192" s="20"/>
      <c r="B192" s="21"/>
      <c r="C192" s="22"/>
      <c r="D192" s="22"/>
      <c r="E192" s="22"/>
      <c r="G192" s="22"/>
      <c r="H192" s="22"/>
      <c r="I192" s="22"/>
      <c r="K192" s="22"/>
      <c r="L192" s="22"/>
      <c r="M192" s="22"/>
      <c r="O192" s="22"/>
      <c r="P192" s="22"/>
      <c r="Q192" s="22"/>
      <c r="S192" s="22"/>
      <c r="T192" s="22"/>
      <c r="U192" s="22"/>
      <c r="W192" s="22"/>
      <c r="X192" s="22"/>
      <c r="Y192" s="22"/>
      <c r="AA192" s="22"/>
      <c r="AB192" s="22"/>
      <c r="AC192" s="22"/>
      <c r="AE192" s="24"/>
      <c r="AF192" s="24"/>
      <c r="AG192" s="24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6"/>
      <c r="AW192" s="24"/>
      <c r="AX192" s="20"/>
      <c r="AY192" s="21"/>
      <c r="AZ192" s="22"/>
      <c r="BA192" s="22"/>
      <c r="BB192" s="22"/>
      <c r="BD192" s="22"/>
      <c r="BE192" s="22"/>
      <c r="BF192" s="22"/>
      <c r="BH192" s="22"/>
      <c r="BI192" s="22"/>
      <c r="BJ192" s="22"/>
      <c r="BL192" s="22"/>
      <c r="BM192" s="22"/>
      <c r="BN192" s="22"/>
      <c r="BP192" s="22"/>
      <c r="BQ192" s="22"/>
      <c r="BR192" s="22"/>
      <c r="BT192" s="22"/>
      <c r="BU192" s="22"/>
      <c r="BV192" s="22"/>
      <c r="BX192" s="22"/>
      <c r="BY192" s="22"/>
      <c r="BZ192" s="22"/>
      <c r="CB192" s="24"/>
      <c r="CC192" s="24"/>
      <c r="CD192" s="24"/>
      <c r="CE192" s="25"/>
      <c r="CF192" s="25"/>
      <c r="CG192" s="25"/>
      <c r="CH192" s="25"/>
      <c r="CI192" s="25"/>
      <c r="CJ192" s="25"/>
      <c r="CK192" s="25"/>
      <c r="CL192" s="25"/>
      <c r="CM192" s="25"/>
      <c r="CN192" s="25"/>
      <c r="CO192" s="25"/>
      <c r="CP192" s="25"/>
      <c r="CQ192" s="25"/>
      <c r="CR192" s="25"/>
      <c r="CS192" s="26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</row>
    <row r="193" spans="1:200" s="23" customFormat="1" ht="14.25" customHeight="1">
      <c r="A193" s="20"/>
      <c r="B193" s="21"/>
      <c r="C193" s="22"/>
      <c r="D193" s="22"/>
      <c r="E193" s="22"/>
      <c r="G193" s="22"/>
      <c r="H193" s="22"/>
      <c r="I193" s="22"/>
      <c r="K193" s="22"/>
      <c r="L193" s="22"/>
      <c r="M193" s="22"/>
      <c r="O193" s="22"/>
      <c r="P193" s="22"/>
      <c r="Q193" s="22"/>
      <c r="S193" s="22"/>
      <c r="T193" s="22"/>
      <c r="U193" s="22"/>
      <c r="W193" s="22"/>
      <c r="X193" s="22"/>
      <c r="Y193" s="22"/>
      <c r="AA193" s="22"/>
      <c r="AB193" s="22"/>
      <c r="AC193" s="22"/>
      <c r="AE193" s="24"/>
      <c r="AF193" s="24"/>
      <c r="AG193" s="24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6"/>
      <c r="AW193" s="24"/>
      <c r="AX193" s="20"/>
      <c r="AY193" s="21"/>
      <c r="AZ193" s="22"/>
      <c r="BA193" s="22"/>
      <c r="BB193" s="22"/>
      <c r="BD193" s="22"/>
      <c r="BE193" s="22"/>
      <c r="BF193" s="22"/>
      <c r="BH193" s="22"/>
      <c r="BI193" s="22"/>
      <c r="BJ193" s="22"/>
      <c r="BL193" s="22"/>
      <c r="BM193" s="22"/>
      <c r="BN193" s="22"/>
      <c r="BP193" s="22"/>
      <c r="BQ193" s="22"/>
      <c r="BR193" s="22"/>
      <c r="BT193" s="22"/>
      <c r="BU193" s="22"/>
      <c r="BV193" s="22"/>
      <c r="BX193" s="22"/>
      <c r="BY193" s="22"/>
      <c r="BZ193" s="22"/>
      <c r="CB193" s="24"/>
      <c r="CC193" s="24"/>
      <c r="CD193" s="24"/>
      <c r="CE193" s="25"/>
      <c r="CF193" s="25"/>
      <c r="CG193" s="25"/>
      <c r="CH193" s="25"/>
      <c r="CI193" s="25"/>
      <c r="CJ193" s="25"/>
      <c r="CK193" s="25"/>
      <c r="CL193" s="25"/>
      <c r="CM193" s="25"/>
      <c r="CN193" s="25"/>
      <c r="CO193" s="25"/>
      <c r="CP193" s="25"/>
      <c r="CQ193" s="25"/>
      <c r="CR193" s="25"/>
      <c r="CS193" s="26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4"/>
      <c r="EH193" s="24"/>
      <c r="EI193" s="24"/>
      <c r="EJ193" s="24"/>
      <c r="EK193" s="24"/>
      <c r="EL193" s="24"/>
      <c r="EM193" s="24"/>
      <c r="EN193" s="24"/>
      <c r="EO193" s="24"/>
      <c r="EP193" s="24"/>
      <c r="EQ193" s="24"/>
      <c r="ER193" s="24"/>
      <c r="ES193" s="24"/>
      <c r="ET193" s="24"/>
      <c r="EU193" s="24"/>
      <c r="EV193" s="24"/>
      <c r="EW193" s="24"/>
      <c r="EX193" s="24"/>
      <c r="EY193" s="24"/>
      <c r="EZ193" s="24"/>
      <c r="FA193" s="24"/>
      <c r="FB193" s="24"/>
      <c r="FC193" s="24"/>
      <c r="FD193" s="24"/>
      <c r="FE193" s="24"/>
      <c r="FF193" s="24"/>
      <c r="FG193" s="24"/>
      <c r="FH193" s="24"/>
      <c r="FI193" s="24"/>
      <c r="FJ193" s="24"/>
      <c r="FK193" s="24"/>
      <c r="FL193" s="24"/>
      <c r="FM193" s="24"/>
      <c r="FN193" s="24"/>
      <c r="FO193" s="24"/>
      <c r="FP193" s="24"/>
      <c r="FQ193" s="24"/>
      <c r="FR193" s="24"/>
      <c r="FS193" s="24"/>
      <c r="FT193" s="24"/>
      <c r="FU193" s="24"/>
      <c r="FV193" s="24"/>
      <c r="FW193" s="24"/>
      <c r="FX193" s="24"/>
      <c r="FY193" s="24"/>
      <c r="FZ193" s="24"/>
      <c r="GA193" s="24"/>
      <c r="GB193" s="24"/>
      <c r="GC193" s="24"/>
      <c r="GD193" s="24"/>
      <c r="GE193" s="24"/>
      <c r="GF193" s="24"/>
      <c r="GG193" s="24"/>
      <c r="GH193" s="24"/>
      <c r="GI193" s="24"/>
      <c r="GJ193" s="24"/>
      <c r="GK193" s="24"/>
      <c r="GL193" s="24"/>
      <c r="GM193" s="24"/>
      <c r="GN193" s="24"/>
      <c r="GO193" s="24"/>
      <c r="GP193" s="24"/>
      <c r="GQ193" s="24"/>
      <c r="GR193" s="24"/>
    </row>
    <row r="194" spans="1:200" s="23" customFormat="1" ht="14.25" customHeight="1">
      <c r="A194" s="20"/>
      <c r="B194" s="21"/>
      <c r="C194" s="22"/>
      <c r="D194" s="22"/>
      <c r="E194" s="22"/>
      <c r="G194" s="22"/>
      <c r="H194" s="22"/>
      <c r="I194" s="22"/>
      <c r="K194" s="22"/>
      <c r="L194" s="22"/>
      <c r="M194" s="22"/>
      <c r="O194" s="22"/>
      <c r="P194" s="22"/>
      <c r="Q194" s="22"/>
      <c r="S194" s="22"/>
      <c r="T194" s="22"/>
      <c r="U194" s="22"/>
      <c r="W194" s="22"/>
      <c r="X194" s="22"/>
      <c r="Y194" s="22"/>
      <c r="AA194" s="22"/>
      <c r="AB194" s="22"/>
      <c r="AC194" s="22"/>
      <c r="AE194" s="24"/>
      <c r="AF194" s="24"/>
      <c r="AG194" s="24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6"/>
      <c r="AW194" s="24"/>
      <c r="AX194" s="20"/>
      <c r="AY194" s="21"/>
      <c r="AZ194" s="22"/>
      <c r="BA194" s="22"/>
      <c r="BB194" s="22"/>
      <c r="BD194" s="22"/>
      <c r="BE194" s="22"/>
      <c r="BF194" s="22"/>
      <c r="BH194" s="22"/>
      <c r="BI194" s="22"/>
      <c r="BJ194" s="22"/>
      <c r="BL194" s="22"/>
      <c r="BM194" s="22"/>
      <c r="BN194" s="22"/>
      <c r="BP194" s="22"/>
      <c r="BQ194" s="22"/>
      <c r="BR194" s="22"/>
      <c r="BT194" s="22"/>
      <c r="BU194" s="22"/>
      <c r="BV194" s="22"/>
      <c r="BX194" s="22"/>
      <c r="BY194" s="22"/>
      <c r="BZ194" s="22"/>
      <c r="CB194" s="24"/>
      <c r="CC194" s="24"/>
      <c r="CD194" s="24"/>
      <c r="CE194" s="25"/>
      <c r="CF194" s="25"/>
      <c r="CG194" s="25"/>
      <c r="CH194" s="25"/>
      <c r="CI194" s="25"/>
      <c r="CJ194" s="25"/>
      <c r="CK194" s="25"/>
      <c r="CL194" s="25"/>
      <c r="CM194" s="25"/>
      <c r="CN194" s="25"/>
      <c r="CO194" s="25"/>
      <c r="CP194" s="25"/>
      <c r="CQ194" s="25"/>
      <c r="CR194" s="25"/>
      <c r="CS194" s="26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4"/>
      <c r="EP194" s="24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4"/>
      <c r="FC194" s="24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4"/>
      <c r="FP194" s="24"/>
      <c r="FQ194" s="24"/>
      <c r="FR194" s="24"/>
      <c r="FS194" s="24"/>
      <c r="FT194" s="24"/>
      <c r="FU194" s="24"/>
      <c r="FV194" s="24"/>
      <c r="FW194" s="24"/>
      <c r="FX194" s="24"/>
      <c r="FY194" s="24"/>
      <c r="FZ194" s="24"/>
      <c r="GA194" s="24"/>
      <c r="GB194" s="24"/>
      <c r="GC194" s="24"/>
      <c r="GD194" s="24"/>
      <c r="GE194" s="24"/>
      <c r="GF194" s="24"/>
      <c r="GG194" s="24"/>
      <c r="GH194" s="24"/>
      <c r="GI194" s="24"/>
      <c r="GJ194" s="24"/>
      <c r="GK194" s="24"/>
      <c r="GL194" s="24"/>
      <c r="GM194" s="24"/>
      <c r="GN194" s="24"/>
      <c r="GO194" s="24"/>
      <c r="GP194" s="24"/>
      <c r="GQ194" s="24"/>
      <c r="GR194" s="24"/>
    </row>
    <row r="195" spans="1:200" s="23" customFormat="1" ht="14.25" customHeight="1">
      <c r="A195" s="20"/>
      <c r="B195" s="21"/>
      <c r="C195" s="22"/>
      <c r="D195" s="22"/>
      <c r="E195" s="22"/>
      <c r="G195" s="22"/>
      <c r="H195" s="22"/>
      <c r="I195" s="22"/>
      <c r="K195" s="22"/>
      <c r="L195" s="22"/>
      <c r="M195" s="22"/>
      <c r="O195" s="22"/>
      <c r="P195" s="22"/>
      <c r="Q195" s="22"/>
      <c r="S195" s="22"/>
      <c r="T195" s="22"/>
      <c r="U195" s="22"/>
      <c r="W195" s="22"/>
      <c r="X195" s="22"/>
      <c r="Y195" s="22"/>
      <c r="AA195" s="22"/>
      <c r="AB195" s="22"/>
      <c r="AC195" s="22"/>
      <c r="AE195" s="24"/>
      <c r="AF195" s="24"/>
      <c r="AG195" s="24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6"/>
      <c r="AW195" s="24"/>
      <c r="AX195" s="20"/>
      <c r="AY195" s="21"/>
      <c r="AZ195" s="22"/>
      <c r="BA195" s="22"/>
      <c r="BB195" s="22"/>
      <c r="BD195" s="22"/>
      <c r="BE195" s="22"/>
      <c r="BF195" s="22"/>
      <c r="BH195" s="22"/>
      <c r="BI195" s="22"/>
      <c r="BJ195" s="22"/>
      <c r="BL195" s="22"/>
      <c r="BM195" s="22"/>
      <c r="BN195" s="22"/>
      <c r="BP195" s="22"/>
      <c r="BQ195" s="22"/>
      <c r="BR195" s="22"/>
      <c r="BT195" s="22"/>
      <c r="BU195" s="22"/>
      <c r="BV195" s="22"/>
      <c r="BX195" s="22"/>
      <c r="BY195" s="22"/>
      <c r="BZ195" s="22"/>
      <c r="CB195" s="24"/>
      <c r="CC195" s="24"/>
      <c r="CD195" s="24"/>
      <c r="CE195" s="25"/>
      <c r="CF195" s="25"/>
      <c r="CG195" s="25"/>
      <c r="CH195" s="25"/>
      <c r="CI195" s="25"/>
      <c r="CJ195" s="25"/>
      <c r="CK195" s="25"/>
      <c r="CL195" s="25"/>
      <c r="CM195" s="25"/>
      <c r="CN195" s="25"/>
      <c r="CO195" s="25"/>
      <c r="CP195" s="25"/>
      <c r="CQ195" s="25"/>
      <c r="CR195" s="25"/>
      <c r="CS195" s="26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4"/>
      <c r="EH195" s="24"/>
      <c r="EI195" s="24"/>
      <c r="EJ195" s="24"/>
      <c r="EK195" s="24"/>
      <c r="EL195" s="24"/>
      <c r="EM195" s="24"/>
      <c r="EN195" s="24"/>
      <c r="EO195" s="24"/>
      <c r="EP195" s="24"/>
      <c r="EQ195" s="24"/>
      <c r="ER195" s="24"/>
      <c r="ES195" s="24"/>
      <c r="ET195" s="24"/>
      <c r="EU195" s="24"/>
      <c r="EV195" s="24"/>
      <c r="EW195" s="24"/>
      <c r="EX195" s="24"/>
      <c r="EY195" s="24"/>
      <c r="EZ195" s="24"/>
      <c r="FA195" s="24"/>
      <c r="FB195" s="24"/>
      <c r="FC195" s="24"/>
      <c r="FD195" s="24"/>
      <c r="FE195" s="24"/>
      <c r="FF195" s="24"/>
      <c r="FG195" s="24"/>
      <c r="FH195" s="24"/>
      <c r="FI195" s="24"/>
      <c r="FJ195" s="24"/>
      <c r="FK195" s="24"/>
      <c r="FL195" s="24"/>
      <c r="FM195" s="24"/>
      <c r="FN195" s="24"/>
      <c r="FO195" s="24"/>
      <c r="FP195" s="24"/>
      <c r="FQ195" s="24"/>
      <c r="FR195" s="24"/>
      <c r="FS195" s="24"/>
      <c r="FT195" s="24"/>
      <c r="FU195" s="24"/>
      <c r="FV195" s="24"/>
      <c r="FW195" s="24"/>
      <c r="FX195" s="24"/>
      <c r="FY195" s="24"/>
      <c r="FZ195" s="24"/>
      <c r="GA195" s="24"/>
      <c r="GB195" s="24"/>
      <c r="GC195" s="24"/>
      <c r="GD195" s="24"/>
      <c r="GE195" s="24"/>
      <c r="GF195" s="24"/>
      <c r="GG195" s="24"/>
      <c r="GH195" s="24"/>
      <c r="GI195" s="24"/>
      <c r="GJ195" s="24"/>
      <c r="GK195" s="24"/>
      <c r="GL195" s="24"/>
      <c r="GM195" s="24"/>
      <c r="GN195" s="24"/>
      <c r="GO195" s="24"/>
      <c r="GP195" s="24"/>
      <c r="GQ195" s="24"/>
      <c r="GR195" s="24"/>
    </row>
    <row r="196" spans="1:200" s="23" customFormat="1" ht="14.25" customHeight="1">
      <c r="A196" s="20"/>
      <c r="B196" s="21"/>
      <c r="C196" s="22"/>
      <c r="D196" s="22"/>
      <c r="E196" s="22"/>
      <c r="G196" s="22"/>
      <c r="H196" s="22"/>
      <c r="I196" s="22"/>
      <c r="K196" s="22"/>
      <c r="L196" s="22"/>
      <c r="M196" s="22"/>
      <c r="O196" s="22"/>
      <c r="P196" s="22"/>
      <c r="Q196" s="22"/>
      <c r="S196" s="22"/>
      <c r="T196" s="22"/>
      <c r="U196" s="22"/>
      <c r="W196" s="22"/>
      <c r="X196" s="22"/>
      <c r="Y196" s="22"/>
      <c r="AA196" s="22"/>
      <c r="AB196" s="22"/>
      <c r="AC196" s="22"/>
      <c r="AE196" s="24"/>
      <c r="AF196" s="24"/>
      <c r="AG196" s="24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6"/>
      <c r="AW196" s="24"/>
      <c r="AX196" s="20"/>
      <c r="AY196" s="21"/>
      <c r="AZ196" s="22"/>
      <c r="BA196" s="22"/>
      <c r="BB196" s="22"/>
      <c r="BD196" s="22"/>
      <c r="BE196" s="22"/>
      <c r="BF196" s="22"/>
      <c r="BH196" s="22"/>
      <c r="BI196" s="22"/>
      <c r="BJ196" s="22"/>
      <c r="BL196" s="22"/>
      <c r="BM196" s="22"/>
      <c r="BN196" s="22"/>
      <c r="BP196" s="22"/>
      <c r="BQ196" s="22"/>
      <c r="BR196" s="22"/>
      <c r="BT196" s="22"/>
      <c r="BU196" s="22"/>
      <c r="BV196" s="22"/>
      <c r="BX196" s="22"/>
      <c r="BY196" s="22"/>
      <c r="BZ196" s="22"/>
      <c r="CB196" s="24"/>
      <c r="CC196" s="24"/>
      <c r="CD196" s="24"/>
      <c r="CE196" s="25"/>
      <c r="CF196" s="25"/>
      <c r="CG196" s="25"/>
      <c r="CH196" s="25"/>
      <c r="CI196" s="25"/>
      <c r="CJ196" s="25"/>
      <c r="CK196" s="25"/>
      <c r="CL196" s="25"/>
      <c r="CM196" s="25"/>
      <c r="CN196" s="25"/>
      <c r="CO196" s="25"/>
      <c r="CP196" s="25"/>
      <c r="CQ196" s="25"/>
      <c r="CR196" s="25"/>
      <c r="CS196" s="26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4"/>
      <c r="EP196" s="24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4"/>
      <c r="FC196" s="24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4"/>
      <c r="FP196" s="24"/>
      <c r="FQ196" s="24"/>
      <c r="FR196" s="24"/>
      <c r="FS196" s="24"/>
      <c r="FT196" s="24"/>
      <c r="FU196" s="24"/>
      <c r="FV196" s="24"/>
      <c r="FW196" s="24"/>
      <c r="FX196" s="24"/>
      <c r="FY196" s="24"/>
      <c r="FZ196" s="24"/>
      <c r="GA196" s="24"/>
      <c r="GB196" s="24"/>
      <c r="GC196" s="24"/>
      <c r="GD196" s="24"/>
      <c r="GE196" s="24"/>
      <c r="GF196" s="24"/>
      <c r="GG196" s="24"/>
      <c r="GH196" s="24"/>
      <c r="GI196" s="24"/>
      <c r="GJ196" s="24"/>
      <c r="GK196" s="24"/>
      <c r="GL196" s="24"/>
      <c r="GM196" s="24"/>
      <c r="GN196" s="24"/>
      <c r="GO196" s="24"/>
      <c r="GP196" s="24"/>
      <c r="GQ196" s="24"/>
      <c r="GR196" s="24"/>
    </row>
    <row r="197" spans="1:200" s="23" customFormat="1" ht="14.25" customHeight="1">
      <c r="A197" s="20"/>
      <c r="B197" s="21"/>
      <c r="C197" s="22"/>
      <c r="D197" s="22"/>
      <c r="E197" s="22"/>
      <c r="G197" s="22"/>
      <c r="H197" s="22"/>
      <c r="I197" s="22"/>
      <c r="K197" s="22"/>
      <c r="L197" s="22"/>
      <c r="M197" s="22"/>
      <c r="O197" s="22"/>
      <c r="P197" s="22"/>
      <c r="Q197" s="22"/>
      <c r="S197" s="22"/>
      <c r="T197" s="22"/>
      <c r="U197" s="22"/>
      <c r="W197" s="22"/>
      <c r="X197" s="22"/>
      <c r="Y197" s="22"/>
      <c r="AA197" s="22"/>
      <c r="AB197" s="22"/>
      <c r="AC197" s="22"/>
      <c r="AE197" s="24"/>
      <c r="AF197" s="24"/>
      <c r="AG197" s="24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6"/>
      <c r="AW197" s="24"/>
      <c r="AX197" s="20"/>
      <c r="AY197" s="21"/>
      <c r="AZ197" s="22"/>
      <c r="BA197" s="22"/>
      <c r="BB197" s="22"/>
      <c r="BD197" s="22"/>
      <c r="BE197" s="22"/>
      <c r="BF197" s="22"/>
      <c r="BH197" s="22"/>
      <c r="BI197" s="22"/>
      <c r="BJ197" s="22"/>
      <c r="BL197" s="22"/>
      <c r="BM197" s="22"/>
      <c r="BN197" s="22"/>
      <c r="BP197" s="22"/>
      <c r="BQ197" s="22"/>
      <c r="BR197" s="22"/>
      <c r="BT197" s="22"/>
      <c r="BU197" s="22"/>
      <c r="BV197" s="22"/>
      <c r="BX197" s="22"/>
      <c r="BY197" s="22"/>
      <c r="BZ197" s="22"/>
      <c r="CB197" s="24"/>
      <c r="CC197" s="24"/>
      <c r="CD197" s="24"/>
      <c r="CE197" s="25"/>
      <c r="CF197" s="25"/>
      <c r="CG197" s="25"/>
      <c r="CH197" s="25"/>
      <c r="CI197" s="25"/>
      <c r="CJ197" s="25"/>
      <c r="CK197" s="25"/>
      <c r="CL197" s="25"/>
      <c r="CM197" s="25"/>
      <c r="CN197" s="25"/>
      <c r="CO197" s="25"/>
      <c r="CP197" s="25"/>
      <c r="CQ197" s="25"/>
      <c r="CR197" s="25"/>
      <c r="CS197" s="26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4"/>
      <c r="EH197" s="24"/>
      <c r="EI197" s="24"/>
      <c r="EJ197" s="24"/>
      <c r="EK197" s="24"/>
      <c r="EL197" s="24"/>
      <c r="EM197" s="24"/>
      <c r="EN197" s="24"/>
      <c r="EO197" s="24"/>
      <c r="EP197" s="24"/>
      <c r="EQ197" s="24"/>
      <c r="ER197" s="24"/>
      <c r="ES197" s="24"/>
      <c r="ET197" s="24"/>
      <c r="EU197" s="24"/>
      <c r="EV197" s="24"/>
      <c r="EW197" s="24"/>
      <c r="EX197" s="24"/>
      <c r="EY197" s="24"/>
      <c r="EZ197" s="24"/>
      <c r="FA197" s="24"/>
      <c r="FB197" s="24"/>
      <c r="FC197" s="24"/>
      <c r="FD197" s="24"/>
      <c r="FE197" s="24"/>
      <c r="FF197" s="24"/>
      <c r="FG197" s="24"/>
      <c r="FH197" s="24"/>
      <c r="FI197" s="24"/>
      <c r="FJ197" s="24"/>
      <c r="FK197" s="24"/>
      <c r="FL197" s="24"/>
      <c r="FM197" s="24"/>
      <c r="FN197" s="24"/>
      <c r="FO197" s="24"/>
      <c r="FP197" s="24"/>
      <c r="FQ197" s="24"/>
      <c r="FR197" s="24"/>
      <c r="FS197" s="24"/>
      <c r="FT197" s="24"/>
      <c r="FU197" s="24"/>
      <c r="FV197" s="24"/>
      <c r="FW197" s="24"/>
      <c r="FX197" s="24"/>
      <c r="FY197" s="24"/>
      <c r="FZ197" s="24"/>
      <c r="GA197" s="24"/>
      <c r="GB197" s="24"/>
      <c r="GC197" s="24"/>
      <c r="GD197" s="24"/>
      <c r="GE197" s="24"/>
      <c r="GF197" s="24"/>
      <c r="GG197" s="24"/>
      <c r="GH197" s="24"/>
      <c r="GI197" s="24"/>
      <c r="GJ197" s="24"/>
      <c r="GK197" s="24"/>
      <c r="GL197" s="24"/>
      <c r="GM197" s="24"/>
      <c r="GN197" s="24"/>
      <c r="GO197" s="24"/>
      <c r="GP197" s="24"/>
      <c r="GQ197" s="24"/>
      <c r="GR197" s="24"/>
    </row>
    <row r="198" spans="1:200" s="23" customFormat="1" ht="14.25" customHeight="1">
      <c r="A198" s="20"/>
      <c r="B198" s="21"/>
      <c r="C198" s="22"/>
      <c r="D198" s="22"/>
      <c r="E198" s="22"/>
      <c r="G198" s="22"/>
      <c r="H198" s="22"/>
      <c r="I198" s="22"/>
      <c r="K198" s="22"/>
      <c r="L198" s="22"/>
      <c r="M198" s="22"/>
      <c r="O198" s="22"/>
      <c r="P198" s="22"/>
      <c r="Q198" s="22"/>
      <c r="S198" s="22"/>
      <c r="T198" s="22"/>
      <c r="U198" s="22"/>
      <c r="W198" s="22"/>
      <c r="X198" s="22"/>
      <c r="Y198" s="22"/>
      <c r="AA198" s="22"/>
      <c r="AB198" s="22"/>
      <c r="AC198" s="22"/>
      <c r="AE198" s="24"/>
      <c r="AF198" s="24"/>
      <c r="AG198" s="24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6"/>
      <c r="AW198" s="24"/>
      <c r="AX198" s="20"/>
      <c r="AY198" s="21"/>
      <c r="AZ198" s="22"/>
      <c r="BA198" s="22"/>
      <c r="BB198" s="22"/>
      <c r="BD198" s="22"/>
      <c r="BE198" s="22"/>
      <c r="BF198" s="22"/>
      <c r="BH198" s="22"/>
      <c r="BI198" s="22"/>
      <c r="BJ198" s="22"/>
      <c r="BL198" s="22"/>
      <c r="BM198" s="22"/>
      <c r="BN198" s="22"/>
      <c r="BP198" s="22"/>
      <c r="BQ198" s="22"/>
      <c r="BR198" s="22"/>
      <c r="BT198" s="22"/>
      <c r="BU198" s="22"/>
      <c r="BV198" s="22"/>
      <c r="BX198" s="22"/>
      <c r="BY198" s="22"/>
      <c r="BZ198" s="22"/>
      <c r="CB198" s="24"/>
      <c r="CC198" s="24"/>
      <c r="CD198" s="24"/>
      <c r="CE198" s="25"/>
      <c r="CF198" s="25"/>
      <c r="CG198" s="25"/>
      <c r="CH198" s="25"/>
      <c r="CI198" s="25"/>
      <c r="CJ198" s="25"/>
      <c r="CK198" s="25"/>
      <c r="CL198" s="25"/>
      <c r="CM198" s="25"/>
      <c r="CN198" s="25"/>
      <c r="CO198" s="25"/>
      <c r="CP198" s="25"/>
      <c r="CQ198" s="25"/>
      <c r="CR198" s="25"/>
      <c r="CS198" s="26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4"/>
      <c r="EP198" s="24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4"/>
      <c r="FC198" s="24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4"/>
      <c r="FP198" s="24"/>
      <c r="FQ198" s="24"/>
      <c r="FR198" s="24"/>
      <c r="FS198" s="24"/>
      <c r="FT198" s="24"/>
      <c r="FU198" s="24"/>
      <c r="FV198" s="24"/>
      <c r="FW198" s="24"/>
      <c r="FX198" s="24"/>
      <c r="FY198" s="24"/>
      <c r="FZ198" s="24"/>
      <c r="GA198" s="24"/>
      <c r="GB198" s="24"/>
      <c r="GC198" s="24"/>
      <c r="GD198" s="24"/>
      <c r="GE198" s="24"/>
      <c r="GF198" s="24"/>
      <c r="GG198" s="24"/>
      <c r="GH198" s="24"/>
      <c r="GI198" s="24"/>
      <c r="GJ198" s="24"/>
      <c r="GK198" s="24"/>
      <c r="GL198" s="24"/>
      <c r="GM198" s="24"/>
      <c r="GN198" s="24"/>
      <c r="GO198" s="24"/>
      <c r="GP198" s="24"/>
      <c r="GQ198" s="24"/>
      <c r="GR198" s="24"/>
    </row>
    <row r="199" spans="1:200" s="23" customFormat="1" ht="14.25" customHeight="1">
      <c r="A199" s="20"/>
      <c r="B199" s="21"/>
      <c r="C199" s="22"/>
      <c r="D199" s="22"/>
      <c r="E199" s="22"/>
      <c r="G199" s="22"/>
      <c r="H199" s="22"/>
      <c r="I199" s="22"/>
      <c r="K199" s="22"/>
      <c r="L199" s="22"/>
      <c r="M199" s="22"/>
      <c r="O199" s="22"/>
      <c r="P199" s="22"/>
      <c r="Q199" s="22"/>
      <c r="S199" s="22"/>
      <c r="T199" s="22"/>
      <c r="U199" s="22"/>
      <c r="W199" s="22"/>
      <c r="X199" s="22"/>
      <c r="Y199" s="22"/>
      <c r="AA199" s="22"/>
      <c r="AB199" s="22"/>
      <c r="AC199" s="22"/>
      <c r="AE199" s="24"/>
      <c r="AF199" s="24"/>
      <c r="AG199" s="24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6"/>
      <c r="AW199" s="24"/>
      <c r="AX199" s="20"/>
      <c r="AY199" s="21"/>
      <c r="AZ199" s="22"/>
      <c r="BA199" s="22"/>
      <c r="BB199" s="22"/>
      <c r="BD199" s="22"/>
      <c r="BE199" s="22"/>
      <c r="BF199" s="22"/>
      <c r="BH199" s="22"/>
      <c r="BI199" s="22"/>
      <c r="BJ199" s="22"/>
      <c r="BL199" s="22"/>
      <c r="BM199" s="22"/>
      <c r="BN199" s="22"/>
      <c r="BP199" s="22"/>
      <c r="BQ199" s="22"/>
      <c r="BR199" s="22"/>
      <c r="BT199" s="22"/>
      <c r="BU199" s="22"/>
      <c r="BV199" s="22"/>
      <c r="BX199" s="22"/>
      <c r="BY199" s="22"/>
      <c r="BZ199" s="22"/>
      <c r="CB199" s="24"/>
      <c r="CC199" s="24"/>
      <c r="CD199" s="24"/>
      <c r="CE199" s="25"/>
      <c r="CF199" s="25"/>
      <c r="CG199" s="25"/>
      <c r="CH199" s="25"/>
      <c r="CI199" s="25"/>
      <c r="CJ199" s="25"/>
      <c r="CK199" s="25"/>
      <c r="CL199" s="25"/>
      <c r="CM199" s="25"/>
      <c r="CN199" s="25"/>
      <c r="CO199" s="25"/>
      <c r="CP199" s="25"/>
      <c r="CQ199" s="25"/>
      <c r="CR199" s="25"/>
      <c r="CS199" s="26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4"/>
      <c r="EH199" s="24"/>
      <c r="EI199" s="24"/>
      <c r="EJ199" s="24"/>
      <c r="EK199" s="24"/>
      <c r="EL199" s="24"/>
      <c r="EM199" s="24"/>
      <c r="EN199" s="24"/>
      <c r="EO199" s="24"/>
      <c r="EP199" s="24"/>
      <c r="EQ199" s="24"/>
      <c r="ER199" s="24"/>
      <c r="ES199" s="24"/>
      <c r="ET199" s="24"/>
      <c r="EU199" s="24"/>
      <c r="EV199" s="24"/>
      <c r="EW199" s="24"/>
      <c r="EX199" s="24"/>
      <c r="EY199" s="24"/>
      <c r="EZ199" s="24"/>
      <c r="FA199" s="24"/>
      <c r="FB199" s="24"/>
      <c r="FC199" s="24"/>
      <c r="FD199" s="24"/>
      <c r="FE199" s="24"/>
      <c r="FF199" s="24"/>
      <c r="FG199" s="24"/>
      <c r="FH199" s="24"/>
      <c r="FI199" s="24"/>
      <c r="FJ199" s="24"/>
      <c r="FK199" s="24"/>
      <c r="FL199" s="24"/>
      <c r="FM199" s="24"/>
      <c r="FN199" s="24"/>
      <c r="FO199" s="24"/>
      <c r="FP199" s="24"/>
      <c r="FQ199" s="24"/>
      <c r="FR199" s="24"/>
      <c r="FS199" s="24"/>
      <c r="FT199" s="24"/>
      <c r="FU199" s="24"/>
      <c r="FV199" s="24"/>
      <c r="FW199" s="24"/>
      <c r="FX199" s="24"/>
      <c r="FY199" s="24"/>
      <c r="FZ199" s="24"/>
      <c r="GA199" s="24"/>
      <c r="GB199" s="24"/>
      <c r="GC199" s="24"/>
      <c r="GD199" s="24"/>
      <c r="GE199" s="24"/>
      <c r="GF199" s="24"/>
      <c r="GG199" s="24"/>
      <c r="GH199" s="24"/>
      <c r="GI199" s="24"/>
      <c r="GJ199" s="24"/>
      <c r="GK199" s="24"/>
      <c r="GL199" s="24"/>
      <c r="GM199" s="24"/>
      <c r="GN199" s="24"/>
      <c r="GO199" s="24"/>
      <c r="GP199" s="24"/>
      <c r="GQ199" s="24"/>
      <c r="GR199" s="24"/>
    </row>
    <row r="200" spans="1:200" s="23" customFormat="1" ht="14.25" customHeight="1">
      <c r="A200" s="20"/>
      <c r="B200" s="21"/>
      <c r="C200" s="22"/>
      <c r="D200" s="22"/>
      <c r="E200" s="22"/>
      <c r="G200" s="22"/>
      <c r="H200" s="22"/>
      <c r="I200" s="22"/>
      <c r="K200" s="22"/>
      <c r="L200" s="22"/>
      <c r="M200" s="22"/>
      <c r="O200" s="22"/>
      <c r="P200" s="22"/>
      <c r="Q200" s="22"/>
      <c r="S200" s="22"/>
      <c r="T200" s="22"/>
      <c r="U200" s="22"/>
      <c r="W200" s="22"/>
      <c r="X200" s="22"/>
      <c r="Y200" s="22"/>
      <c r="AA200" s="22"/>
      <c r="AB200" s="22"/>
      <c r="AC200" s="22"/>
      <c r="AE200" s="24"/>
      <c r="AF200" s="24"/>
      <c r="AG200" s="24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6"/>
      <c r="AW200" s="24"/>
      <c r="AX200" s="20"/>
      <c r="AY200" s="21"/>
      <c r="AZ200" s="22"/>
      <c r="BA200" s="22"/>
      <c r="BB200" s="22"/>
      <c r="BD200" s="22"/>
      <c r="BE200" s="22"/>
      <c r="BF200" s="22"/>
      <c r="BH200" s="22"/>
      <c r="BI200" s="22"/>
      <c r="BJ200" s="22"/>
      <c r="BL200" s="22"/>
      <c r="BM200" s="22"/>
      <c r="BN200" s="22"/>
      <c r="BP200" s="22"/>
      <c r="BQ200" s="22"/>
      <c r="BR200" s="22"/>
      <c r="BT200" s="22"/>
      <c r="BU200" s="22"/>
      <c r="BV200" s="22"/>
      <c r="BX200" s="22"/>
      <c r="BY200" s="22"/>
      <c r="BZ200" s="22"/>
      <c r="CB200" s="24"/>
      <c r="CC200" s="24"/>
      <c r="CD200" s="24"/>
      <c r="CE200" s="25"/>
      <c r="CF200" s="25"/>
      <c r="CG200" s="25"/>
      <c r="CH200" s="25"/>
      <c r="CI200" s="25"/>
      <c r="CJ200" s="25"/>
      <c r="CK200" s="25"/>
      <c r="CL200" s="25"/>
      <c r="CM200" s="25"/>
      <c r="CN200" s="25"/>
      <c r="CO200" s="25"/>
      <c r="CP200" s="25"/>
      <c r="CQ200" s="25"/>
      <c r="CR200" s="25"/>
      <c r="CS200" s="26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4"/>
      <c r="EP200" s="24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4"/>
      <c r="FC200" s="24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4"/>
      <c r="FP200" s="24"/>
      <c r="FQ200" s="24"/>
      <c r="FR200" s="24"/>
      <c r="FS200" s="24"/>
      <c r="FT200" s="24"/>
      <c r="FU200" s="24"/>
      <c r="FV200" s="24"/>
      <c r="FW200" s="24"/>
      <c r="FX200" s="24"/>
      <c r="FY200" s="24"/>
      <c r="FZ200" s="24"/>
      <c r="GA200" s="24"/>
      <c r="GB200" s="24"/>
      <c r="GC200" s="24"/>
      <c r="GD200" s="24"/>
      <c r="GE200" s="24"/>
      <c r="GF200" s="24"/>
      <c r="GG200" s="24"/>
      <c r="GH200" s="24"/>
      <c r="GI200" s="24"/>
      <c r="GJ200" s="24"/>
      <c r="GK200" s="24"/>
      <c r="GL200" s="24"/>
      <c r="GM200" s="24"/>
      <c r="GN200" s="24"/>
      <c r="GO200" s="24"/>
      <c r="GP200" s="24"/>
      <c r="GQ200" s="24"/>
      <c r="GR200" s="24"/>
    </row>
    <row r="201" spans="1:200" s="23" customFormat="1" ht="14.25" customHeight="1">
      <c r="A201" s="20"/>
      <c r="B201" s="21"/>
      <c r="C201" s="22"/>
      <c r="D201" s="22"/>
      <c r="E201" s="22"/>
      <c r="G201" s="22"/>
      <c r="H201" s="22"/>
      <c r="I201" s="22"/>
      <c r="K201" s="22"/>
      <c r="L201" s="22"/>
      <c r="M201" s="22"/>
      <c r="O201" s="22"/>
      <c r="P201" s="22"/>
      <c r="Q201" s="22"/>
      <c r="S201" s="22"/>
      <c r="T201" s="22"/>
      <c r="U201" s="22"/>
      <c r="W201" s="22"/>
      <c r="X201" s="22"/>
      <c r="Y201" s="22"/>
      <c r="AA201" s="22"/>
      <c r="AB201" s="22"/>
      <c r="AC201" s="22"/>
      <c r="AE201" s="24"/>
      <c r="AF201" s="24"/>
      <c r="AG201" s="24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6"/>
      <c r="AW201" s="24"/>
      <c r="AX201" s="20"/>
      <c r="AY201" s="21"/>
      <c r="AZ201" s="22"/>
      <c r="BA201" s="22"/>
      <c r="BB201" s="22"/>
      <c r="BD201" s="22"/>
      <c r="BE201" s="22"/>
      <c r="BF201" s="22"/>
      <c r="BH201" s="22"/>
      <c r="BI201" s="22"/>
      <c r="BJ201" s="22"/>
      <c r="BL201" s="22"/>
      <c r="BM201" s="22"/>
      <c r="BN201" s="22"/>
      <c r="BP201" s="22"/>
      <c r="BQ201" s="22"/>
      <c r="BR201" s="22"/>
      <c r="BT201" s="22"/>
      <c r="BU201" s="22"/>
      <c r="BV201" s="22"/>
      <c r="BX201" s="22"/>
      <c r="BY201" s="22"/>
      <c r="BZ201" s="22"/>
      <c r="CB201" s="24"/>
      <c r="CC201" s="24"/>
      <c r="CD201" s="24"/>
      <c r="CE201" s="25"/>
      <c r="CF201" s="25"/>
      <c r="CG201" s="25"/>
      <c r="CH201" s="25"/>
      <c r="CI201" s="25"/>
      <c r="CJ201" s="25"/>
      <c r="CK201" s="25"/>
      <c r="CL201" s="25"/>
      <c r="CM201" s="25"/>
      <c r="CN201" s="25"/>
      <c r="CO201" s="25"/>
      <c r="CP201" s="25"/>
      <c r="CQ201" s="25"/>
      <c r="CR201" s="25"/>
      <c r="CS201" s="26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4"/>
      <c r="EH201" s="24"/>
      <c r="EI201" s="24"/>
      <c r="EJ201" s="24"/>
      <c r="EK201" s="24"/>
      <c r="EL201" s="24"/>
      <c r="EM201" s="24"/>
      <c r="EN201" s="24"/>
      <c r="EO201" s="24"/>
      <c r="EP201" s="24"/>
      <c r="EQ201" s="24"/>
      <c r="ER201" s="24"/>
      <c r="ES201" s="24"/>
      <c r="ET201" s="24"/>
      <c r="EU201" s="24"/>
      <c r="EV201" s="24"/>
      <c r="EW201" s="24"/>
      <c r="EX201" s="24"/>
      <c r="EY201" s="24"/>
      <c r="EZ201" s="24"/>
      <c r="FA201" s="24"/>
      <c r="FB201" s="24"/>
      <c r="FC201" s="24"/>
      <c r="FD201" s="24"/>
      <c r="FE201" s="24"/>
      <c r="FF201" s="24"/>
      <c r="FG201" s="24"/>
      <c r="FH201" s="24"/>
      <c r="FI201" s="24"/>
      <c r="FJ201" s="24"/>
      <c r="FK201" s="24"/>
      <c r="FL201" s="24"/>
      <c r="FM201" s="24"/>
      <c r="FN201" s="24"/>
      <c r="FO201" s="24"/>
      <c r="FP201" s="24"/>
      <c r="FQ201" s="24"/>
      <c r="FR201" s="24"/>
      <c r="FS201" s="24"/>
      <c r="FT201" s="24"/>
      <c r="FU201" s="24"/>
      <c r="FV201" s="24"/>
      <c r="FW201" s="24"/>
      <c r="FX201" s="24"/>
      <c r="FY201" s="24"/>
      <c r="FZ201" s="24"/>
      <c r="GA201" s="24"/>
      <c r="GB201" s="24"/>
      <c r="GC201" s="24"/>
      <c r="GD201" s="24"/>
      <c r="GE201" s="24"/>
      <c r="GF201" s="24"/>
      <c r="GG201" s="24"/>
      <c r="GH201" s="24"/>
      <c r="GI201" s="24"/>
      <c r="GJ201" s="24"/>
      <c r="GK201" s="24"/>
      <c r="GL201" s="24"/>
      <c r="GM201" s="24"/>
      <c r="GN201" s="24"/>
      <c r="GO201" s="24"/>
      <c r="GP201" s="24"/>
      <c r="GQ201" s="24"/>
      <c r="GR201" s="24"/>
    </row>
    <row r="202" spans="1:200" s="23" customFormat="1" ht="14.25" customHeight="1">
      <c r="A202" s="20"/>
      <c r="B202" s="21"/>
      <c r="C202" s="22"/>
      <c r="D202" s="22"/>
      <c r="E202" s="22"/>
      <c r="G202" s="22"/>
      <c r="H202" s="22"/>
      <c r="I202" s="22"/>
      <c r="K202" s="22"/>
      <c r="L202" s="22"/>
      <c r="M202" s="22"/>
      <c r="O202" s="22"/>
      <c r="P202" s="22"/>
      <c r="Q202" s="22"/>
      <c r="S202" s="22"/>
      <c r="T202" s="22"/>
      <c r="U202" s="22"/>
      <c r="W202" s="22"/>
      <c r="X202" s="22"/>
      <c r="Y202" s="22"/>
      <c r="AA202" s="22"/>
      <c r="AB202" s="22"/>
      <c r="AC202" s="22"/>
      <c r="AE202" s="24"/>
      <c r="AF202" s="24"/>
      <c r="AG202" s="24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6"/>
      <c r="AW202" s="24"/>
      <c r="AX202" s="20"/>
      <c r="AY202" s="21"/>
      <c r="AZ202" s="22"/>
      <c r="BA202" s="22"/>
      <c r="BB202" s="22"/>
      <c r="BD202" s="22"/>
      <c r="BE202" s="22"/>
      <c r="BF202" s="22"/>
      <c r="BH202" s="22"/>
      <c r="BI202" s="22"/>
      <c r="BJ202" s="22"/>
      <c r="BL202" s="22"/>
      <c r="BM202" s="22"/>
      <c r="BN202" s="22"/>
      <c r="BP202" s="22"/>
      <c r="BQ202" s="22"/>
      <c r="BR202" s="22"/>
      <c r="BT202" s="22"/>
      <c r="BU202" s="22"/>
      <c r="BV202" s="22"/>
      <c r="BX202" s="22"/>
      <c r="BY202" s="22"/>
      <c r="BZ202" s="22"/>
      <c r="CB202" s="24"/>
      <c r="CC202" s="24"/>
      <c r="CD202" s="24"/>
      <c r="CE202" s="25"/>
      <c r="CF202" s="25"/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6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4"/>
      <c r="EP202" s="24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4"/>
      <c r="FC202" s="24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4"/>
      <c r="FP202" s="24"/>
      <c r="FQ202" s="24"/>
      <c r="FR202" s="24"/>
      <c r="FS202" s="24"/>
      <c r="FT202" s="24"/>
      <c r="FU202" s="24"/>
      <c r="FV202" s="24"/>
      <c r="FW202" s="24"/>
      <c r="FX202" s="24"/>
      <c r="FY202" s="24"/>
      <c r="FZ202" s="24"/>
      <c r="GA202" s="24"/>
      <c r="GB202" s="24"/>
      <c r="GC202" s="24"/>
      <c r="GD202" s="24"/>
      <c r="GE202" s="24"/>
      <c r="GF202" s="24"/>
      <c r="GG202" s="24"/>
      <c r="GH202" s="24"/>
      <c r="GI202" s="24"/>
      <c r="GJ202" s="24"/>
      <c r="GK202" s="24"/>
      <c r="GL202" s="24"/>
      <c r="GM202" s="24"/>
      <c r="GN202" s="24"/>
      <c r="GO202" s="24"/>
      <c r="GP202" s="24"/>
      <c r="GQ202" s="24"/>
      <c r="GR202" s="24"/>
    </row>
    <row r="203" spans="1:200" s="23" customFormat="1" ht="14.25" customHeight="1">
      <c r="A203" s="20"/>
      <c r="B203" s="21"/>
      <c r="C203" s="22"/>
      <c r="D203" s="22"/>
      <c r="E203" s="22"/>
      <c r="G203" s="22"/>
      <c r="H203" s="22"/>
      <c r="I203" s="22"/>
      <c r="K203" s="22"/>
      <c r="L203" s="22"/>
      <c r="M203" s="22"/>
      <c r="O203" s="22"/>
      <c r="P203" s="22"/>
      <c r="Q203" s="22"/>
      <c r="S203" s="22"/>
      <c r="T203" s="22"/>
      <c r="U203" s="22"/>
      <c r="W203" s="22"/>
      <c r="X203" s="22"/>
      <c r="Y203" s="22"/>
      <c r="AA203" s="22"/>
      <c r="AB203" s="22"/>
      <c r="AC203" s="22"/>
      <c r="AE203" s="24"/>
      <c r="AF203" s="24"/>
      <c r="AG203" s="24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6"/>
      <c r="AW203" s="24"/>
      <c r="AX203" s="20"/>
      <c r="AY203" s="21"/>
      <c r="AZ203" s="22"/>
      <c r="BA203" s="22"/>
      <c r="BB203" s="22"/>
      <c r="BD203" s="22"/>
      <c r="BE203" s="22"/>
      <c r="BF203" s="22"/>
      <c r="BH203" s="22"/>
      <c r="BI203" s="22"/>
      <c r="BJ203" s="22"/>
      <c r="BL203" s="22"/>
      <c r="BM203" s="22"/>
      <c r="BN203" s="22"/>
      <c r="BP203" s="22"/>
      <c r="BQ203" s="22"/>
      <c r="BR203" s="22"/>
      <c r="BT203" s="22"/>
      <c r="BU203" s="22"/>
      <c r="BV203" s="22"/>
      <c r="BX203" s="22"/>
      <c r="BY203" s="22"/>
      <c r="BZ203" s="22"/>
      <c r="CB203" s="24"/>
      <c r="CC203" s="24"/>
      <c r="CD203" s="24"/>
      <c r="CE203" s="25"/>
      <c r="CF203" s="25"/>
      <c r="CG203" s="25"/>
      <c r="CH203" s="25"/>
      <c r="CI203" s="25"/>
      <c r="CJ203" s="25"/>
      <c r="CK203" s="25"/>
      <c r="CL203" s="25"/>
      <c r="CM203" s="25"/>
      <c r="CN203" s="25"/>
      <c r="CO203" s="25"/>
      <c r="CP203" s="25"/>
      <c r="CQ203" s="25"/>
      <c r="CR203" s="25"/>
      <c r="CS203" s="26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4"/>
      <c r="EH203" s="24"/>
      <c r="EI203" s="24"/>
      <c r="EJ203" s="24"/>
      <c r="EK203" s="24"/>
      <c r="EL203" s="24"/>
      <c r="EM203" s="24"/>
      <c r="EN203" s="24"/>
      <c r="EO203" s="24"/>
      <c r="EP203" s="24"/>
      <c r="EQ203" s="24"/>
      <c r="ER203" s="24"/>
      <c r="ES203" s="24"/>
      <c r="ET203" s="24"/>
      <c r="EU203" s="24"/>
      <c r="EV203" s="24"/>
      <c r="EW203" s="24"/>
      <c r="EX203" s="24"/>
      <c r="EY203" s="24"/>
      <c r="EZ203" s="24"/>
      <c r="FA203" s="24"/>
      <c r="FB203" s="24"/>
      <c r="FC203" s="24"/>
      <c r="FD203" s="24"/>
      <c r="FE203" s="24"/>
      <c r="FF203" s="24"/>
      <c r="FG203" s="24"/>
      <c r="FH203" s="24"/>
      <c r="FI203" s="24"/>
      <c r="FJ203" s="24"/>
      <c r="FK203" s="24"/>
      <c r="FL203" s="24"/>
      <c r="FM203" s="24"/>
      <c r="FN203" s="24"/>
      <c r="FO203" s="24"/>
      <c r="FP203" s="24"/>
      <c r="FQ203" s="24"/>
      <c r="FR203" s="24"/>
      <c r="FS203" s="24"/>
      <c r="FT203" s="24"/>
      <c r="FU203" s="24"/>
      <c r="FV203" s="24"/>
      <c r="FW203" s="24"/>
      <c r="FX203" s="24"/>
      <c r="FY203" s="24"/>
      <c r="FZ203" s="24"/>
      <c r="GA203" s="24"/>
      <c r="GB203" s="24"/>
      <c r="GC203" s="24"/>
      <c r="GD203" s="24"/>
      <c r="GE203" s="24"/>
      <c r="GF203" s="24"/>
      <c r="GG203" s="24"/>
      <c r="GH203" s="24"/>
      <c r="GI203" s="24"/>
      <c r="GJ203" s="24"/>
      <c r="GK203" s="24"/>
      <c r="GL203" s="24"/>
      <c r="GM203" s="24"/>
      <c r="GN203" s="24"/>
      <c r="GO203" s="24"/>
      <c r="GP203" s="24"/>
      <c r="GQ203" s="24"/>
      <c r="GR203" s="24"/>
    </row>
    <row r="204" spans="1:200" s="23" customFormat="1" ht="14.25" customHeight="1">
      <c r="A204" s="20"/>
      <c r="B204" s="21"/>
      <c r="C204" s="22"/>
      <c r="D204" s="22"/>
      <c r="E204" s="22"/>
      <c r="G204" s="22"/>
      <c r="H204" s="22"/>
      <c r="I204" s="22"/>
      <c r="K204" s="22"/>
      <c r="L204" s="22"/>
      <c r="M204" s="22"/>
      <c r="O204" s="22"/>
      <c r="P204" s="22"/>
      <c r="Q204" s="22"/>
      <c r="S204" s="22"/>
      <c r="T204" s="22"/>
      <c r="U204" s="22"/>
      <c r="W204" s="22"/>
      <c r="X204" s="22"/>
      <c r="Y204" s="22"/>
      <c r="AA204" s="22"/>
      <c r="AB204" s="22"/>
      <c r="AC204" s="22"/>
      <c r="AE204" s="24"/>
      <c r="AF204" s="24"/>
      <c r="AG204" s="24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6"/>
      <c r="AW204" s="24"/>
      <c r="AX204" s="20"/>
      <c r="AY204" s="21"/>
      <c r="AZ204" s="22"/>
      <c r="BA204" s="22"/>
      <c r="BB204" s="22"/>
      <c r="BD204" s="22"/>
      <c r="BE204" s="22"/>
      <c r="BF204" s="22"/>
      <c r="BH204" s="22"/>
      <c r="BI204" s="22"/>
      <c r="BJ204" s="22"/>
      <c r="BL204" s="22"/>
      <c r="BM204" s="22"/>
      <c r="BN204" s="22"/>
      <c r="BP204" s="22"/>
      <c r="BQ204" s="22"/>
      <c r="BR204" s="22"/>
      <c r="BT204" s="22"/>
      <c r="BU204" s="22"/>
      <c r="BV204" s="22"/>
      <c r="BX204" s="22"/>
      <c r="BY204" s="22"/>
      <c r="BZ204" s="22"/>
      <c r="CB204" s="24"/>
      <c r="CC204" s="24"/>
      <c r="CD204" s="24"/>
      <c r="CE204" s="25"/>
      <c r="CF204" s="25"/>
      <c r="CG204" s="25"/>
      <c r="CH204" s="25"/>
      <c r="CI204" s="25"/>
      <c r="CJ204" s="25"/>
      <c r="CK204" s="25"/>
      <c r="CL204" s="25"/>
      <c r="CM204" s="25"/>
      <c r="CN204" s="25"/>
      <c r="CO204" s="25"/>
      <c r="CP204" s="25"/>
      <c r="CQ204" s="25"/>
      <c r="CR204" s="25"/>
      <c r="CS204" s="26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4"/>
      <c r="EP204" s="24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4"/>
      <c r="FC204" s="24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4"/>
      <c r="FP204" s="24"/>
      <c r="FQ204" s="24"/>
      <c r="FR204" s="24"/>
      <c r="FS204" s="24"/>
      <c r="FT204" s="24"/>
      <c r="FU204" s="24"/>
      <c r="FV204" s="24"/>
      <c r="FW204" s="24"/>
      <c r="FX204" s="24"/>
      <c r="FY204" s="24"/>
      <c r="FZ204" s="24"/>
      <c r="GA204" s="24"/>
      <c r="GB204" s="24"/>
      <c r="GC204" s="24"/>
      <c r="GD204" s="24"/>
      <c r="GE204" s="24"/>
      <c r="GF204" s="24"/>
      <c r="GG204" s="24"/>
      <c r="GH204" s="24"/>
      <c r="GI204" s="24"/>
      <c r="GJ204" s="24"/>
      <c r="GK204" s="24"/>
      <c r="GL204" s="24"/>
      <c r="GM204" s="24"/>
      <c r="GN204" s="24"/>
      <c r="GO204" s="24"/>
      <c r="GP204" s="24"/>
      <c r="GQ204" s="24"/>
      <c r="GR204" s="24"/>
    </row>
    <row r="205" spans="1:200" s="23" customFormat="1" ht="14.25" customHeight="1">
      <c r="A205" s="20"/>
      <c r="B205" s="21"/>
      <c r="C205" s="22"/>
      <c r="D205" s="22"/>
      <c r="E205" s="22"/>
      <c r="G205" s="22"/>
      <c r="H205" s="22"/>
      <c r="I205" s="22"/>
      <c r="K205" s="22"/>
      <c r="L205" s="22"/>
      <c r="M205" s="22"/>
      <c r="O205" s="22"/>
      <c r="P205" s="22"/>
      <c r="Q205" s="22"/>
      <c r="S205" s="22"/>
      <c r="T205" s="22"/>
      <c r="U205" s="22"/>
      <c r="W205" s="22"/>
      <c r="X205" s="22"/>
      <c r="Y205" s="22"/>
      <c r="AA205" s="22"/>
      <c r="AB205" s="22"/>
      <c r="AC205" s="22"/>
      <c r="AE205" s="24"/>
      <c r="AF205" s="24"/>
      <c r="AG205" s="24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6"/>
      <c r="AW205" s="24"/>
      <c r="AX205" s="20"/>
      <c r="AY205" s="21"/>
      <c r="AZ205" s="22"/>
      <c r="BA205" s="22"/>
      <c r="BB205" s="22"/>
      <c r="BD205" s="22"/>
      <c r="BE205" s="22"/>
      <c r="BF205" s="22"/>
      <c r="BH205" s="22"/>
      <c r="BI205" s="22"/>
      <c r="BJ205" s="22"/>
      <c r="BL205" s="22"/>
      <c r="BM205" s="22"/>
      <c r="BN205" s="22"/>
      <c r="BP205" s="22"/>
      <c r="BQ205" s="22"/>
      <c r="BR205" s="22"/>
      <c r="BT205" s="22"/>
      <c r="BU205" s="22"/>
      <c r="BV205" s="22"/>
      <c r="BX205" s="22"/>
      <c r="BY205" s="22"/>
      <c r="BZ205" s="22"/>
      <c r="CB205" s="24"/>
      <c r="CC205" s="24"/>
      <c r="CD205" s="24"/>
      <c r="CE205" s="25"/>
      <c r="CF205" s="25"/>
      <c r="CG205" s="25"/>
      <c r="CH205" s="25"/>
      <c r="CI205" s="25"/>
      <c r="CJ205" s="25"/>
      <c r="CK205" s="25"/>
      <c r="CL205" s="25"/>
      <c r="CM205" s="25"/>
      <c r="CN205" s="25"/>
      <c r="CO205" s="25"/>
      <c r="CP205" s="25"/>
      <c r="CQ205" s="25"/>
      <c r="CR205" s="25"/>
      <c r="CS205" s="26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4"/>
      <c r="EH205" s="24"/>
      <c r="EI205" s="24"/>
      <c r="EJ205" s="24"/>
      <c r="EK205" s="24"/>
      <c r="EL205" s="24"/>
      <c r="EM205" s="24"/>
      <c r="EN205" s="24"/>
      <c r="EO205" s="24"/>
      <c r="EP205" s="24"/>
      <c r="EQ205" s="24"/>
      <c r="ER205" s="24"/>
      <c r="ES205" s="24"/>
      <c r="ET205" s="24"/>
      <c r="EU205" s="24"/>
      <c r="EV205" s="24"/>
      <c r="EW205" s="24"/>
      <c r="EX205" s="24"/>
      <c r="EY205" s="24"/>
      <c r="EZ205" s="24"/>
      <c r="FA205" s="24"/>
      <c r="FB205" s="24"/>
      <c r="FC205" s="24"/>
      <c r="FD205" s="24"/>
      <c r="FE205" s="24"/>
      <c r="FF205" s="24"/>
      <c r="FG205" s="24"/>
      <c r="FH205" s="24"/>
      <c r="FI205" s="24"/>
      <c r="FJ205" s="24"/>
      <c r="FK205" s="24"/>
      <c r="FL205" s="24"/>
      <c r="FM205" s="24"/>
      <c r="FN205" s="24"/>
      <c r="FO205" s="24"/>
      <c r="FP205" s="24"/>
      <c r="FQ205" s="24"/>
      <c r="FR205" s="24"/>
      <c r="FS205" s="24"/>
      <c r="FT205" s="24"/>
      <c r="FU205" s="24"/>
      <c r="FV205" s="24"/>
      <c r="FW205" s="24"/>
      <c r="FX205" s="24"/>
      <c r="FY205" s="24"/>
      <c r="FZ205" s="24"/>
      <c r="GA205" s="24"/>
      <c r="GB205" s="24"/>
      <c r="GC205" s="24"/>
      <c r="GD205" s="24"/>
      <c r="GE205" s="24"/>
      <c r="GF205" s="24"/>
      <c r="GG205" s="24"/>
      <c r="GH205" s="24"/>
      <c r="GI205" s="24"/>
      <c r="GJ205" s="24"/>
      <c r="GK205" s="24"/>
      <c r="GL205" s="24"/>
      <c r="GM205" s="24"/>
      <c r="GN205" s="24"/>
      <c r="GO205" s="24"/>
      <c r="GP205" s="24"/>
      <c r="GQ205" s="24"/>
      <c r="GR205" s="24"/>
    </row>
    <row r="206" spans="1:200" s="23" customFormat="1" ht="14.25" customHeight="1">
      <c r="A206" s="20"/>
      <c r="B206" s="21"/>
      <c r="C206" s="22"/>
      <c r="D206" s="22"/>
      <c r="E206" s="22"/>
      <c r="G206" s="22"/>
      <c r="H206" s="22"/>
      <c r="I206" s="22"/>
      <c r="K206" s="22"/>
      <c r="L206" s="22"/>
      <c r="M206" s="22"/>
      <c r="O206" s="22"/>
      <c r="P206" s="22"/>
      <c r="Q206" s="22"/>
      <c r="S206" s="22"/>
      <c r="T206" s="22"/>
      <c r="U206" s="22"/>
      <c r="W206" s="22"/>
      <c r="X206" s="22"/>
      <c r="Y206" s="22"/>
      <c r="AA206" s="22"/>
      <c r="AB206" s="22"/>
      <c r="AC206" s="22"/>
      <c r="AE206" s="24"/>
      <c r="AF206" s="24"/>
      <c r="AG206" s="24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6"/>
      <c r="AW206" s="24"/>
      <c r="AX206" s="20"/>
      <c r="AY206" s="21"/>
      <c r="AZ206" s="22"/>
      <c r="BA206" s="22"/>
      <c r="BB206" s="22"/>
      <c r="BD206" s="22"/>
      <c r="BE206" s="22"/>
      <c r="BF206" s="22"/>
      <c r="BH206" s="22"/>
      <c r="BI206" s="22"/>
      <c r="BJ206" s="22"/>
      <c r="BL206" s="22"/>
      <c r="BM206" s="22"/>
      <c r="BN206" s="22"/>
      <c r="BP206" s="22"/>
      <c r="BQ206" s="22"/>
      <c r="BR206" s="22"/>
      <c r="BT206" s="22"/>
      <c r="BU206" s="22"/>
      <c r="BV206" s="22"/>
      <c r="BX206" s="22"/>
      <c r="BY206" s="22"/>
      <c r="BZ206" s="22"/>
      <c r="CB206" s="24"/>
      <c r="CC206" s="24"/>
      <c r="CD206" s="24"/>
      <c r="CE206" s="25"/>
      <c r="CF206" s="25"/>
      <c r="CG206" s="25"/>
      <c r="CH206" s="25"/>
      <c r="CI206" s="25"/>
      <c r="CJ206" s="25"/>
      <c r="CK206" s="25"/>
      <c r="CL206" s="25"/>
      <c r="CM206" s="25"/>
      <c r="CN206" s="25"/>
      <c r="CO206" s="25"/>
      <c r="CP206" s="25"/>
      <c r="CQ206" s="25"/>
      <c r="CR206" s="25"/>
      <c r="CS206" s="26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4"/>
      <c r="EP206" s="24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4"/>
      <c r="FC206" s="24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4"/>
      <c r="FP206" s="24"/>
      <c r="FQ206" s="24"/>
      <c r="FR206" s="24"/>
      <c r="FS206" s="24"/>
      <c r="FT206" s="24"/>
      <c r="FU206" s="24"/>
      <c r="FV206" s="24"/>
      <c r="FW206" s="24"/>
      <c r="FX206" s="24"/>
      <c r="FY206" s="24"/>
      <c r="FZ206" s="24"/>
      <c r="GA206" s="24"/>
      <c r="GB206" s="24"/>
      <c r="GC206" s="24"/>
      <c r="GD206" s="24"/>
      <c r="GE206" s="24"/>
      <c r="GF206" s="24"/>
      <c r="GG206" s="24"/>
      <c r="GH206" s="24"/>
      <c r="GI206" s="24"/>
      <c r="GJ206" s="24"/>
      <c r="GK206" s="24"/>
      <c r="GL206" s="24"/>
      <c r="GM206" s="24"/>
      <c r="GN206" s="24"/>
      <c r="GO206" s="24"/>
      <c r="GP206" s="24"/>
      <c r="GQ206" s="24"/>
      <c r="GR206" s="24"/>
    </row>
    <row r="207" spans="1:200" s="23" customFormat="1" ht="14.25" customHeight="1">
      <c r="A207" s="20"/>
      <c r="B207" s="21"/>
      <c r="C207" s="22"/>
      <c r="D207" s="22"/>
      <c r="E207" s="22"/>
      <c r="G207" s="22"/>
      <c r="H207" s="22"/>
      <c r="I207" s="22"/>
      <c r="K207" s="22"/>
      <c r="L207" s="22"/>
      <c r="M207" s="22"/>
      <c r="O207" s="22"/>
      <c r="P207" s="22"/>
      <c r="Q207" s="22"/>
      <c r="S207" s="22"/>
      <c r="T207" s="22"/>
      <c r="U207" s="22"/>
      <c r="W207" s="22"/>
      <c r="X207" s="22"/>
      <c r="Y207" s="22"/>
      <c r="AA207" s="22"/>
      <c r="AB207" s="22"/>
      <c r="AC207" s="22"/>
      <c r="AE207" s="24"/>
      <c r="AF207" s="24"/>
      <c r="AG207" s="24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6"/>
      <c r="AW207" s="24"/>
      <c r="AX207" s="20"/>
      <c r="AY207" s="21"/>
      <c r="AZ207" s="22"/>
      <c r="BA207" s="22"/>
      <c r="BB207" s="22"/>
      <c r="BD207" s="22"/>
      <c r="BE207" s="22"/>
      <c r="BF207" s="22"/>
      <c r="BH207" s="22"/>
      <c r="BI207" s="22"/>
      <c r="BJ207" s="22"/>
      <c r="BL207" s="22"/>
      <c r="BM207" s="22"/>
      <c r="BN207" s="22"/>
      <c r="BP207" s="22"/>
      <c r="BQ207" s="22"/>
      <c r="BR207" s="22"/>
      <c r="BT207" s="22"/>
      <c r="BU207" s="22"/>
      <c r="BV207" s="22"/>
      <c r="BX207" s="22"/>
      <c r="BY207" s="22"/>
      <c r="BZ207" s="22"/>
      <c r="CB207" s="24"/>
      <c r="CC207" s="24"/>
      <c r="CD207" s="24"/>
      <c r="CE207" s="25"/>
      <c r="CF207" s="25"/>
      <c r="CG207" s="25"/>
      <c r="CH207" s="25"/>
      <c r="CI207" s="25"/>
      <c r="CJ207" s="25"/>
      <c r="CK207" s="25"/>
      <c r="CL207" s="25"/>
      <c r="CM207" s="25"/>
      <c r="CN207" s="25"/>
      <c r="CO207" s="25"/>
      <c r="CP207" s="25"/>
      <c r="CQ207" s="25"/>
      <c r="CR207" s="25"/>
      <c r="CS207" s="26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4"/>
      <c r="EH207" s="24"/>
      <c r="EI207" s="24"/>
      <c r="EJ207" s="24"/>
      <c r="EK207" s="24"/>
      <c r="EL207" s="24"/>
      <c r="EM207" s="24"/>
      <c r="EN207" s="24"/>
      <c r="EO207" s="24"/>
      <c r="EP207" s="24"/>
      <c r="EQ207" s="24"/>
      <c r="ER207" s="24"/>
      <c r="ES207" s="24"/>
      <c r="ET207" s="24"/>
      <c r="EU207" s="24"/>
      <c r="EV207" s="24"/>
      <c r="EW207" s="24"/>
      <c r="EX207" s="24"/>
      <c r="EY207" s="24"/>
      <c r="EZ207" s="24"/>
      <c r="FA207" s="24"/>
      <c r="FB207" s="24"/>
      <c r="FC207" s="24"/>
      <c r="FD207" s="24"/>
      <c r="FE207" s="24"/>
      <c r="FF207" s="24"/>
      <c r="FG207" s="24"/>
      <c r="FH207" s="24"/>
      <c r="FI207" s="24"/>
      <c r="FJ207" s="24"/>
      <c r="FK207" s="24"/>
      <c r="FL207" s="24"/>
      <c r="FM207" s="24"/>
      <c r="FN207" s="24"/>
      <c r="FO207" s="24"/>
      <c r="FP207" s="24"/>
      <c r="FQ207" s="24"/>
      <c r="FR207" s="24"/>
      <c r="FS207" s="24"/>
      <c r="FT207" s="24"/>
      <c r="FU207" s="24"/>
      <c r="FV207" s="24"/>
      <c r="FW207" s="24"/>
      <c r="FX207" s="24"/>
      <c r="FY207" s="24"/>
      <c r="FZ207" s="24"/>
      <c r="GA207" s="24"/>
      <c r="GB207" s="24"/>
      <c r="GC207" s="24"/>
      <c r="GD207" s="24"/>
      <c r="GE207" s="24"/>
      <c r="GF207" s="24"/>
      <c r="GG207" s="24"/>
      <c r="GH207" s="24"/>
      <c r="GI207" s="24"/>
      <c r="GJ207" s="24"/>
      <c r="GK207" s="24"/>
      <c r="GL207" s="24"/>
      <c r="GM207" s="24"/>
      <c r="GN207" s="24"/>
      <c r="GO207" s="24"/>
      <c r="GP207" s="24"/>
      <c r="GQ207" s="24"/>
      <c r="GR207" s="24"/>
    </row>
    <row r="208" spans="1:200" s="23" customFormat="1" ht="14.25" customHeight="1">
      <c r="A208" s="20"/>
      <c r="B208" s="21"/>
      <c r="C208" s="22"/>
      <c r="D208" s="22"/>
      <c r="E208" s="22"/>
      <c r="G208" s="22"/>
      <c r="H208" s="22"/>
      <c r="I208" s="22"/>
      <c r="K208" s="22"/>
      <c r="L208" s="22"/>
      <c r="M208" s="22"/>
      <c r="O208" s="22"/>
      <c r="P208" s="22"/>
      <c r="Q208" s="22"/>
      <c r="S208" s="22"/>
      <c r="T208" s="22"/>
      <c r="U208" s="22"/>
      <c r="W208" s="22"/>
      <c r="X208" s="22"/>
      <c r="Y208" s="22"/>
      <c r="AA208" s="22"/>
      <c r="AB208" s="22"/>
      <c r="AC208" s="22"/>
      <c r="AE208" s="24"/>
      <c r="AF208" s="24"/>
      <c r="AG208" s="24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6"/>
      <c r="AW208" s="24"/>
      <c r="AX208" s="20"/>
      <c r="AY208" s="21"/>
      <c r="AZ208" s="22"/>
      <c r="BA208" s="22"/>
      <c r="BB208" s="22"/>
      <c r="BD208" s="22"/>
      <c r="BE208" s="22"/>
      <c r="BF208" s="22"/>
      <c r="BH208" s="22"/>
      <c r="BI208" s="22"/>
      <c r="BJ208" s="22"/>
      <c r="BL208" s="22"/>
      <c r="BM208" s="22"/>
      <c r="BN208" s="22"/>
      <c r="BP208" s="22"/>
      <c r="BQ208" s="22"/>
      <c r="BR208" s="22"/>
      <c r="BT208" s="22"/>
      <c r="BU208" s="22"/>
      <c r="BV208" s="22"/>
      <c r="BX208" s="22"/>
      <c r="BY208" s="22"/>
      <c r="BZ208" s="22"/>
      <c r="CB208" s="24"/>
      <c r="CC208" s="24"/>
      <c r="CD208" s="24"/>
      <c r="CE208" s="25"/>
      <c r="CF208" s="25"/>
      <c r="CG208" s="25"/>
      <c r="CH208" s="25"/>
      <c r="CI208" s="25"/>
      <c r="CJ208" s="25"/>
      <c r="CK208" s="25"/>
      <c r="CL208" s="25"/>
      <c r="CM208" s="25"/>
      <c r="CN208" s="25"/>
      <c r="CO208" s="25"/>
      <c r="CP208" s="25"/>
      <c r="CQ208" s="25"/>
      <c r="CR208" s="25"/>
      <c r="CS208" s="26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4"/>
      <c r="EP208" s="24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4"/>
      <c r="FC208" s="24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4"/>
      <c r="FP208" s="24"/>
      <c r="FQ208" s="24"/>
      <c r="FR208" s="24"/>
      <c r="FS208" s="24"/>
      <c r="FT208" s="24"/>
      <c r="FU208" s="24"/>
      <c r="FV208" s="24"/>
      <c r="FW208" s="24"/>
      <c r="FX208" s="24"/>
      <c r="FY208" s="24"/>
      <c r="FZ208" s="24"/>
      <c r="GA208" s="24"/>
      <c r="GB208" s="24"/>
      <c r="GC208" s="24"/>
      <c r="GD208" s="24"/>
      <c r="GE208" s="24"/>
      <c r="GF208" s="24"/>
      <c r="GG208" s="24"/>
      <c r="GH208" s="24"/>
      <c r="GI208" s="24"/>
      <c r="GJ208" s="24"/>
      <c r="GK208" s="24"/>
      <c r="GL208" s="24"/>
      <c r="GM208" s="24"/>
      <c r="GN208" s="24"/>
      <c r="GO208" s="24"/>
      <c r="GP208" s="24"/>
      <c r="GQ208" s="24"/>
      <c r="GR208" s="24"/>
    </row>
    <row r="209" spans="1:200" s="23" customFormat="1" ht="14.25" customHeight="1">
      <c r="A209" s="20"/>
      <c r="B209" s="21"/>
      <c r="C209" s="22"/>
      <c r="D209" s="22"/>
      <c r="E209" s="22"/>
      <c r="G209" s="22"/>
      <c r="H209" s="22"/>
      <c r="I209" s="22"/>
      <c r="K209" s="22"/>
      <c r="L209" s="22"/>
      <c r="M209" s="22"/>
      <c r="O209" s="22"/>
      <c r="P209" s="22"/>
      <c r="Q209" s="22"/>
      <c r="S209" s="22"/>
      <c r="T209" s="22"/>
      <c r="U209" s="22"/>
      <c r="W209" s="22"/>
      <c r="X209" s="22"/>
      <c r="Y209" s="22"/>
      <c r="AA209" s="22"/>
      <c r="AB209" s="22"/>
      <c r="AC209" s="22"/>
      <c r="AE209" s="24"/>
      <c r="AF209" s="24"/>
      <c r="AG209" s="24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6"/>
      <c r="AW209" s="24"/>
      <c r="AX209" s="20"/>
      <c r="AY209" s="21"/>
      <c r="AZ209" s="22"/>
      <c r="BA209" s="22"/>
      <c r="BB209" s="22"/>
      <c r="BD209" s="22"/>
      <c r="BE209" s="22"/>
      <c r="BF209" s="22"/>
      <c r="BH209" s="22"/>
      <c r="BI209" s="22"/>
      <c r="BJ209" s="22"/>
      <c r="BL209" s="22"/>
      <c r="BM209" s="22"/>
      <c r="BN209" s="22"/>
      <c r="BP209" s="22"/>
      <c r="BQ209" s="22"/>
      <c r="BR209" s="22"/>
      <c r="BT209" s="22"/>
      <c r="BU209" s="22"/>
      <c r="BV209" s="22"/>
      <c r="BX209" s="22"/>
      <c r="BY209" s="22"/>
      <c r="BZ209" s="22"/>
      <c r="CB209" s="24"/>
      <c r="CC209" s="24"/>
      <c r="CD209" s="24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6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4"/>
      <c r="EH209" s="24"/>
      <c r="EI209" s="24"/>
      <c r="EJ209" s="24"/>
      <c r="EK209" s="24"/>
      <c r="EL209" s="24"/>
      <c r="EM209" s="24"/>
      <c r="EN209" s="24"/>
      <c r="EO209" s="24"/>
      <c r="EP209" s="24"/>
      <c r="EQ209" s="24"/>
      <c r="ER209" s="24"/>
      <c r="ES209" s="24"/>
      <c r="ET209" s="24"/>
      <c r="EU209" s="24"/>
      <c r="EV209" s="24"/>
      <c r="EW209" s="24"/>
      <c r="EX209" s="24"/>
      <c r="EY209" s="24"/>
      <c r="EZ209" s="24"/>
      <c r="FA209" s="24"/>
      <c r="FB209" s="24"/>
      <c r="FC209" s="24"/>
      <c r="FD209" s="24"/>
      <c r="FE209" s="24"/>
      <c r="FF209" s="24"/>
      <c r="FG209" s="24"/>
      <c r="FH209" s="24"/>
      <c r="FI209" s="24"/>
      <c r="FJ209" s="24"/>
      <c r="FK209" s="24"/>
      <c r="FL209" s="24"/>
      <c r="FM209" s="24"/>
      <c r="FN209" s="24"/>
      <c r="FO209" s="24"/>
      <c r="FP209" s="24"/>
      <c r="FQ209" s="24"/>
      <c r="FR209" s="24"/>
      <c r="FS209" s="24"/>
      <c r="FT209" s="24"/>
      <c r="FU209" s="24"/>
      <c r="FV209" s="24"/>
      <c r="FW209" s="24"/>
      <c r="FX209" s="24"/>
      <c r="FY209" s="24"/>
      <c r="FZ209" s="24"/>
      <c r="GA209" s="24"/>
      <c r="GB209" s="24"/>
      <c r="GC209" s="24"/>
      <c r="GD209" s="24"/>
      <c r="GE209" s="24"/>
      <c r="GF209" s="24"/>
      <c r="GG209" s="24"/>
      <c r="GH209" s="24"/>
      <c r="GI209" s="24"/>
      <c r="GJ209" s="24"/>
      <c r="GK209" s="24"/>
      <c r="GL209" s="24"/>
      <c r="GM209" s="24"/>
      <c r="GN209" s="24"/>
      <c r="GO209" s="24"/>
      <c r="GP209" s="24"/>
      <c r="GQ209" s="24"/>
      <c r="GR209" s="24"/>
    </row>
    <row r="210" spans="1:200" s="23" customFormat="1" ht="14.25" customHeight="1">
      <c r="A210" s="20"/>
      <c r="B210" s="21"/>
      <c r="C210" s="22"/>
      <c r="D210" s="22"/>
      <c r="E210" s="22"/>
      <c r="G210" s="22"/>
      <c r="H210" s="22"/>
      <c r="I210" s="22"/>
      <c r="K210" s="22"/>
      <c r="L210" s="22"/>
      <c r="M210" s="22"/>
      <c r="O210" s="22"/>
      <c r="P210" s="22"/>
      <c r="Q210" s="22"/>
      <c r="S210" s="22"/>
      <c r="T210" s="22"/>
      <c r="U210" s="22"/>
      <c r="W210" s="22"/>
      <c r="X210" s="22"/>
      <c r="Y210" s="22"/>
      <c r="AA210" s="22"/>
      <c r="AB210" s="22"/>
      <c r="AC210" s="22"/>
      <c r="AE210" s="24"/>
      <c r="AF210" s="24"/>
      <c r="AG210" s="24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6"/>
      <c r="AW210" s="24"/>
      <c r="AX210" s="20"/>
      <c r="AY210" s="21"/>
      <c r="AZ210" s="22"/>
      <c r="BA210" s="22"/>
      <c r="BB210" s="22"/>
      <c r="BD210" s="22"/>
      <c r="BE210" s="22"/>
      <c r="BF210" s="22"/>
      <c r="BH210" s="22"/>
      <c r="BI210" s="22"/>
      <c r="BJ210" s="22"/>
      <c r="BL210" s="22"/>
      <c r="BM210" s="22"/>
      <c r="BN210" s="22"/>
      <c r="BP210" s="22"/>
      <c r="BQ210" s="22"/>
      <c r="BR210" s="22"/>
      <c r="BT210" s="22"/>
      <c r="BU210" s="22"/>
      <c r="BV210" s="22"/>
      <c r="BX210" s="22"/>
      <c r="BY210" s="22"/>
      <c r="BZ210" s="22"/>
      <c r="CB210" s="24"/>
      <c r="CC210" s="24"/>
      <c r="CD210" s="24"/>
      <c r="CE210" s="25"/>
      <c r="CF210" s="25"/>
      <c r="CG210" s="25"/>
      <c r="CH210" s="25"/>
      <c r="CI210" s="25"/>
      <c r="CJ210" s="25"/>
      <c r="CK210" s="25"/>
      <c r="CL210" s="25"/>
      <c r="CM210" s="25"/>
      <c r="CN210" s="25"/>
      <c r="CO210" s="25"/>
      <c r="CP210" s="25"/>
      <c r="CQ210" s="25"/>
      <c r="CR210" s="25"/>
      <c r="CS210" s="26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4"/>
      <c r="EP210" s="24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4"/>
      <c r="FC210" s="24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4"/>
      <c r="FP210" s="24"/>
      <c r="FQ210" s="24"/>
      <c r="FR210" s="24"/>
      <c r="FS210" s="24"/>
      <c r="FT210" s="24"/>
      <c r="FU210" s="24"/>
      <c r="FV210" s="24"/>
      <c r="FW210" s="24"/>
      <c r="FX210" s="24"/>
      <c r="FY210" s="24"/>
      <c r="FZ210" s="24"/>
      <c r="GA210" s="24"/>
      <c r="GB210" s="24"/>
      <c r="GC210" s="24"/>
      <c r="GD210" s="24"/>
      <c r="GE210" s="24"/>
      <c r="GF210" s="24"/>
      <c r="GG210" s="24"/>
      <c r="GH210" s="24"/>
      <c r="GI210" s="24"/>
      <c r="GJ210" s="24"/>
      <c r="GK210" s="24"/>
      <c r="GL210" s="24"/>
      <c r="GM210" s="24"/>
      <c r="GN210" s="24"/>
      <c r="GO210" s="24"/>
      <c r="GP210" s="24"/>
      <c r="GQ210" s="24"/>
      <c r="GR210" s="24"/>
    </row>
    <row r="211" spans="1:200" s="23" customFormat="1" ht="14.25" customHeight="1">
      <c r="A211" s="20"/>
      <c r="B211" s="21"/>
      <c r="C211" s="22"/>
      <c r="D211" s="22"/>
      <c r="E211" s="22"/>
      <c r="G211" s="22"/>
      <c r="H211" s="22"/>
      <c r="I211" s="22"/>
      <c r="K211" s="22"/>
      <c r="L211" s="22"/>
      <c r="M211" s="22"/>
      <c r="O211" s="22"/>
      <c r="P211" s="22"/>
      <c r="Q211" s="22"/>
      <c r="S211" s="22"/>
      <c r="T211" s="22"/>
      <c r="U211" s="22"/>
      <c r="W211" s="22"/>
      <c r="X211" s="22"/>
      <c r="Y211" s="22"/>
      <c r="AA211" s="22"/>
      <c r="AB211" s="22"/>
      <c r="AC211" s="22"/>
      <c r="AE211" s="24"/>
      <c r="AF211" s="24"/>
      <c r="AG211" s="24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6"/>
      <c r="AW211" s="24"/>
      <c r="AX211" s="20"/>
      <c r="AY211" s="21"/>
      <c r="AZ211" s="22"/>
      <c r="BA211" s="22"/>
      <c r="BB211" s="22"/>
      <c r="BD211" s="22"/>
      <c r="BE211" s="22"/>
      <c r="BF211" s="22"/>
      <c r="BH211" s="22"/>
      <c r="BI211" s="22"/>
      <c r="BJ211" s="22"/>
      <c r="BL211" s="22"/>
      <c r="BM211" s="22"/>
      <c r="BN211" s="22"/>
      <c r="BP211" s="22"/>
      <c r="BQ211" s="22"/>
      <c r="BR211" s="22"/>
      <c r="BT211" s="22"/>
      <c r="BU211" s="22"/>
      <c r="BV211" s="22"/>
      <c r="BX211" s="22"/>
      <c r="BY211" s="22"/>
      <c r="BZ211" s="22"/>
      <c r="CB211" s="24"/>
      <c r="CC211" s="24"/>
      <c r="CD211" s="24"/>
      <c r="CE211" s="25"/>
      <c r="CF211" s="25"/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6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4"/>
      <c r="EH211" s="24"/>
      <c r="EI211" s="24"/>
      <c r="EJ211" s="24"/>
      <c r="EK211" s="24"/>
      <c r="EL211" s="24"/>
      <c r="EM211" s="24"/>
      <c r="EN211" s="24"/>
      <c r="EO211" s="24"/>
      <c r="EP211" s="24"/>
      <c r="EQ211" s="24"/>
      <c r="ER211" s="24"/>
      <c r="ES211" s="24"/>
      <c r="ET211" s="24"/>
      <c r="EU211" s="24"/>
      <c r="EV211" s="24"/>
      <c r="EW211" s="24"/>
      <c r="EX211" s="24"/>
      <c r="EY211" s="24"/>
      <c r="EZ211" s="24"/>
      <c r="FA211" s="24"/>
      <c r="FB211" s="24"/>
      <c r="FC211" s="24"/>
      <c r="FD211" s="24"/>
      <c r="FE211" s="24"/>
      <c r="FF211" s="24"/>
      <c r="FG211" s="24"/>
      <c r="FH211" s="24"/>
      <c r="FI211" s="24"/>
      <c r="FJ211" s="24"/>
      <c r="FK211" s="24"/>
      <c r="FL211" s="24"/>
      <c r="FM211" s="24"/>
      <c r="FN211" s="24"/>
      <c r="FO211" s="24"/>
      <c r="FP211" s="24"/>
      <c r="FQ211" s="24"/>
      <c r="FR211" s="24"/>
      <c r="FS211" s="24"/>
      <c r="FT211" s="24"/>
      <c r="FU211" s="24"/>
      <c r="FV211" s="24"/>
      <c r="FW211" s="24"/>
      <c r="FX211" s="24"/>
      <c r="FY211" s="24"/>
      <c r="FZ211" s="24"/>
      <c r="GA211" s="24"/>
      <c r="GB211" s="24"/>
      <c r="GC211" s="24"/>
      <c r="GD211" s="24"/>
      <c r="GE211" s="24"/>
      <c r="GF211" s="24"/>
      <c r="GG211" s="24"/>
      <c r="GH211" s="24"/>
      <c r="GI211" s="24"/>
      <c r="GJ211" s="24"/>
      <c r="GK211" s="24"/>
      <c r="GL211" s="24"/>
      <c r="GM211" s="24"/>
      <c r="GN211" s="24"/>
      <c r="GO211" s="24"/>
      <c r="GP211" s="24"/>
      <c r="GQ211" s="24"/>
      <c r="GR211" s="24"/>
    </row>
    <row r="212" spans="1:200" s="23" customFormat="1" ht="14.25" customHeight="1">
      <c r="A212" s="20"/>
      <c r="B212" s="21"/>
      <c r="C212" s="22"/>
      <c r="D212" s="22"/>
      <c r="E212" s="22"/>
      <c r="G212" s="22"/>
      <c r="H212" s="22"/>
      <c r="I212" s="22"/>
      <c r="K212" s="22"/>
      <c r="L212" s="22"/>
      <c r="M212" s="22"/>
      <c r="O212" s="22"/>
      <c r="P212" s="22"/>
      <c r="Q212" s="22"/>
      <c r="S212" s="22"/>
      <c r="T212" s="22"/>
      <c r="U212" s="22"/>
      <c r="W212" s="22"/>
      <c r="X212" s="22"/>
      <c r="Y212" s="22"/>
      <c r="AA212" s="22"/>
      <c r="AB212" s="22"/>
      <c r="AC212" s="22"/>
      <c r="AE212" s="24"/>
      <c r="AF212" s="24"/>
      <c r="AG212" s="24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6"/>
      <c r="AW212" s="24"/>
      <c r="AX212" s="20"/>
      <c r="AY212" s="21"/>
      <c r="AZ212" s="22"/>
      <c r="BA212" s="22"/>
      <c r="BB212" s="22"/>
      <c r="BD212" s="22"/>
      <c r="BE212" s="22"/>
      <c r="BF212" s="22"/>
      <c r="BH212" s="22"/>
      <c r="BI212" s="22"/>
      <c r="BJ212" s="22"/>
      <c r="BL212" s="22"/>
      <c r="BM212" s="22"/>
      <c r="BN212" s="22"/>
      <c r="BP212" s="22"/>
      <c r="BQ212" s="22"/>
      <c r="BR212" s="22"/>
      <c r="BT212" s="22"/>
      <c r="BU212" s="22"/>
      <c r="BV212" s="22"/>
      <c r="BX212" s="22"/>
      <c r="BY212" s="22"/>
      <c r="BZ212" s="22"/>
      <c r="CB212" s="24"/>
      <c r="CC212" s="24"/>
      <c r="CD212" s="24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6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4"/>
      <c r="EP212" s="24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4"/>
      <c r="FC212" s="24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4"/>
      <c r="FP212" s="24"/>
      <c r="FQ212" s="24"/>
      <c r="FR212" s="24"/>
      <c r="FS212" s="24"/>
      <c r="FT212" s="24"/>
      <c r="FU212" s="24"/>
      <c r="FV212" s="24"/>
      <c r="FW212" s="24"/>
      <c r="FX212" s="24"/>
      <c r="FY212" s="24"/>
      <c r="FZ212" s="24"/>
      <c r="GA212" s="24"/>
      <c r="GB212" s="24"/>
      <c r="GC212" s="24"/>
      <c r="GD212" s="24"/>
      <c r="GE212" s="24"/>
      <c r="GF212" s="24"/>
      <c r="GG212" s="24"/>
      <c r="GH212" s="24"/>
      <c r="GI212" s="24"/>
      <c r="GJ212" s="24"/>
      <c r="GK212" s="24"/>
      <c r="GL212" s="24"/>
      <c r="GM212" s="24"/>
      <c r="GN212" s="24"/>
      <c r="GO212" s="24"/>
      <c r="GP212" s="24"/>
      <c r="GQ212" s="24"/>
      <c r="GR212" s="24"/>
    </row>
    <row r="213" spans="1:200" s="23" customFormat="1" ht="14.25" customHeight="1">
      <c r="A213" s="20"/>
      <c r="B213" s="21"/>
      <c r="C213" s="22"/>
      <c r="D213" s="22"/>
      <c r="E213" s="22"/>
      <c r="G213" s="22"/>
      <c r="H213" s="22"/>
      <c r="I213" s="22"/>
      <c r="K213" s="22"/>
      <c r="L213" s="22"/>
      <c r="M213" s="22"/>
      <c r="O213" s="22"/>
      <c r="P213" s="22"/>
      <c r="Q213" s="22"/>
      <c r="S213" s="22"/>
      <c r="T213" s="22"/>
      <c r="U213" s="22"/>
      <c r="W213" s="22"/>
      <c r="X213" s="22"/>
      <c r="Y213" s="22"/>
      <c r="AA213" s="22"/>
      <c r="AB213" s="22"/>
      <c r="AC213" s="22"/>
      <c r="AE213" s="24"/>
      <c r="AF213" s="24"/>
      <c r="AG213" s="24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6"/>
      <c r="AW213" s="24"/>
      <c r="AX213" s="20"/>
      <c r="AY213" s="21"/>
      <c r="AZ213" s="22"/>
      <c r="BA213" s="22"/>
      <c r="BB213" s="22"/>
      <c r="BD213" s="22"/>
      <c r="BE213" s="22"/>
      <c r="BF213" s="22"/>
      <c r="BH213" s="22"/>
      <c r="BI213" s="22"/>
      <c r="BJ213" s="22"/>
      <c r="BL213" s="22"/>
      <c r="BM213" s="22"/>
      <c r="BN213" s="22"/>
      <c r="BP213" s="22"/>
      <c r="BQ213" s="22"/>
      <c r="BR213" s="22"/>
      <c r="BT213" s="22"/>
      <c r="BU213" s="22"/>
      <c r="BV213" s="22"/>
      <c r="BX213" s="22"/>
      <c r="BY213" s="22"/>
      <c r="BZ213" s="22"/>
      <c r="CB213" s="24"/>
      <c r="CC213" s="24"/>
      <c r="CD213" s="24"/>
      <c r="CE213" s="25"/>
      <c r="CF213" s="25"/>
      <c r="CG213" s="25"/>
      <c r="CH213" s="25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6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4"/>
      <c r="EH213" s="24"/>
      <c r="EI213" s="24"/>
      <c r="EJ213" s="24"/>
      <c r="EK213" s="24"/>
      <c r="EL213" s="24"/>
      <c r="EM213" s="24"/>
      <c r="EN213" s="24"/>
      <c r="EO213" s="24"/>
      <c r="EP213" s="24"/>
      <c r="EQ213" s="24"/>
      <c r="ER213" s="24"/>
      <c r="ES213" s="24"/>
      <c r="ET213" s="24"/>
      <c r="EU213" s="24"/>
      <c r="EV213" s="24"/>
      <c r="EW213" s="24"/>
      <c r="EX213" s="24"/>
      <c r="EY213" s="24"/>
      <c r="EZ213" s="24"/>
      <c r="FA213" s="24"/>
      <c r="FB213" s="24"/>
      <c r="FC213" s="24"/>
      <c r="FD213" s="24"/>
      <c r="FE213" s="24"/>
      <c r="FF213" s="24"/>
      <c r="FG213" s="24"/>
      <c r="FH213" s="24"/>
      <c r="FI213" s="24"/>
      <c r="FJ213" s="24"/>
      <c r="FK213" s="24"/>
      <c r="FL213" s="24"/>
      <c r="FM213" s="24"/>
      <c r="FN213" s="24"/>
      <c r="FO213" s="24"/>
      <c r="FP213" s="24"/>
      <c r="FQ213" s="24"/>
      <c r="FR213" s="24"/>
      <c r="FS213" s="24"/>
      <c r="FT213" s="24"/>
      <c r="FU213" s="24"/>
      <c r="FV213" s="24"/>
      <c r="FW213" s="24"/>
      <c r="FX213" s="24"/>
      <c r="FY213" s="24"/>
      <c r="FZ213" s="24"/>
      <c r="GA213" s="24"/>
      <c r="GB213" s="24"/>
      <c r="GC213" s="24"/>
      <c r="GD213" s="24"/>
      <c r="GE213" s="24"/>
      <c r="GF213" s="24"/>
      <c r="GG213" s="24"/>
      <c r="GH213" s="24"/>
      <c r="GI213" s="24"/>
      <c r="GJ213" s="24"/>
      <c r="GK213" s="24"/>
      <c r="GL213" s="24"/>
      <c r="GM213" s="24"/>
      <c r="GN213" s="24"/>
      <c r="GO213" s="24"/>
      <c r="GP213" s="24"/>
      <c r="GQ213" s="24"/>
      <c r="GR213" s="24"/>
    </row>
    <row r="214" spans="1:200" s="23" customFormat="1" ht="14.25" customHeight="1">
      <c r="A214" s="20"/>
      <c r="B214" s="21"/>
      <c r="C214" s="22"/>
      <c r="D214" s="22"/>
      <c r="E214" s="22"/>
      <c r="G214" s="22"/>
      <c r="H214" s="22"/>
      <c r="I214" s="22"/>
      <c r="K214" s="22"/>
      <c r="L214" s="22"/>
      <c r="M214" s="22"/>
      <c r="O214" s="22"/>
      <c r="P214" s="22"/>
      <c r="Q214" s="22"/>
      <c r="S214" s="22"/>
      <c r="T214" s="22"/>
      <c r="U214" s="22"/>
      <c r="W214" s="22"/>
      <c r="X214" s="22"/>
      <c r="Y214" s="22"/>
      <c r="AA214" s="22"/>
      <c r="AB214" s="22"/>
      <c r="AC214" s="22"/>
      <c r="AE214" s="24"/>
      <c r="AF214" s="24"/>
      <c r="AG214" s="24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6"/>
      <c r="AW214" s="24"/>
      <c r="AX214" s="20"/>
      <c r="AY214" s="21"/>
      <c r="AZ214" s="22"/>
      <c r="BA214" s="22"/>
      <c r="BB214" s="22"/>
      <c r="BD214" s="22"/>
      <c r="BE214" s="22"/>
      <c r="BF214" s="22"/>
      <c r="BH214" s="22"/>
      <c r="BI214" s="22"/>
      <c r="BJ214" s="22"/>
      <c r="BL214" s="22"/>
      <c r="BM214" s="22"/>
      <c r="BN214" s="22"/>
      <c r="BP214" s="22"/>
      <c r="BQ214" s="22"/>
      <c r="BR214" s="22"/>
      <c r="BT214" s="22"/>
      <c r="BU214" s="22"/>
      <c r="BV214" s="22"/>
      <c r="BX214" s="22"/>
      <c r="BY214" s="22"/>
      <c r="BZ214" s="22"/>
      <c r="CB214" s="24"/>
      <c r="CC214" s="24"/>
      <c r="CD214" s="24"/>
      <c r="CE214" s="25"/>
      <c r="CF214" s="25"/>
      <c r="CG214" s="25"/>
      <c r="CH214" s="25"/>
      <c r="CI214" s="25"/>
      <c r="CJ214" s="25"/>
      <c r="CK214" s="25"/>
      <c r="CL214" s="25"/>
      <c r="CM214" s="25"/>
      <c r="CN214" s="25"/>
      <c r="CO214" s="25"/>
      <c r="CP214" s="25"/>
      <c r="CQ214" s="25"/>
      <c r="CR214" s="25"/>
      <c r="CS214" s="26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4"/>
      <c r="EP214" s="24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4"/>
      <c r="FC214" s="24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4"/>
      <c r="FP214" s="24"/>
      <c r="FQ214" s="24"/>
      <c r="FR214" s="24"/>
      <c r="FS214" s="24"/>
      <c r="FT214" s="24"/>
      <c r="FU214" s="24"/>
      <c r="FV214" s="24"/>
      <c r="FW214" s="24"/>
      <c r="FX214" s="24"/>
      <c r="FY214" s="24"/>
      <c r="FZ214" s="24"/>
      <c r="GA214" s="24"/>
      <c r="GB214" s="24"/>
      <c r="GC214" s="24"/>
      <c r="GD214" s="24"/>
      <c r="GE214" s="24"/>
      <c r="GF214" s="24"/>
      <c r="GG214" s="24"/>
      <c r="GH214" s="24"/>
      <c r="GI214" s="24"/>
      <c r="GJ214" s="24"/>
      <c r="GK214" s="24"/>
      <c r="GL214" s="24"/>
      <c r="GM214" s="24"/>
      <c r="GN214" s="24"/>
      <c r="GO214" s="24"/>
      <c r="GP214" s="24"/>
      <c r="GQ214" s="24"/>
      <c r="GR214" s="24"/>
    </row>
    <row r="215" spans="1:200" s="23" customFormat="1" ht="14.25" customHeight="1">
      <c r="A215" s="20"/>
      <c r="B215" s="21"/>
      <c r="C215" s="22"/>
      <c r="D215" s="22"/>
      <c r="E215" s="22"/>
      <c r="G215" s="22"/>
      <c r="H215" s="22"/>
      <c r="I215" s="22"/>
      <c r="K215" s="22"/>
      <c r="L215" s="22"/>
      <c r="M215" s="22"/>
      <c r="O215" s="22"/>
      <c r="P215" s="22"/>
      <c r="Q215" s="22"/>
      <c r="S215" s="22"/>
      <c r="T215" s="22"/>
      <c r="U215" s="22"/>
      <c r="W215" s="22"/>
      <c r="X215" s="22"/>
      <c r="Y215" s="22"/>
      <c r="AA215" s="22"/>
      <c r="AB215" s="22"/>
      <c r="AC215" s="22"/>
      <c r="AE215" s="24"/>
      <c r="AF215" s="24"/>
      <c r="AG215" s="24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6"/>
      <c r="AW215" s="24"/>
      <c r="AX215" s="20"/>
      <c r="AY215" s="21"/>
      <c r="AZ215" s="22"/>
      <c r="BA215" s="22"/>
      <c r="BB215" s="22"/>
      <c r="BD215" s="22"/>
      <c r="BE215" s="22"/>
      <c r="BF215" s="22"/>
      <c r="BH215" s="22"/>
      <c r="BI215" s="22"/>
      <c r="BJ215" s="22"/>
      <c r="BL215" s="22"/>
      <c r="BM215" s="22"/>
      <c r="BN215" s="22"/>
      <c r="BP215" s="22"/>
      <c r="BQ215" s="22"/>
      <c r="BR215" s="22"/>
      <c r="BT215" s="22"/>
      <c r="BU215" s="22"/>
      <c r="BV215" s="22"/>
      <c r="BX215" s="22"/>
      <c r="BY215" s="22"/>
      <c r="BZ215" s="22"/>
      <c r="CB215" s="24"/>
      <c r="CC215" s="24"/>
      <c r="CD215" s="24"/>
      <c r="CE215" s="25"/>
      <c r="CF215" s="25"/>
      <c r="CG215" s="25"/>
      <c r="CH215" s="25"/>
      <c r="CI215" s="25"/>
      <c r="CJ215" s="25"/>
      <c r="CK215" s="25"/>
      <c r="CL215" s="25"/>
      <c r="CM215" s="25"/>
      <c r="CN215" s="25"/>
      <c r="CO215" s="25"/>
      <c r="CP215" s="25"/>
      <c r="CQ215" s="25"/>
      <c r="CR215" s="25"/>
      <c r="CS215" s="26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4"/>
      <c r="EH215" s="24"/>
      <c r="EI215" s="24"/>
      <c r="EJ215" s="24"/>
      <c r="EK215" s="24"/>
      <c r="EL215" s="24"/>
      <c r="EM215" s="24"/>
      <c r="EN215" s="24"/>
      <c r="EO215" s="24"/>
      <c r="EP215" s="24"/>
      <c r="EQ215" s="24"/>
      <c r="ER215" s="24"/>
      <c r="ES215" s="24"/>
      <c r="ET215" s="24"/>
      <c r="EU215" s="24"/>
      <c r="EV215" s="24"/>
      <c r="EW215" s="24"/>
      <c r="EX215" s="24"/>
      <c r="EY215" s="24"/>
      <c r="EZ215" s="24"/>
      <c r="FA215" s="24"/>
      <c r="FB215" s="24"/>
      <c r="FC215" s="24"/>
      <c r="FD215" s="24"/>
      <c r="FE215" s="24"/>
      <c r="FF215" s="24"/>
      <c r="FG215" s="24"/>
      <c r="FH215" s="24"/>
      <c r="FI215" s="24"/>
      <c r="FJ215" s="24"/>
      <c r="FK215" s="24"/>
      <c r="FL215" s="24"/>
      <c r="FM215" s="24"/>
      <c r="FN215" s="24"/>
      <c r="FO215" s="24"/>
      <c r="FP215" s="24"/>
      <c r="FQ215" s="24"/>
      <c r="FR215" s="24"/>
      <c r="FS215" s="24"/>
      <c r="FT215" s="24"/>
      <c r="FU215" s="24"/>
      <c r="FV215" s="24"/>
      <c r="FW215" s="24"/>
      <c r="FX215" s="24"/>
      <c r="FY215" s="24"/>
      <c r="FZ215" s="24"/>
      <c r="GA215" s="24"/>
      <c r="GB215" s="24"/>
      <c r="GC215" s="24"/>
      <c r="GD215" s="24"/>
      <c r="GE215" s="24"/>
      <c r="GF215" s="24"/>
      <c r="GG215" s="24"/>
      <c r="GH215" s="24"/>
      <c r="GI215" s="24"/>
      <c r="GJ215" s="24"/>
      <c r="GK215" s="24"/>
      <c r="GL215" s="24"/>
      <c r="GM215" s="24"/>
      <c r="GN215" s="24"/>
      <c r="GO215" s="24"/>
      <c r="GP215" s="24"/>
      <c r="GQ215" s="24"/>
      <c r="GR215" s="24"/>
    </row>
    <row r="216" spans="1:200" s="23" customFormat="1" ht="14.25" customHeight="1">
      <c r="A216" s="20"/>
      <c r="B216" s="21"/>
      <c r="C216" s="22"/>
      <c r="D216" s="22"/>
      <c r="E216" s="22"/>
      <c r="G216" s="22"/>
      <c r="H216" s="22"/>
      <c r="I216" s="22"/>
      <c r="K216" s="22"/>
      <c r="L216" s="22"/>
      <c r="M216" s="22"/>
      <c r="O216" s="22"/>
      <c r="P216" s="22"/>
      <c r="Q216" s="22"/>
      <c r="S216" s="22"/>
      <c r="T216" s="22"/>
      <c r="U216" s="22"/>
      <c r="W216" s="22"/>
      <c r="X216" s="22"/>
      <c r="Y216" s="22"/>
      <c r="AA216" s="22"/>
      <c r="AB216" s="22"/>
      <c r="AC216" s="22"/>
      <c r="AE216" s="24"/>
      <c r="AF216" s="24"/>
      <c r="AG216" s="24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6"/>
      <c r="AW216" s="24"/>
      <c r="AX216" s="20"/>
      <c r="AY216" s="21"/>
      <c r="AZ216" s="22"/>
      <c r="BA216" s="22"/>
      <c r="BB216" s="22"/>
      <c r="BD216" s="22"/>
      <c r="BE216" s="22"/>
      <c r="BF216" s="22"/>
      <c r="BH216" s="22"/>
      <c r="BI216" s="22"/>
      <c r="BJ216" s="22"/>
      <c r="BL216" s="22"/>
      <c r="BM216" s="22"/>
      <c r="BN216" s="22"/>
      <c r="BP216" s="22"/>
      <c r="BQ216" s="22"/>
      <c r="BR216" s="22"/>
      <c r="BT216" s="22"/>
      <c r="BU216" s="22"/>
      <c r="BV216" s="22"/>
      <c r="BX216" s="22"/>
      <c r="BY216" s="22"/>
      <c r="BZ216" s="22"/>
      <c r="CB216" s="24"/>
      <c r="CC216" s="24"/>
      <c r="CD216" s="24"/>
      <c r="CE216" s="25"/>
      <c r="CF216" s="25"/>
      <c r="CG216" s="25"/>
      <c r="CH216" s="25"/>
      <c r="CI216" s="25"/>
      <c r="CJ216" s="25"/>
      <c r="CK216" s="25"/>
      <c r="CL216" s="25"/>
      <c r="CM216" s="25"/>
      <c r="CN216" s="25"/>
      <c r="CO216" s="25"/>
      <c r="CP216" s="25"/>
      <c r="CQ216" s="25"/>
      <c r="CR216" s="25"/>
      <c r="CS216" s="26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4"/>
      <c r="EP216" s="24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4"/>
      <c r="FC216" s="24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4"/>
      <c r="FP216" s="24"/>
      <c r="FQ216" s="24"/>
      <c r="FR216" s="24"/>
      <c r="FS216" s="24"/>
      <c r="FT216" s="24"/>
      <c r="FU216" s="24"/>
      <c r="FV216" s="24"/>
      <c r="FW216" s="24"/>
      <c r="FX216" s="24"/>
      <c r="FY216" s="24"/>
      <c r="FZ216" s="24"/>
      <c r="GA216" s="24"/>
      <c r="GB216" s="24"/>
      <c r="GC216" s="24"/>
      <c r="GD216" s="24"/>
      <c r="GE216" s="24"/>
      <c r="GF216" s="24"/>
      <c r="GG216" s="24"/>
      <c r="GH216" s="24"/>
      <c r="GI216" s="24"/>
      <c r="GJ216" s="24"/>
      <c r="GK216" s="24"/>
      <c r="GL216" s="24"/>
      <c r="GM216" s="24"/>
      <c r="GN216" s="24"/>
      <c r="GO216" s="24"/>
      <c r="GP216" s="24"/>
      <c r="GQ216" s="24"/>
      <c r="GR216" s="24"/>
    </row>
    <row r="217" spans="1:200" s="23" customFormat="1" ht="14.25" customHeight="1">
      <c r="A217" s="20"/>
      <c r="B217" s="21"/>
      <c r="C217" s="22"/>
      <c r="D217" s="22"/>
      <c r="E217" s="22"/>
      <c r="G217" s="22"/>
      <c r="H217" s="22"/>
      <c r="I217" s="22"/>
      <c r="K217" s="22"/>
      <c r="L217" s="22"/>
      <c r="M217" s="22"/>
      <c r="O217" s="22"/>
      <c r="P217" s="22"/>
      <c r="Q217" s="22"/>
      <c r="S217" s="22"/>
      <c r="T217" s="22"/>
      <c r="U217" s="22"/>
      <c r="W217" s="22"/>
      <c r="X217" s="22"/>
      <c r="Y217" s="22"/>
      <c r="AA217" s="22"/>
      <c r="AB217" s="22"/>
      <c r="AC217" s="22"/>
      <c r="AE217" s="24"/>
      <c r="AF217" s="24"/>
      <c r="AG217" s="24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6"/>
      <c r="AW217" s="24"/>
      <c r="AX217" s="20"/>
      <c r="AY217" s="21"/>
      <c r="AZ217" s="22"/>
      <c r="BA217" s="22"/>
      <c r="BB217" s="22"/>
      <c r="BD217" s="22"/>
      <c r="BE217" s="22"/>
      <c r="BF217" s="22"/>
      <c r="BH217" s="22"/>
      <c r="BI217" s="22"/>
      <c r="BJ217" s="22"/>
      <c r="BL217" s="22"/>
      <c r="BM217" s="22"/>
      <c r="BN217" s="22"/>
      <c r="BP217" s="22"/>
      <c r="BQ217" s="22"/>
      <c r="BR217" s="22"/>
      <c r="BT217" s="22"/>
      <c r="BU217" s="22"/>
      <c r="BV217" s="22"/>
      <c r="BX217" s="22"/>
      <c r="BY217" s="22"/>
      <c r="BZ217" s="22"/>
      <c r="CB217" s="24"/>
      <c r="CC217" s="24"/>
      <c r="CD217" s="24"/>
      <c r="CE217" s="25"/>
      <c r="CF217" s="25"/>
      <c r="CG217" s="25"/>
      <c r="CH217" s="25"/>
      <c r="CI217" s="25"/>
      <c r="CJ217" s="25"/>
      <c r="CK217" s="25"/>
      <c r="CL217" s="25"/>
      <c r="CM217" s="25"/>
      <c r="CN217" s="25"/>
      <c r="CO217" s="25"/>
      <c r="CP217" s="25"/>
      <c r="CQ217" s="25"/>
      <c r="CR217" s="25"/>
      <c r="CS217" s="26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  <c r="EG217" s="24"/>
      <c r="EH217" s="24"/>
      <c r="EI217" s="24"/>
      <c r="EJ217" s="24"/>
      <c r="EK217" s="24"/>
      <c r="EL217" s="24"/>
      <c r="EM217" s="24"/>
      <c r="EN217" s="24"/>
      <c r="EO217" s="24"/>
      <c r="EP217" s="24"/>
      <c r="EQ217" s="24"/>
      <c r="ER217" s="24"/>
      <c r="ES217" s="24"/>
      <c r="ET217" s="24"/>
      <c r="EU217" s="24"/>
      <c r="EV217" s="24"/>
      <c r="EW217" s="24"/>
      <c r="EX217" s="24"/>
      <c r="EY217" s="24"/>
      <c r="EZ217" s="24"/>
      <c r="FA217" s="24"/>
      <c r="FB217" s="24"/>
      <c r="FC217" s="24"/>
      <c r="FD217" s="24"/>
      <c r="FE217" s="24"/>
      <c r="FF217" s="24"/>
      <c r="FG217" s="24"/>
      <c r="FH217" s="24"/>
      <c r="FI217" s="24"/>
      <c r="FJ217" s="24"/>
      <c r="FK217" s="24"/>
      <c r="FL217" s="24"/>
      <c r="FM217" s="24"/>
      <c r="FN217" s="24"/>
      <c r="FO217" s="24"/>
      <c r="FP217" s="24"/>
      <c r="FQ217" s="24"/>
      <c r="FR217" s="24"/>
      <c r="FS217" s="24"/>
      <c r="FT217" s="24"/>
      <c r="FU217" s="24"/>
      <c r="FV217" s="24"/>
      <c r="FW217" s="24"/>
      <c r="FX217" s="24"/>
      <c r="FY217" s="24"/>
      <c r="FZ217" s="24"/>
      <c r="GA217" s="24"/>
      <c r="GB217" s="24"/>
      <c r="GC217" s="24"/>
      <c r="GD217" s="24"/>
      <c r="GE217" s="24"/>
      <c r="GF217" s="24"/>
      <c r="GG217" s="24"/>
      <c r="GH217" s="24"/>
      <c r="GI217" s="24"/>
      <c r="GJ217" s="24"/>
      <c r="GK217" s="24"/>
      <c r="GL217" s="24"/>
      <c r="GM217" s="24"/>
      <c r="GN217" s="24"/>
      <c r="GO217" s="24"/>
      <c r="GP217" s="24"/>
      <c r="GQ217" s="24"/>
      <c r="GR217" s="24"/>
    </row>
    <row r="218" spans="1:200" s="23" customFormat="1" ht="14.25" customHeight="1">
      <c r="A218" s="20"/>
      <c r="B218" s="21"/>
      <c r="C218" s="22"/>
      <c r="D218" s="22"/>
      <c r="E218" s="22"/>
      <c r="G218" s="22"/>
      <c r="H218" s="22"/>
      <c r="I218" s="22"/>
      <c r="K218" s="22"/>
      <c r="L218" s="22"/>
      <c r="M218" s="22"/>
      <c r="O218" s="22"/>
      <c r="P218" s="22"/>
      <c r="Q218" s="22"/>
      <c r="S218" s="22"/>
      <c r="T218" s="22"/>
      <c r="U218" s="22"/>
      <c r="W218" s="22"/>
      <c r="X218" s="22"/>
      <c r="Y218" s="22"/>
      <c r="AA218" s="22"/>
      <c r="AB218" s="22"/>
      <c r="AC218" s="22"/>
      <c r="AE218" s="24"/>
      <c r="AF218" s="24"/>
      <c r="AG218" s="24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6"/>
      <c r="AW218" s="24"/>
      <c r="AX218" s="20"/>
      <c r="AY218" s="21"/>
      <c r="AZ218" s="22"/>
      <c r="BA218" s="22"/>
      <c r="BB218" s="22"/>
      <c r="BD218" s="22"/>
      <c r="BE218" s="22"/>
      <c r="BF218" s="22"/>
      <c r="BH218" s="22"/>
      <c r="BI218" s="22"/>
      <c r="BJ218" s="22"/>
      <c r="BL218" s="22"/>
      <c r="BM218" s="22"/>
      <c r="BN218" s="22"/>
      <c r="BP218" s="22"/>
      <c r="BQ218" s="22"/>
      <c r="BR218" s="22"/>
      <c r="BT218" s="22"/>
      <c r="BU218" s="22"/>
      <c r="BV218" s="22"/>
      <c r="BX218" s="22"/>
      <c r="BY218" s="22"/>
      <c r="BZ218" s="22"/>
      <c r="CB218" s="24"/>
      <c r="CC218" s="24"/>
      <c r="CD218" s="24"/>
      <c r="CE218" s="25"/>
      <c r="CF218" s="25"/>
      <c r="CG218" s="25"/>
      <c r="CH218" s="25"/>
      <c r="CI218" s="25"/>
      <c r="CJ218" s="25"/>
      <c r="CK218" s="25"/>
      <c r="CL218" s="25"/>
      <c r="CM218" s="25"/>
      <c r="CN218" s="25"/>
      <c r="CO218" s="25"/>
      <c r="CP218" s="25"/>
      <c r="CQ218" s="25"/>
      <c r="CR218" s="25"/>
      <c r="CS218" s="26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4"/>
      <c r="EP218" s="24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4"/>
      <c r="FC218" s="24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4"/>
      <c r="FP218" s="24"/>
      <c r="FQ218" s="24"/>
      <c r="FR218" s="24"/>
      <c r="FS218" s="24"/>
      <c r="FT218" s="24"/>
      <c r="FU218" s="24"/>
      <c r="FV218" s="24"/>
      <c r="FW218" s="24"/>
      <c r="FX218" s="24"/>
      <c r="FY218" s="24"/>
      <c r="FZ218" s="24"/>
      <c r="GA218" s="24"/>
      <c r="GB218" s="24"/>
      <c r="GC218" s="24"/>
      <c r="GD218" s="24"/>
      <c r="GE218" s="24"/>
      <c r="GF218" s="24"/>
      <c r="GG218" s="24"/>
      <c r="GH218" s="24"/>
      <c r="GI218" s="24"/>
      <c r="GJ218" s="24"/>
      <c r="GK218" s="24"/>
      <c r="GL218" s="24"/>
      <c r="GM218" s="24"/>
      <c r="GN218" s="24"/>
      <c r="GO218" s="24"/>
      <c r="GP218" s="24"/>
      <c r="GQ218" s="24"/>
      <c r="GR218" s="24"/>
    </row>
    <row r="219" spans="1:200" s="23" customFormat="1" ht="14.25" customHeight="1">
      <c r="A219" s="20"/>
      <c r="B219" s="21"/>
      <c r="C219" s="22"/>
      <c r="D219" s="22"/>
      <c r="E219" s="22"/>
      <c r="G219" s="22"/>
      <c r="H219" s="22"/>
      <c r="I219" s="22"/>
      <c r="K219" s="22"/>
      <c r="L219" s="22"/>
      <c r="M219" s="22"/>
      <c r="O219" s="22"/>
      <c r="P219" s="22"/>
      <c r="Q219" s="22"/>
      <c r="S219" s="22"/>
      <c r="T219" s="22"/>
      <c r="U219" s="22"/>
      <c r="W219" s="22"/>
      <c r="X219" s="22"/>
      <c r="Y219" s="22"/>
      <c r="AA219" s="22"/>
      <c r="AB219" s="22"/>
      <c r="AC219" s="22"/>
      <c r="AE219" s="24"/>
      <c r="AF219" s="24"/>
      <c r="AG219" s="24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6"/>
      <c r="AW219" s="24"/>
      <c r="AX219" s="20"/>
      <c r="AY219" s="21"/>
      <c r="AZ219" s="22"/>
      <c r="BA219" s="22"/>
      <c r="BB219" s="22"/>
      <c r="BD219" s="22"/>
      <c r="BE219" s="22"/>
      <c r="BF219" s="22"/>
      <c r="BH219" s="22"/>
      <c r="BI219" s="22"/>
      <c r="BJ219" s="22"/>
      <c r="BL219" s="22"/>
      <c r="BM219" s="22"/>
      <c r="BN219" s="22"/>
      <c r="BP219" s="22"/>
      <c r="BQ219" s="22"/>
      <c r="BR219" s="22"/>
      <c r="BT219" s="22"/>
      <c r="BU219" s="22"/>
      <c r="BV219" s="22"/>
      <c r="BX219" s="22"/>
      <c r="BY219" s="22"/>
      <c r="BZ219" s="22"/>
      <c r="CB219" s="24"/>
      <c r="CC219" s="24"/>
      <c r="CD219" s="24"/>
      <c r="CE219" s="25"/>
      <c r="CF219" s="25"/>
      <c r="CG219" s="25"/>
      <c r="CH219" s="25"/>
      <c r="CI219" s="25"/>
      <c r="CJ219" s="25"/>
      <c r="CK219" s="25"/>
      <c r="CL219" s="25"/>
      <c r="CM219" s="25"/>
      <c r="CN219" s="25"/>
      <c r="CO219" s="25"/>
      <c r="CP219" s="25"/>
      <c r="CQ219" s="25"/>
      <c r="CR219" s="25"/>
      <c r="CS219" s="26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  <c r="EG219" s="24"/>
      <c r="EH219" s="24"/>
      <c r="EI219" s="24"/>
      <c r="EJ219" s="24"/>
      <c r="EK219" s="24"/>
      <c r="EL219" s="24"/>
      <c r="EM219" s="24"/>
      <c r="EN219" s="24"/>
      <c r="EO219" s="24"/>
      <c r="EP219" s="24"/>
      <c r="EQ219" s="24"/>
      <c r="ER219" s="24"/>
      <c r="ES219" s="24"/>
      <c r="ET219" s="24"/>
      <c r="EU219" s="24"/>
      <c r="EV219" s="24"/>
      <c r="EW219" s="24"/>
      <c r="EX219" s="24"/>
      <c r="EY219" s="24"/>
      <c r="EZ219" s="24"/>
      <c r="FA219" s="24"/>
      <c r="FB219" s="24"/>
      <c r="FC219" s="24"/>
      <c r="FD219" s="24"/>
      <c r="FE219" s="24"/>
      <c r="FF219" s="24"/>
      <c r="FG219" s="24"/>
      <c r="FH219" s="24"/>
      <c r="FI219" s="24"/>
      <c r="FJ219" s="24"/>
      <c r="FK219" s="24"/>
      <c r="FL219" s="24"/>
      <c r="FM219" s="24"/>
      <c r="FN219" s="24"/>
      <c r="FO219" s="24"/>
      <c r="FP219" s="24"/>
      <c r="FQ219" s="24"/>
      <c r="FR219" s="24"/>
      <c r="FS219" s="24"/>
      <c r="FT219" s="24"/>
      <c r="FU219" s="24"/>
      <c r="FV219" s="24"/>
      <c r="FW219" s="24"/>
      <c r="FX219" s="24"/>
      <c r="FY219" s="24"/>
      <c r="FZ219" s="24"/>
      <c r="GA219" s="24"/>
      <c r="GB219" s="24"/>
      <c r="GC219" s="24"/>
      <c r="GD219" s="24"/>
      <c r="GE219" s="24"/>
      <c r="GF219" s="24"/>
      <c r="GG219" s="24"/>
      <c r="GH219" s="24"/>
      <c r="GI219" s="24"/>
      <c r="GJ219" s="24"/>
      <c r="GK219" s="24"/>
      <c r="GL219" s="24"/>
      <c r="GM219" s="24"/>
      <c r="GN219" s="24"/>
      <c r="GO219" s="24"/>
      <c r="GP219" s="24"/>
      <c r="GQ219" s="24"/>
      <c r="GR219" s="24"/>
    </row>
    <row r="220" spans="1:200" s="23" customFormat="1" ht="14.25" customHeight="1">
      <c r="A220" s="20"/>
      <c r="B220" s="21"/>
      <c r="C220" s="22"/>
      <c r="D220" s="22"/>
      <c r="E220" s="22"/>
      <c r="G220" s="22"/>
      <c r="H220" s="22"/>
      <c r="I220" s="22"/>
      <c r="K220" s="22"/>
      <c r="L220" s="22"/>
      <c r="M220" s="22"/>
      <c r="O220" s="22"/>
      <c r="P220" s="22"/>
      <c r="Q220" s="22"/>
      <c r="S220" s="22"/>
      <c r="T220" s="22"/>
      <c r="U220" s="22"/>
      <c r="W220" s="22"/>
      <c r="X220" s="22"/>
      <c r="Y220" s="22"/>
      <c r="AA220" s="22"/>
      <c r="AB220" s="22"/>
      <c r="AC220" s="22"/>
      <c r="AE220" s="24"/>
      <c r="AF220" s="24"/>
      <c r="AG220" s="24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6"/>
      <c r="AW220" s="24"/>
      <c r="AX220" s="20"/>
      <c r="AY220" s="21"/>
      <c r="AZ220" s="22"/>
      <c r="BA220" s="22"/>
      <c r="BB220" s="22"/>
      <c r="BD220" s="22"/>
      <c r="BE220" s="22"/>
      <c r="BF220" s="22"/>
      <c r="BH220" s="22"/>
      <c r="BI220" s="22"/>
      <c r="BJ220" s="22"/>
      <c r="BL220" s="22"/>
      <c r="BM220" s="22"/>
      <c r="BN220" s="22"/>
      <c r="BP220" s="22"/>
      <c r="BQ220" s="22"/>
      <c r="BR220" s="22"/>
      <c r="BT220" s="22"/>
      <c r="BU220" s="22"/>
      <c r="BV220" s="22"/>
      <c r="BX220" s="22"/>
      <c r="BY220" s="22"/>
      <c r="BZ220" s="22"/>
      <c r="CB220" s="24"/>
      <c r="CC220" s="24"/>
      <c r="CD220" s="24"/>
      <c r="CE220" s="25"/>
      <c r="CF220" s="25"/>
      <c r="CG220" s="25"/>
      <c r="CH220" s="25"/>
      <c r="CI220" s="25"/>
      <c r="CJ220" s="25"/>
      <c r="CK220" s="25"/>
      <c r="CL220" s="25"/>
      <c r="CM220" s="25"/>
      <c r="CN220" s="25"/>
      <c r="CO220" s="25"/>
      <c r="CP220" s="25"/>
      <c r="CQ220" s="25"/>
      <c r="CR220" s="25"/>
      <c r="CS220" s="26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4"/>
      <c r="EP220" s="24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4"/>
      <c r="FC220" s="24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4"/>
      <c r="FP220" s="24"/>
      <c r="FQ220" s="24"/>
      <c r="FR220" s="24"/>
      <c r="FS220" s="24"/>
      <c r="FT220" s="24"/>
      <c r="FU220" s="24"/>
      <c r="FV220" s="24"/>
      <c r="FW220" s="24"/>
      <c r="FX220" s="24"/>
      <c r="FY220" s="24"/>
      <c r="FZ220" s="24"/>
      <c r="GA220" s="24"/>
      <c r="GB220" s="24"/>
      <c r="GC220" s="24"/>
      <c r="GD220" s="24"/>
      <c r="GE220" s="24"/>
      <c r="GF220" s="24"/>
      <c r="GG220" s="24"/>
      <c r="GH220" s="24"/>
      <c r="GI220" s="24"/>
      <c r="GJ220" s="24"/>
      <c r="GK220" s="24"/>
      <c r="GL220" s="24"/>
      <c r="GM220" s="24"/>
      <c r="GN220" s="24"/>
      <c r="GO220" s="24"/>
      <c r="GP220" s="24"/>
      <c r="GQ220" s="24"/>
      <c r="GR220" s="24"/>
    </row>
    <row r="221" spans="1:200" s="23" customFormat="1" ht="14.25" customHeight="1">
      <c r="A221" s="20"/>
      <c r="B221" s="21"/>
      <c r="C221" s="22"/>
      <c r="D221" s="22"/>
      <c r="E221" s="22"/>
      <c r="G221" s="22"/>
      <c r="H221" s="22"/>
      <c r="I221" s="22"/>
      <c r="K221" s="22"/>
      <c r="L221" s="22"/>
      <c r="M221" s="22"/>
      <c r="O221" s="22"/>
      <c r="P221" s="22"/>
      <c r="Q221" s="22"/>
      <c r="S221" s="22"/>
      <c r="T221" s="22"/>
      <c r="U221" s="22"/>
      <c r="W221" s="22"/>
      <c r="X221" s="22"/>
      <c r="Y221" s="22"/>
      <c r="AA221" s="22"/>
      <c r="AB221" s="22"/>
      <c r="AC221" s="22"/>
      <c r="AE221" s="24"/>
      <c r="AF221" s="24"/>
      <c r="AG221" s="24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6"/>
      <c r="AW221" s="24"/>
      <c r="AX221" s="20"/>
      <c r="AY221" s="21"/>
      <c r="AZ221" s="22"/>
      <c r="BA221" s="22"/>
      <c r="BB221" s="22"/>
      <c r="BD221" s="22"/>
      <c r="BE221" s="22"/>
      <c r="BF221" s="22"/>
      <c r="BH221" s="22"/>
      <c r="BI221" s="22"/>
      <c r="BJ221" s="22"/>
      <c r="BL221" s="22"/>
      <c r="BM221" s="22"/>
      <c r="BN221" s="22"/>
      <c r="BP221" s="22"/>
      <c r="BQ221" s="22"/>
      <c r="BR221" s="22"/>
      <c r="BT221" s="22"/>
      <c r="BU221" s="22"/>
      <c r="BV221" s="22"/>
      <c r="BX221" s="22"/>
      <c r="BY221" s="22"/>
      <c r="BZ221" s="22"/>
      <c r="CB221" s="24"/>
      <c r="CC221" s="24"/>
      <c r="CD221" s="24"/>
      <c r="CE221" s="25"/>
      <c r="CF221" s="25"/>
      <c r="CG221" s="25"/>
      <c r="CH221" s="25"/>
      <c r="CI221" s="25"/>
      <c r="CJ221" s="25"/>
      <c r="CK221" s="25"/>
      <c r="CL221" s="25"/>
      <c r="CM221" s="25"/>
      <c r="CN221" s="25"/>
      <c r="CO221" s="25"/>
      <c r="CP221" s="25"/>
      <c r="CQ221" s="25"/>
      <c r="CR221" s="25"/>
      <c r="CS221" s="26"/>
      <c r="CT221" s="24"/>
      <c r="CU221" s="24"/>
      <c r="CV221" s="24"/>
      <c r="CW221" s="24"/>
      <c r="CX221" s="24"/>
      <c r="CY221" s="24"/>
      <c r="CZ221" s="24"/>
      <c r="DA221" s="24"/>
      <c r="DB221" s="24"/>
      <c r="DC221" s="24"/>
      <c r="DD221" s="24"/>
      <c r="DE221" s="24"/>
      <c r="DF221" s="24"/>
      <c r="DG221" s="24"/>
      <c r="DH221" s="24"/>
      <c r="DI221" s="24"/>
      <c r="DJ221" s="24"/>
      <c r="DK221" s="24"/>
      <c r="DL221" s="24"/>
      <c r="DM221" s="24"/>
      <c r="DN221" s="24"/>
      <c r="DO221" s="24"/>
      <c r="DP221" s="24"/>
      <c r="DQ221" s="24"/>
      <c r="DR221" s="24"/>
      <c r="DS221" s="24"/>
      <c r="DT221" s="24"/>
      <c r="DU221" s="24"/>
      <c r="DV221" s="24"/>
      <c r="DW221" s="24"/>
      <c r="DX221" s="24"/>
      <c r="DY221" s="24"/>
      <c r="DZ221" s="24"/>
      <c r="EA221" s="24"/>
      <c r="EB221" s="24"/>
      <c r="EC221" s="24"/>
      <c r="ED221" s="24"/>
      <c r="EE221" s="24"/>
      <c r="EF221" s="24"/>
      <c r="EG221" s="24"/>
      <c r="EH221" s="24"/>
      <c r="EI221" s="24"/>
      <c r="EJ221" s="24"/>
      <c r="EK221" s="24"/>
      <c r="EL221" s="24"/>
      <c r="EM221" s="24"/>
      <c r="EN221" s="24"/>
      <c r="EO221" s="24"/>
      <c r="EP221" s="24"/>
      <c r="EQ221" s="24"/>
      <c r="ER221" s="24"/>
      <c r="ES221" s="24"/>
      <c r="ET221" s="24"/>
      <c r="EU221" s="24"/>
      <c r="EV221" s="24"/>
      <c r="EW221" s="24"/>
      <c r="EX221" s="24"/>
      <c r="EY221" s="24"/>
      <c r="EZ221" s="24"/>
      <c r="FA221" s="24"/>
      <c r="FB221" s="24"/>
      <c r="FC221" s="24"/>
      <c r="FD221" s="24"/>
      <c r="FE221" s="24"/>
      <c r="FF221" s="24"/>
      <c r="FG221" s="24"/>
      <c r="FH221" s="24"/>
      <c r="FI221" s="24"/>
      <c r="FJ221" s="24"/>
      <c r="FK221" s="24"/>
      <c r="FL221" s="24"/>
      <c r="FM221" s="24"/>
      <c r="FN221" s="24"/>
      <c r="FO221" s="24"/>
      <c r="FP221" s="24"/>
      <c r="FQ221" s="24"/>
      <c r="FR221" s="24"/>
      <c r="FS221" s="24"/>
      <c r="FT221" s="24"/>
      <c r="FU221" s="24"/>
      <c r="FV221" s="24"/>
      <c r="FW221" s="24"/>
      <c r="FX221" s="24"/>
      <c r="FY221" s="24"/>
      <c r="FZ221" s="24"/>
      <c r="GA221" s="24"/>
      <c r="GB221" s="24"/>
      <c r="GC221" s="24"/>
      <c r="GD221" s="24"/>
      <c r="GE221" s="24"/>
      <c r="GF221" s="24"/>
      <c r="GG221" s="24"/>
      <c r="GH221" s="24"/>
      <c r="GI221" s="24"/>
      <c r="GJ221" s="24"/>
      <c r="GK221" s="24"/>
      <c r="GL221" s="24"/>
      <c r="GM221" s="24"/>
      <c r="GN221" s="24"/>
      <c r="GO221" s="24"/>
      <c r="GP221" s="24"/>
      <c r="GQ221" s="24"/>
      <c r="GR221" s="24"/>
    </row>
    <row r="222" spans="1:200" s="23" customFormat="1" ht="14.25" customHeight="1">
      <c r="A222" s="20"/>
      <c r="B222" s="21"/>
      <c r="C222" s="22"/>
      <c r="D222" s="22"/>
      <c r="E222" s="22"/>
      <c r="G222" s="22"/>
      <c r="H222" s="22"/>
      <c r="I222" s="22"/>
      <c r="K222" s="22"/>
      <c r="L222" s="22"/>
      <c r="M222" s="22"/>
      <c r="O222" s="22"/>
      <c r="P222" s="22"/>
      <c r="Q222" s="22"/>
      <c r="S222" s="22"/>
      <c r="T222" s="22"/>
      <c r="U222" s="22"/>
      <c r="W222" s="22"/>
      <c r="X222" s="22"/>
      <c r="Y222" s="22"/>
      <c r="AA222" s="22"/>
      <c r="AB222" s="22"/>
      <c r="AC222" s="22"/>
      <c r="AE222" s="24"/>
      <c r="AF222" s="24"/>
      <c r="AG222" s="24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6"/>
      <c r="AW222" s="24"/>
      <c r="AX222" s="20"/>
      <c r="AY222" s="21"/>
      <c r="AZ222" s="22"/>
      <c r="BA222" s="22"/>
      <c r="BB222" s="22"/>
      <c r="BD222" s="22"/>
      <c r="BE222" s="22"/>
      <c r="BF222" s="22"/>
      <c r="BH222" s="22"/>
      <c r="BI222" s="22"/>
      <c r="BJ222" s="22"/>
      <c r="BL222" s="22"/>
      <c r="BM222" s="22"/>
      <c r="BN222" s="22"/>
      <c r="BP222" s="22"/>
      <c r="BQ222" s="22"/>
      <c r="BR222" s="22"/>
      <c r="BT222" s="22"/>
      <c r="BU222" s="22"/>
      <c r="BV222" s="22"/>
      <c r="BX222" s="22"/>
      <c r="BY222" s="22"/>
      <c r="BZ222" s="22"/>
      <c r="CB222" s="24"/>
      <c r="CC222" s="24"/>
      <c r="CD222" s="24"/>
      <c r="CE222" s="25"/>
      <c r="CF222" s="25"/>
      <c r="CG222" s="25"/>
      <c r="CH222" s="25"/>
      <c r="CI222" s="25"/>
      <c r="CJ222" s="25"/>
      <c r="CK222" s="25"/>
      <c r="CL222" s="25"/>
      <c r="CM222" s="25"/>
      <c r="CN222" s="25"/>
      <c r="CO222" s="25"/>
      <c r="CP222" s="25"/>
      <c r="CQ222" s="25"/>
      <c r="CR222" s="25"/>
      <c r="CS222" s="26"/>
      <c r="CT222" s="24"/>
      <c r="CU222" s="24"/>
      <c r="CV222" s="24"/>
      <c r="CW222" s="24"/>
      <c r="CX222" s="24"/>
      <c r="CY222" s="24"/>
      <c r="CZ222" s="24"/>
      <c r="DA222" s="24"/>
      <c r="DB222" s="24"/>
      <c r="DC222" s="24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4"/>
      <c r="DP222" s="24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4"/>
      <c r="EC222" s="24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4"/>
      <c r="EP222" s="24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4"/>
      <c r="FC222" s="24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4"/>
      <c r="FP222" s="24"/>
      <c r="FQ222" s="24"/>
      <c r="FR222" s="24"/>
      <c r="FS222" s="24"/>
      <c r="FT222" s="24"/>
      <c r="FU222" s="24"/>
      <c r="FV222" s="24"/>
      <c r="FW222" s="24"/>
      <c r="FX222" s="24"/>
      <c r="FY222" s="24"/>
      <c r="FZ222" s="24"/>
      <c r="GA222" s="24"/>
      <c r="GB222" s="24"/>
      <c r="GC222" s="24"/>
      <c r="GD222" s="24"/>
      <c r="GE222" s="24"/>
      <c r="GF222" s="24"/>
      <c r="GG222" s="24"/>
      <c r="GH222" s="24"/>
      <c r="GI222" s="24"/>
      <c r="GJ222" s="24"/>
      <c r="GK222" s="24"/>
      <c r="GL222" s="24"/>
      <c r="GM222" s="24"/>
      <c r="GN222" s="24"/>
      <c r="GO222" s="24"/>
      <c r="GP222" s="24"/>
      <c r="GQ222" s="24"/>
      <c r="GR222" s="24"/>
    </row>
    <row r="223" spans="1:200" s="23" customFormat="1" ht="14.25" customHeight="1">
      <c r="A223" s="20"/>
      <c r="B223" s="21"/>
      <c r="C223" s="22"/>
      <c r="D223" s="22"/>
      <c r="E223" s="22"/>
      <c r="G223" s="22"/>
      <c r="H223" s="22"/>
      <c r="I223" s="22"/>
      <c r="K223" s="22"/>
      <c r="L223" s="22"/>
      <c r="M223" s="22"/>
      <c r="O223" s="22"/>
      <c r="P223" s="22"/>
      <c r="Q223" s="22"/>
      <c r="S223" s="22"/>
      <c r="T223" s="22"/>
      <c r="U223" s="22"/>
      <c r="W223" s="22"/>
      <c r="X223" s="22"/>
      <c r="Y223" s="22"/>
      <c r="AA223" s="22"/>
      <c r="AB223" s="22"/>
      <c r="AC223" s="22"/>
      <c r="AE223" s="24"/>
      <c r="AF223" s="24"/>
      <c r="AG223" s="24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6"/>
      <c r="AW223" s="24"/>
      <c r="AX223" s="20"/>
      <c r="AY223" s="21"/>
      <c r="AZ223" s="22"/>
      <c r="BA223" s="22"/>
      <c r="BB223" s="22"/>
      <c r="BD223" s="22"/>
      <c r="BE223" s="22"/>
      <c r="BF223" s="22"/>
      <c r="BH223" s="22"/>
      <c r="BI223" s="22"/>
      <c r="BJ223" s="22"/>
      <c r="BL223" s="22"/>
      <c r="BM223" s="22"/>
      <c r="BN223" s="22"/>
      <c r="BP223" s="22"/>
      <c r="BQ223" s="22"/>
      <c r="BR223" s="22"/>
      <c r="BT223" s="22"/>
      <c r="BU223" s="22"/>
      <c r="BV223" s="22"/>
      <c r="BX223" s="22"/>
      <c r="BY223" s="22"/>
      <c r="BZ223" s="22"/>
      <c r="CB223" s="24"/>
      <c r="CC223" s="24"/>
      <c r="CD223" s="24"/>
      <c r="CE223" s="25"/>
      <c r="CF223" s="25"/>
      <c r="CG223" s="25"/>
      <c r="CH223" s="25"/>
      <c r="CI223" s="25"/>
      <c r="CJ223" s="25"/>
      <c r="CK223" s="25"/>
      <c r="CL223" s="25"/>
      <c r="CM223" s="25"/>
      <c r="CN223" s="25"/>
      <c r="CO223" s="25"/>
      <c r="CP223" s="25"/>
      <c r="CQ223" s="25"/>
      <c r="CR223" s="25"/>
      <c r="CS223" s="26"/>
      <c r="CT223" s="24"/>
      <c r="CU223" s="24"/>
      <c r="CV223" s="24"/>
      <c r="CW223" s="24"/>
      <c r="CX223" s="24"/>
      <c r="CY223" s="24"/>
      <c r="CZ223" s="24"/>
      <c r="DA223" s="24"/>
      <c r="DB223" s="24"/>
      <c r="DC223" s="24"/>
      <c r="DD223" s="24"/>
      <c r="DE223" s="24"/>
      <c r="DF223" s="24"/>
      <c r="DG223" s="24"/>
      <c r="DH223" s="24"/>
      <c r="DI223" s="24"/>
      <c r="DJ223" s="24"/>
      <c r="DK223" s="24"/>
      <c r="DL223" s="24"/>
      <c r="DM223" s="24"/>
      <c r="DN223" s="24"/>
      <c r="DO223" s="24"/>
      <c r="DP223" s="24"/>
      <c r="DQ223" s="24"/>
      <c r="DR223" s="24"/>
      <c r="DS223" s="24"/>
      <c r="DT223" s="24"/>
      <c r="DU223" s="24"/>
      <c r="DV223" s="24"/>
      <c r="DW223" s="24"/>
      <c r="DX223" s="24"/>
      <c r="DY223" s="24"/>
      <c r="DZ223" s="24"/>
      <c r="EA223" s="24"/>
      <c r="EB223" s="24"/>
      <c r="EC223" s="24"/>
      <c r="ED223" s="24"/>
      <c r="EE223" s="24"/>
      <c r="EF223" s="24"/>
      <c r="EG223" s="24"/>
      <c r="EH223" s="24"/>
      <c r="EI223" s="24"/>
      <c r="EJ223" s="24"/>
      <c r="EK223" s="24"/>
      <c r="EL223" s="24"/>
      <c r="EM223" s="24"/>
      <c r="EN223" s="24"/>
      <c r="EO223" s="24"/>
      <c r="EP223" s="24"/>
      <c r="EQ223" s="24"/>
      <c r="ER223" s="24"/>
      <c r="ES223" s="24"/>
      <c r="ET223" s="24"/>
      <c r="EU223" s="24"/>
      <c r="EV223" s="24"/>
      <c r="EW223" s="24"/>
      <c r="EX223" s="24"/>
      <c r="EY223" s="24"/>
      <c r="EZ223" s="24"/>
      <c r="FA223" s="24"/>
      <c r="FB223" s="24"/>
      <c r="FC223" s="24"/>
      <c r="FD223" s="24"/>
      <c r="FE223" s="24"/>
      <c r="FF223" s="24"/>
      <c r="FG223" s="24"/>
      <c r="FH223" s="24"/>
      <c r="FI223" s="24"/>
      <c r="FJ223" s="24"/>
      <c r="FK223" s="24"/>
      <c r="FL223" s="24"/>
      <c r="FM223" s="24"/>
      <c r="FN223" s="24"/>
      <c r="FO223" s="24"/>
      <c r="FP223" s="24"/>
      <c r="FQ223" s="24"/>
      <c r="FR223" s="24"/>
      <c r="FS223" s="24"/>
      <c r="FT223" s="24"/>
      <c r="FU223" s="24"/>
      <c r="FV223" s="24"/>
      <c r="FW223" s="24"/>
      <c r="FX223" s="24"/>
      <c r="FY223" s="24"/>
      <c r="FZ223" s="24"/>
      <c r="GA223" s="24"/>
      <c r="GB223" s="24"/>
      <c r="GC223" s="24"/>
      <c r="GD223" s="24"/>
      <c r="GE223" s="24"/>
      <c r="GF223" s="24"/>
      <c r="GG223" s="24"/>
      <c r="GH223" s="24"/>
      <c r="GI223" s="24"/>
      <c r="GJ223" s="24"/>
      <c r="GK223" s="24"/>
      <c r="GL223" s="24"/>
      <c r="GM223" s="24"/>
      <c r="GN223" s="24"/>
      <c r="GO223" s="24"/>
      <c r="GP223" s="24"/>
      <c r="GQ223" s="24"/>
      <c r="GR223" s="24"/>
    </row>
    <row r="224" spans="1:200" s="23" customFormat="1" ht="14.25" customHeight="1">
      <c r="A224" s="20"/>
      <c r="B224" s="21"/>
      <c r="C224" s="22"/>
      <c r="D224" s="22"/>
      <c r="E224" s="22"/>
      <c r="G224" s="22"/>
      <c r="H224" s="22"/>
      <c r="I224" s="22"/>
      <c r="K224" s="22"/>
      <c r="L224" s="22"/>
      <c r="M224" s="22"/>
      <c r="O224" s="22"/>
      <c r="P224" s="22"/>
      <c r="Q224" s="22"/>
      <c r="S224" s="22"/>
      <c r="T224" s="22"/>
      <c r="U224" s="22"/>
      <c r="W224" s="22"/>
      <c r="X224" s="22"/>
      <c r="Y224" s="22"/>
      <c r="AA224" s="22"/>
      <c r="AB224" s="22"/>
      <c r="AC224" s="22"/>
      <c r="AE224" s="24"/>
      <c r="AF224" s="24"/>
      <c r="AG224" s="24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6"/>
      <c r="AW224" s="24"/>
      <c r="AX224" s="20"/>
      <c r="AY224" s="21"/>
      <c r="AZ224" s="22"/>
      <c r="BA224" s="22"/>
      <c r="BB224" s="22"/>
      <c r="BD224" s="22"/>
      <c r="BE224" s="22"/>
      <c r="BF224" s="22"/>
      <c r="BH224" s="22"/>
      <c r="BI224" s="22"/>
      <c r="BJ224" s="22"/>
      <c r="BL224" s="22"/>
      <c r="BM224" s="22"/>
      <c r="BN224" s="22"/>
      <c r="BP224" s="22"/>
      <c r="BQ224" s="22"/>
      <c r="BR224" s="22"/>
      <c r="BT224" s="22"/>
      <c r="BU224" s="22"/>
      <c r="BV224" s="22"/>
      <c r="BX224" s="22"/>
      <c r="BY224" s="22"/>
      <c r="BZ224" s="22"/>
      <c r="CB224" s="24"/>
      <c r="CC224" s="24"/>
      <c r="CD224" s="24"/>
      <c r="CE224" s="25"/>
      <c r="CF224" s="25"/>
      <c r="CG224" s="25"/>
      <c r="CH224" s="25"/>
      <c r="CI224" s="25"/>
      <c r="CJ224" s="25"/>
      <c r="CK224" s="25"/>
      <c r="CL224" s="25"/>
      <c r="CM224" s="25"/>
      <c r="CN224" s="25"/>
      <c r="CO224" s="25"/>
      <c r="CP224" s="25"/>
      <c r="CQ224" s="25"/>
      <c r="CR224" s="25"/>
      <c r="CS224" s="26"/>
      <c r="CT224" s="24"/>
      <c r="CU224" s="24"/>
      <c r="CV224" s="24"/>
      <c r="CW224" s="24"/>
      <c r="CX224" s="24"/>
      <c r="CY224" s="24"/>
      <c r="CZ224" s="24"/>
      <c r="DA224" s="24"/>
      <c r="DB224" s="24"/>
      <c r="DC224" s="24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4"/>
      <c r="DP224" s="24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4"/>
      <c r="EC224" s="24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4"/>
      <c r="EP224" s="24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4"/>
      <c r="FC224" s="24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4"/>
      <c r="FP224" s="24"/>
      <c r="FQ224" s="24"/>
      <c r="FR224" s="24"/>
      <c r="FS224" s="24"/>
      <c r="FT224" s="24"/>
      <c r="FU224" s="24"/>
      <c r="FV224" s="24"/>
      <c r="FW224" s="24"/>
      <c r="FX224" s="24"/>
      <c r="FY224" s="24"/>
      <c r="FZ224" s="24"/>
      <c r="GA224" s="24"/>
      <c r="GB224" s="24"/>
      <c r="GC224" s="24"/>
      <c r="GD224" s="24"/>
      <c r="GE224" s="24"/>
      <c r="GF224" s="24"/>
      <c r="GG224" s="24"/>
      <c r="GH224" s="24"/>
      <c r="GI224" s="24"/>
      <c r="GJ224" s="24"/>
      <c r="GK224" s="24"/>
      <c r="GL224" s="24"/>
      <c r="GM224" s="24"/>
      <c r="GN224" s="24"/>
      <c r="GO224" s="24"/>
      <c r="GP224" s="24"/>
      <c r="GQ224" s="24"/>
      <c r="GR224" s="24"/>
    </row>
    <row r="225" spans="1:200" s="23" customFormat="1" ht="14.25" customHeight="1">
      <c r="A225" s="20"/>
      <c r="B225" s="21"/>
      <c r="C225" s="22"/>
      <c r="D225" s="22"/>
      <c r="E225" s="22"/>
      <c r="G225" s="22"/>
      <c r="H225" s="22"/>
      <c r="I225" s="22"/>
      <c r="K225" s="22"/>
      <c r="L225" s="22"/>
      <c r="M225" s="22"/>
      <c r="O225" s="22"/>
      <c r="P225" s="22"/>
      <c r="Q225" s="22"/>
      <c r="S225" s="22"/>
      <c r="T225" s="22"/>
      <c r="U225" s="22"/>
      <c r="W225" s="22"/>
      <c r="X225" s="22"/>
      <c r="Y225" s="22"/>
      <c r="AA225" s="22"/>
      <c r="AB225" s="22"/>
      <c r="AC225" s="22"/>
      <c r="AE225" s="24"/>
      <c r="AF225" s="24"/>
      <c r="AG225" s="24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6"/>
      <c r="AW225" s="24"/>
      <c r="AX225" s="20"/>
      <c r="AY225" s="21"/>
      <c r="AZ225" s="22"/>
      <c r="BA225" s="22"/>
      <c r="BB225" s="22"/>
      <c r="BD225" s="22"/>
      <c r="BE225" s="22"/>
      <c r="BF225" s="22"/>
      <c r="BH225" s="22"/>
      <c r="BI225" s="22"/>
      <c r="BJ225" s="22"/>
      <c r="BL225" s="22"/>
      <c r="BM225" s="22"/>
      <c r="BN225" s="22"/>
      <c r="BP225" s="22"/>
      <c r="BQ225" s="22"/>
      <c r="BR225" s="22"/>
      <c r="BT225" s="22"/>
      <c r="BU225" s="22"/>
      <c r="BV225" s="22"/>
      <c r="BX225" s="22"/>
      <c r="BY225" s="22"/>
      <c r="BZ225" s="22"/>
      <c r="CB225" s="24"/>
      <c r="CC225" s="24"/>
      <c r="CD225" s="24"/>
      <c r="CE225" s="25"/>
      <c r="CF225" s="25"/>
      <c r="CG225" s="25"/>
      <c r="CH225" s="25"/>
      <c r="CI225" s="25"/>
      <c r="CJ225" s="25"/>
      <c r="CK225" s="25"/>
      <c r="CL225" s="25"/>
      <c r="CM225" s="25"/>
      <c r="CN225" s="25"/>
      <c r="CO225" s="25"/>
      <c r="CP225" s="25"/>
      <c r="CQ225" s="25"/>
      <c r="CR225" s="25"/>
      <c r="CS225" s="26"/>
      <c r="CT225" s="24"/>
      <c r="CU225" s="24"/>
      <c r="CV225" s="24"/>
      <c r="CW225" s="24"/>
      <c r="CX225" s="24"/>
      <c r="CY225" s="24"/>
      <c r="CZ225" s="24"/>
      <c r="DA225" s="24"/>
      <c r="DB225" s="24"/>
      <c r="DC225" s="24"/>
      <c r="DD225" s="24"/>
      <c r="DE225" s="24"/>
      <c r="DF225" s="24"/>
      <c r="DG225" s="24"/>
      <c r="DH225" s="24"/>
      <c r="DI225" s="24"/>
      <c r="DJ225" s="24"/>
      <c r="DK225" s="24"/>
      <c r="DL225" s="24"/>
      <c r="DM225" s="24"/>
      <c r="DN225" s="24"/>
      <c r="DO225" s="24"/>
      <c r="DP225" s="24"/>
      <c r="DQ225" s="24"/>
      <c r="DR225" s="24"/>
      <c r="DS225" s="24"/>
      <c r="DT225" s="24"/>
      <c r="DU225" s="24"/>
      <c r="DV225" s="24"/>
      <c r="DW225" s="24"/>
      <c r="DX225" s="24"/>
      <c r="DY225" s="24"/>
      <c r="DZ225" s="24"/>
      <c r="EA225" s="24"/>
      <c r="EB225" s="24"/>
      <c r="EC225" s="24"/>
      <c r="ED225" s="24"/>
      <c r="EE225" s="24"/>
      <c r="EF225" s="24"/>
      <c r="EG225" s="24"/>
      <c r="EH225" s="24"/>
      <c r="EI225" s="24"/>
      <c r="EJ225" s="24"/>
      <c r="EK225" s="24"/>
      <c r="EL225" s="24"/>
      <c r="EM225" s="24"/>
      <c r="EN225" s="24"/>
      <c r="EO225" s="24"/>
      <c r="EP225" s="24"/>
      <c r="EQ225" s="24"/>
      <c r="ER225" s="24"/>
      <c r="ES225" s="24"/>
      <c r="ET225" s="24"/>
      <c r="EU225" s="24"/>
      <c r="EV225" s="24"/>
      <c r="EW225" s="24"/>
      <c r="EX225" s="24"/>
      <c r="EY225" s="24"/>
      <c r="EZ225" s="24"/>
      <c r="FA225" s="24"/>
      <c r="FB225" s="24"/>
      <c r="FC225" s="24"/>
      <c r="FD225" s="24"/>
      <c r="FE225" s="24"/>
      <c r="FF225" s="24"/>
      <c r="FG225" s="24"/>
      <c r="FH225" s="24"/>
      <c r="FI225" s="24"/>
      <c r="FJ225" s="24"/>
      <c r="FK225" s="24"/>
      <c r="FL225" s="24"/>
      <c r="FM225" s="24"/>
      <c r="FN225" s="24"/>
      <c r="FO225" s="24"/>
      <c r="FP225" s="24"/>
      <c r="FQ225" s="24"/>
      <c r="FR225" s="24"/>
      <c r="FS225" s="24"/>
      <c r="FT225" s="24"/>
      <c r="FU225" s="24"/>
      <c r="FV225" s="24"/>
      <c r="FW225" s="24"/>
      <c r="FX225" s="24"/>
      <c r="FY225" s="24"/>
      <c r="FZ225" s="24"/>
      <c r="GA225" s="24"/>
      <c r="GB225" s="24"/>
      <c r="GC225" s="24"/>
      <c r="GD225" s="24"/>
      <c r="GE225" s="24"/>
      <c r="GF225" s="24"/>
      <c r="GG225" s="24"/>
      <c r="GH225" s="24"/>
      <c r="GI225" s="24"/>
      <c r="GJ225" s="24"/>
      <c r="GK225" s="24"/>
      <c r="GL225" s="24"/>
      <c r="GM225" s="24"/>
      <c r="GN225" s="24"/>
      <c r="GO225" s="24"/>
      <c r="GP225" s="24"/>
      <c r="GQ225" s="24"/>
      <c r="GR225" s="24"/>
    </row>
    <row r="226" spans="1:200" s="23" customFormat="1" ht="14.25" customHeight="1">
      <c r="A226" s="20"/>
      <c r="B226" s="21"/>
      <c r="C226" s="22"/>
      <c r="D226" s="22"/>
      <c r="E226" s="22"/>
      <c r="G226" s="22"/>
      <c r="H226" s="22"/>
      <c r="I226" s="22"/>
      <c r="K226" s="22"/>
      <c r="L226" s="22"/>
      <c r="M226" s="22"/>
      <c r="O226" s="22"/>
      <c r="P226" s="22"/>
      <c r="Q226" s="22"/>
      <c r="S226" s="22"/>
      <c r="T226" s="22"/>
      <c r="U226" s="22"/>
      <c r="W226" s="22"/>
      <c r="X226" s="22"/>
      <c r="Y226" s="22"/>
      <c r="AA226" s="22"/>
      <c r="AB226" s="22"/>
      <c r="AC226" s="22"/>
      <c r="AE226" s="24"/>
      <c r="AF226" s="24"/>
      <c r="AG226" s="24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6"/>
      <c r="AW226" s="24"/>
      <c r="AX226" s="20"/>
      <c r="AY226" s="21"/>
      <c r="AZ226" s="22"/>
      <c r="BA226" s="22"/>
      <c r="BB226" s="22"/>
      <c r="BD226" s="22"/>
      <c r="BE226" s="22"/>
      <c r="BF226" s="22"/>
      <c r="BH226" s="22"/>
      <c r="BI226" s="22"/>
      <c r="BJ226" s="22"/>
      <c r="BL226" s="22"/>
      <c r="BM226" s="22"/>
      <c r="BN226" s="22"/>
      <c r="BP226" s="22"/>
      <c r="BQ226" s="22"/>
      <c r="BR226" s="22"/>
      <c r="BT226" s="22"/>
      <c r="BU226" s="22"/>
      <c r="BV226" s="22"/>
      <c r="BX226" s="22"/>
      <c r="BY226" s="22"/>
      <c r="BZ226" s="22"/>
      <c r="CB226" s="24"/>
      <c r="CC226" s="24"/>
      <c r="CD226" s="24"/>
      <c r="CE226" s="25"/>
      <c r="CF226" s="25"/>
      <c r="CG226" s="25"/>
      <c r="CH226" s="25"/>
      <c r="CI226" s="25"/>
      <c r="CJ226" s="25"/>
      <c r="CK226" s="25"/>
      <c r="CL226" s="25"/>
      <c r="CM226" s="25"/>
      <c r="CN226" s="25"/>
      <c r="CO226" s="25"/>
      <c r="CP226" s="25"/>
      <c r="CQ226" s="25"/>
      <c r="CR226" s="25"/>
      <c r="CS226" s="26"/>
      <c r="CT226" s="24"/>
      <c r="CU226" s="24"/>
      <c r="CV226" s="24"/>
      <c r="CW226" s="24"/>
      <c r="CX226" s="24"/>
      <c r="CY226" s="24"/>
      <c r="CZ226" s="24"/>
      <c r="DA226" s="24"/>
      <c r="DB226" s="24"/>
      <c r="DC226" s="24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4"/>
      <c r="DP226" s="24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4"/>
      <c r="EC226" s="24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4"/>
      <c r="EP226" s="24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4"/>
      <c r="FC226" s="24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4"/>
      <c r="FP226" s="24"/>
      <c r="FQ226" s="24"/>
      <c r="FR226" s="24"/>
      <c r="FS226" s="24"/>
      <c r="FT226" s="24"/>
      <c r="FU226" s="24"/>
      <c r="FV226" s="24"/>
      <c r="FW226" s="24"/>
      <c r="FX226" s="24"/>
      <c r="FY226" s="24"/>
      <c r="FZ226" s="24"/>
      <c r="GA226" s="24"/>
      <c r="GB226" s="24"/>
      <c r="GC226" s="24"/>
      <c r="GD226" s="24"/>
      <c r="GE226" s="24"/>
      <c r="GF226" s="24"/>
      <c r="GG226" s="24"/>
      <c r="GH226" s="24"/>
      <c r="GI226" s="24"/>
      <c r="GJ226" s="24"/>
      <c r="GK226" s="24"/>
      <c r="GL226" s="24"/>
      <c r="GM226" s="24"/>
      <c r="GN226" s="24"/>
      <c r="GO226" s="24"/>
      <c r="GP226" s="24"/>
      <c r="GQ226" s="24"/>
      <c r="GR226" s="24"/>
    </row>
    <row r="227" spans="1:200" s="23" customFormat="1" ht="14.25" customHeight="1">
      <c r="A227" s="20"/>
      <c r="B227" s="21"/>
      <c r="C227" s="22"/>
      <c r="D227" s="22"/>
      <c r="E227" s="22"/>
      <c r="G227" s="22"/>
      <c r="H227" s="22"/>
      <c r="I227" s="22"/>
      <c r="K227" s="22"/>
      <c r="L227" s="22"/>
      <c r="M227" s="22"/>
      <c r="O227" s="22"/>
      <c r="P227" s="22"/>
      <c r="Q227" s="22"/>
      <c r="S227" s="22"/>
      <c r="T227" s="22"/>
      <c r="U227" s="22"/>
      <c r="W227" s="22"/>
      <c r="X227" s="22"/>
      <c r="Y227" s="22"/>
      <c r="AA227" s="22"/>
      <c r="AB227" s="22"/>
      <c r="AC227" s="22"/>
      <c r="AE227" s="24"/>
      <c r="AF227" s="24"/>
      <c r="AG227" s="24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6"/>
      <c r="AW227" s="24"/>
      <c r="AX227" s="20"/>
      <c r="AY227" s="21"/>
      <c r="AZ227" s="22"/>
      <c r="BA227" s="22"/>
      <c r="BB227" s="22"/>
      <c r="BD227" s="22"/>
      <c r="BE227" s="22"/>
      <c r="BF227" s="22"/>
      <c r="BH227" s="22"/>
      <c r="BI227" s="22"/>
      <c r="BJ227" s="22"/>
      <c r="BL227" s="22"/>
      <c r="BM227" s="22"/>
      <c r="BN227" s="22"/>
      <c r="BP227" s="22"/>
      <c r="BQ227" s="22"/>
      <c r="BR227" s="22"/>
      <c r="BT227" s="22"/>
      <c r="BU227" s="22"/>
      <c r="BV227" s="22"/>
      <c r="BX227" s="22"/>
      <c r="BY227" s="22"/>
      <c r="BZ227" s="22"/>
      <c r="CB227" s="24"/>
      <c r="CC227" s="24"/>
      <c r="CD227" s="24"/>
      <c r="CE227" s="25"/>
      <c r="CF227" s="25"/>
      <c r="CG227" s="25"/>
      <c r="CH227" s="25"/>
      <c r="CI227" s="25"/>
      <c r="CJ227" s="25"/>
      <c r="CK227" s="25"/>
      <c r="CL227" s="25"/>
      <c r="CM227" s="25"/>
      <c r="CN227" s="25"/>
      <c r="CO227" s="25"/>
      <c r="CP227" s="25"/>
      <c r="CQ227" s="25"/>
      <c r="CR227" s="25"/>
      <c r="CS227" s="26"/>
      <c r="CT227" s="24"/>
      <c r="CU227" s="24"/>
      <c r="CV227" s="24"/>
      <c r="CW227" s="24"/>
      <c r="CX227" s="24"/>
      <c r="CY227" s="24"/>
      <c r="CZ227" s="24"/>
      <c r="DA227" s="24"/>
      <c r="DB227" s="24"/>
      <c r="DC227" s="24"/>
      <c r="DD227" s="24"/>
      <c r="DE227" s="24"/>
      <c r="DF227" s="24"/>
      <c r="DG227" s="24"/>
      <c r="DH227" s="24"/>
      <c r="DI227" s="24"/>
      <c r="DJ227" s="24"/>
      <c r="DK227" s="24"/>
      <c r="DL227" s="24"/>
      <c r="DM227" s="24"/>
      <c r="DN227" s="24"/>
      <c r="DO227" s="24"/>
      <c r="DP227" s="24"/>
      <c r="DQ227" s="24"/>
      <c r="DR227" s="24"/>
      <c r="DS227" s="24"/>
      <c r="DT227" s="24"/>
      <c r="DU227" s="24"/>
      <c r="DV227" s="24"/>
      <c r="DW227" s="24"/>
      <c r="DX227" s="24"/>
      <c r="DY227" s="24"/>
      <c r="DZ227" s="24"/>
      <c r="EA227" s="24"/>
      <c r="EB227" s="24"/>
      <c r="EC227" s="24"/>
      <c r="ED227" s="24"/>
      <c r="EE227" s="24"/>
      <c r="EF227" s="24"/>
      <c r="EG227" s="24"/>
      <c r="EH227" s="24"/>
      <c r="EI227" s="24"/>
      <c r="EJ227" s="24"/>
      <c r="EK227" s="24"/>
      <c r="EL227" s="24"/>
      <c r="EM227" s="24"/>
      <c r="EN227" s="24"/>
      <c r="EO227" s="24"/>
      <c r="EP227" s="24"/>
      <c r="EQ227" s="24"/>
      <c r="ER227" s="24"/>
      <c r="ES227" s="24"/>
      <c r="ET227" s="24"/>
      <c r="EU227" s="24"/>
      <c r="EV227" s="24"/>
      <c r="EW227" s="24"/>
      <c r="EX227" s="24"/>
      <c r="EY227" s="24"/>
      <c r="EZ227" s="24"/>
      <c r="FA227" s="24"/>
      <c r="FB227" s="24"/>
      <c r="FC227" s="24"/>
      <c r="FD227" s="24"/>
      <c r="FE227" s="24"/>
      <c r="FF227" s="24"/>
      <c r="FG227" s="24"/>
      <c r="FH227" s="24"/>
      <c r="FI227" s="24"/>
      <c r="FJ227" s="24"/>
      <c r="FK227" s="24"/>
      <c r="FL227" s="24"/>
      <c r="FM227" s="24"/>
      <c r="FN227" s="24"/>
      <c r="FO227" s="24"/>
      <c r="FP227" s="24"/>
      <c r="FQ227" s="24"/>
      <c r="FR227" s="24"/>
      <c r="FS227" s="24"/>
      <c r="FT227" s="24"/>
      <c r="FU227" s="24"/>
      <c r="FV227" s="24"/>
      <c r="FW227" s="24"/>
      <c r="FX227" s="24"/>
      <c r="FY227" s="24"/>
      <c r="FZ227" s="24"/>
      <c r="GA227" s="24"/>
      <c r="GB227" s="24"/>
      <c r="GC227" s="24"/>
      <c r="GD227" s="24"/>
      <c r="GE227" s="24"/>
      <c r="GF227" s="24"/>
      <c r="GG227" s="24"/>
      <c r="GH227" s="24"/>
      <c r="GI227" s="24"/>
      <c r="GJ227" s="24"/>
      <c r="GK227" s="24"/>
      <c r="GL227" s="24"/>
      <c r="GM227" s="24"/>
      <c r="GN227" s="24"/>
      <c r="GO227" s="24"/>
      <c r="GP227" s="24"/>
      <c r="GQ227" s="24"/>
      <c r="GR227" s="24"/>
    </row>
    <row r="228" spans="1:200" s="23" customFormat="1" ht="14.25" customHeight="1">
      <c r="A228" s="20"/>
      <c r="B228" s="21"/>
      <c r="C228" s="22"/>
      <c r="D228" s="22"/>
      <c r="E228" s="22"/>
      <c r="G228" s="22"/>
      <c r="H228" s="22"/>
      <c r="I228" s="22"/>
      <c r="K228" s="22"/>
      <c r="L228" s="22"/>
      <c r="M228" s="22"/>
      <c r="O228" s="22"/>
      <c r="P228" s="22"/>
      <c r="Q228" s="22"/>
      <c r="S228" s="22"/>
      <c r="T228" s="22"/>
      <c r="U228" s="22"/>
      <c r="W228" s="22"/>
      <c r="X228" s="22"/>
      <c r="Y228" s="22"/>
      <c r="AA228" s="22"/>
      <c r="AB228" s="22"/>
      <c r="AC228" s="22"/>
      <c r="AE228" s="24"/>
      <c r="AF228" s="24"/>
      <c r="AG228" s="24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6"/>
      <c r="AW228" s="24"/>
      <c r="AX228" s="20"/>
      <c r="AY228" s="21"/>
      <c r="AZ228" s="22"/>
      <c r="BA228" s="22"/>
      <c r="BB228" s="22"/>
      <c r="BD228" s="22"/>
      <c r="BE228" s="22"/>
      <c r="BF228" s="22"/>
      <c r="BH228" s="22"/>
      <c r="BI228" s="22"/>
      <c r="BJ228" s="22"/>
      <c r="BL228" s="22"/>
      <c r="BM228" s="22"/>
      <c r="BN228" s="22"/>
      <c r="BP228" s="22"/>
      <c r="BQ228" s="22"/>
      <c r="BR228" s="22"/>
      <c r="BT228" s="22"/>
      <c r="BU228" s="22"/>
      <c r="BV228" s="22"/>
      <c r="BX228" s="22"/>
      <c r="BY228" s="22"/>
      <c r="BZ228" s="22"/>
      <c r="CB228" s="24"/>
      <c r="CC228" s="24"/>
      <c r="CD228" s="24"/>
      <c r="CE228" s="25"/>
      <c r="CF228" s="25"/>
      <c r="CG228" s="25"/>
      <c r="CH228" s="25"/>
      <c r="CI228" s="25"/>
      <c r="CJ228" s="25"/>
      <c r="CK228" s="25"/>
      <c r="CL228" s="25"/>
      <c r="CM228" s="25"/>
      <c r="CN228" s="25"/>
      <c r="CO228" s="25"/>
      <c r="CP228" s="25"/>
      <c r="CQ228" s="25"/>
      <c r="CR228" s="25"/>
      <c r="CS228" s="26"/>
      <c r="CT228" s="24"/>
      <c r="CU228" s="24"/>
      <c r="CV228" s="24"/>
      <c r="CW228" s="24"/>
      <c r="CX228" s="24"/>
      <c r="CY228" s="24"/>
      <c r="CZ228" s="24"/>
      <c r="DA228" s="24"/>
      <c r="DB228" s="24"/>
      <c r="DC228" s="24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4"/>
      <c r="DP228" s="24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4"/>
      <c r="EC228" s="24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4"/>
      <c r="EP228" s="24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4"/>
      <c r="FC228" s="24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4"/>
      <c r="FP228" s="24"/>
      <c r="FQ228" s="24"/>
      <c r="FR228" s="24"/>
      <c r="FS228" s="24"/>
      <c r="FT228" s="24"/>
      <c r="FU228" s="24"/>
      <c r="FV228" s="24"/>
      <c r="FW228" s="24"/>
      <c r="FX228" s="24"/>
      <c r="FY228" s="24"/>
      <c r="FZ228" s="24"/>
      <c r="GA228" s="24"/>
      <c r="GB228" s="24"/>
      <c r="GC228" s="24"/>
      <c r="GD228" s="24"/>
      <c r="GE228" s="24"/>
      <c r="GF228" s="24"/>
      <c r="GG228" s="24"/>
      <c r="GH228" s="24"/>
      <c r="GI228" s="24"/>
      <c r="GJ228" s="24"/>
      <c r="GK228" s="24"/>
      <c r="GL228" s="24"/>
      <c r="GM228" s="24"/>
      <c r="GN228" s="24"/>
      <c r="GO228" s="24"/>
      <c r="GP228" s="24"/>
      <c r="GQ228" s="24"/>
      <c r="GR228" s="24"/>
    </row>
    <row r="229" spans="1:200" s="23" customFormat="1" ht="14.25" customHeight="1">
      <c r="A229" s="20"/>
      <c r="B229" s="21"/>
      <c r="C229" s="22"/>
      <c r="D229" s="22"/>
      <c r="E229" s="22"/>
      <c r="G229" s="22"/>
      <c r="H229" s="22"/>
      <c r="I229" s="22"/>
      <c r="K229" s="22"/>
      <c r="L229" s="22"/>
      <c r="M229" s="22"/>
      <c r="O229" s="22"/>
      <c r="P229" s="22"/>
      <c r="Q229" s="22"/>
      <c r="S229" s="22"/>
      <c r="T229" s="22"/>
      <c r="U229" s="22"/>
      <c r="W229" s="22"/>
      <c r="X229" s="22"/>
      <c r="Y229" s="22"/>
      <c r="AA229" s="22"/>
      <c r="AB229" s="22"/>
      <c r="AC229" s="22"/>
      <c r="AE229" s="24"/>
      <c r="AF229" s="24"/>
      <c r="AG229" s="24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6"/>
      <c r="AW229" s="24"/>
      <c r="AX229" s="20"/>
      <c r="AY229" s="21"/>
      <c r="AZ229" s="22"/>
      <c r="BA229" s="22"/>
      <c r="BB229" s="22"/>
      <c r="BD229" s="22"/>
      <c r="BE229" s="22"/>
      <c r="BF229" s="22"/>
      <c r="BH229" s="22"/>
      <c r="BI229" s="22"/>
      <c r="BJ229" s="22"/>
      <c r="BL229" s="22"/>
      <c r="BM229" s="22"/>
      <c r="BN229" s="22"/>
      <c r="BP229" s="22"/>
      <c r="BQ229" s="22"/>
      <c r="BR229" s="22"/>
      <c r="BT229" s="22"/>
      <c r="BU229" s="22"/>
      <c r="BV229" s="22"/>
      <c r="BX229" s="22"/>
      <c r="BY229" s="22"/>
      <c r="BZ229" s="22"/>
      <c r="CB229" s="24"/>
      <c r="CC229" s="24"/>
      <c r="CD229" s="24"/>
      <c r="CE229" s="25"/>
      <c r="CF229" s="25"/>
      <c r="CG229" s="25"/>
      <c r="CH229" s="25"/>
      <c r="CI229" s="25"/>
      <c r="CJ229" s="25"/>
      <c r="CK229" s="25"/>
      <c r="CL229" s="25"/>
      <c r="CM229" s="25"/>
      <c r="CN229" s="25"/>
      <c r="CO229" s="25"/>
      <c r="CP229" s="25"/>
      <c r="CQ229" s="25"/>
      <c r="CR229" s="25"/>
      <c r="CS229" s="26"/>
      <c r="CT229" s="24"/>
      <c r="CU229" s="24"/>
      <c r="CV229" s="24"/>
      <c r="CW229" s="24"/>
      <c r="CX229" s="24"/>
      <c r="CY229" s="24"/>
      <c r="CZ229" s="24"/>
      <c r="DA229" s="24"/>
      <c r="DB229" s="24"/>
      <c r="DC229" s="24"/>
      <c r="DD229" s="24"/>
      <c r="DE229" s="24"/>
      <c r="DF229" s="24"/>
      <c r="DG229" s="24"/>
      <c r="DH229" s="24"/>
      <c r="DI229" s="24"/>
      <c r="DJ229" s="24"/>
      <c r="DK229" s="24"/>
      <c r="DL229" s="24"/>
      <c r="DM229" s="24"/>
      <c r="DN229" s="24"/>
      <c r="DO229" s="24"/>
      <c r="DP229" s="24"/>
      <c r="DQ229" s="24"/>
      <c r="DR229" s="24"/>
      <c r="DS229" s="24"/>
      <c r="DT229" s="24"/>
      <c r="DU229" s="24"/>
      <c r="DV229" s="24"/>
      <c r="DW229" s="24"/>
      <c r="DX229" s="24"/>
      <c r="DY229" s="24"/>
      <c r="DZ229" s="24"/>
      <c r="EA229" s="24"/>
      <c r="EB229" s="24"/>
      <c r="EC229" s="24"/>
      <c r="ED229" s="24"/>
      <c r="EE229" s="24"/>
      <c r="EF229" s="24"/>
      <c r="EG229" s="24"/>
      <c r="EH229" s="24"/>
      <c r="EI229" s="24"/>
      <c r="EJ229" s="24"/>
      <c r="EK229" s="24"/>
      <c r="EL229" s="24"/>
      <c r="EM229" s="24"/>
      <c r="EN229" s="24"/>
      <c r="EO229" s="24"/>
      <c r="EP229" s="24"/>
      <c r="EQ229" s="24"/>
      <c r="ER229" s="24"/>
      <c r="ES229" s="24"/>
      <c r="ET229" s="24"/>
      <c r="EU229" s="24"/>
      <c r="EV229" s="24"/>
      <c r="EW229" s="24"/>
      <c r="EX229" s="24"/>
      <c r="EY229" s="24"/>
      <c r="EZ229" s="24"/>
      <c r="FA229" s="24"/>
      <c r="FB229" s="24"/>
      <c r="FC229" s="24"/>
      <c r="FD229" s="24"/>
      <c r="FE229" s="24"/>
      <c r="FF229" s="24"/>
      <c r="FG229" s="24"/>
      <c r="FH229" s="24"/>
      <c r="FI229" s="24"/>
      <c r="FJ229" s="24"/>
      <c r="FK229" s="24"/>
      <c r="FL229" s="24"/>
      <c r="FM229" s="24"/>
      <c r="FN229" s="24"/>
      <c r="FO229" s="24"/>
      <c r="FP229" s="24"/>
      <c r="FQ229" s="24"/>
      <c r="FR229" s="24"/>
      <c r="FS229" s="24"/>
      <c r="FT229" s="24"/>
      <c r="FU229" s="24"/>
      <c r="FV229" s="24"/>
      <c r="FW229" s="24"/>
      <c r="FX229" s="24"/>
      <c r="FY229" s="24"/>
      <c r="FZ229" s="24"/>
      <c r="GA229" s="24"/>
      <c r="GB229" s="24"/>
      <c r="GC229" s="24"/>
      <c r="GD229" s="24"/>
      <c r="GE229" s="24"/>
      <c r="GF229" s="24"/>
      <c r="GG229" s="24"/>
      <c r="GH229" s="24"/>
      <c r="GI229" s="24"/>
      <c r="GJ229" s="24"/>
      <c r="GK229" s="24"/>
      <c r="GL229" s="24"/>
      <c r="GM229" s="24"/>
      <c r="GN229" s="24"/>
      <c r="GO229" s="24"/>
      <c r="GP229" s="24"/>
      <c r="GQ229" s="24"/>
      <c r="GR229" s="24"/>
    </row>
    <row r="230" spans="1:200" s="23" customFormat="1" ht="14.25" customHeight="1">
      <c r="A230" s="20"/>
      <c r="B230" s="21"/>
      <c r="C230" s="22"/>
      <c r="D230" s="22"/>
      <c r="E230" s="22"/>
      <c r="G230" s="22"/>
      <c r="H230" s="22"/>
      <c r="I230" s="22"/>
      <c r="K230" s="22"/>
      <c r="L230" s="22"/>
      <c r="M230" s="22"/>
      <c r="O230" s="22"/>
      <c r="P230" s="22"/>
      <c r="Q230" s="22"/>
      <c r="S230" s="22"/>
      <c r="T230" s="22"/>
      <c r="U230" s="22"/>
      <c r="W230" s="22"/>
      <c r="X230" s="22"/>
      <c r="Y230" s="22"/>
      <c r="AA230" s="22"/>
      <c r="AB230" s="22"/>
      <c r="AC230" s="22"/>
      <c r="AE230" s="24"/>
      <c r="AF230" s="24"/>
      <c r="AG230" s="24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6"/>
      <c r="AW230" s="24"/>
      <c r="AX230" s="20"/>
      <c r="AY230" s="21"/>
      <c r="AZ230" s="22"/>
      <c r="BA230" s="22"/>
      <c r="BB230" s="22"/>
      <c r="BD230" s="22"/>
      <c r="BE230" s="22"/>
      <c r="BF230" s="22"/>
      <c r="BH230" s="22"/>
      <c r="BI230" s="22"/>
      <c r="BJ230" s="22"/>
      <c r="BL230" s="22"/>
      <c r="BM230" s="22"/>
      <c r="BN230" s="22"/>
      <c r="BP230" s="22"/>
      <c r="BQ230" s="22"/>
      <c r="BR230" s="22"/>
      <c r="BT230" s="22"/>
      <c r="BU230" s="22"/>
      <c r="BV230" s="22"/>
      <c r="BX230" s="22"/>
      <c r="BY230" s="22"/>
      <c r="BZ230" s="22"/>
      <c r="CB230" s="24"/>
      <c r="CC230" s="24"/>
      <c r="CD230" s="24"/>
      <c r="CE230" s="25"/>
      <c r="CF230" s="25"/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6"/>
      <c r="CT230" s="24"/>
      <c r="CU230" s="24"/>
      <c r="CV230" s="24"/>
      <c r="CW230" s="24"/>
      <c r="CX230" s="24"/>
      <c r="CY230" s="24"/>
      <c r="CZ230" s="24"/>
      <c r="DA230" s="24"/>
      <c r="DB230" s="24"/>
      <c r="DC230" s="24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4"/>
      <c r="DP230" s="24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4"/>
      <c r="EC230" s="24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4"/>
      <c r="EP230" s="24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4"/>
      <c r="FC230" s="24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4"/>
      <c r="FP230" s="24"/>
      <c r="FQ230" s="24"/>
      <c r="FR230" s="24"/>
      <c r="FS230" s="24"/>
      <c r="FT230" s="24"/>
      <c r="FU230" s="24"/>
      <c r="FV230" s="24"/>
      <c r="FW230" s="24"/>
      <c r="FX230" s="24"/>
      <c r="FY230" s="24"/>
      <c r="FZ230" s="24"/>
      <c r="GA230" s="24"/>
      <c r="GB230" s="24"/>
      <c r="GC230" s="24"/>
      <c r="GD230" s="24"/>
      <c r="GE230" s="24"/>
      <c r="GF230" s="24"/>
      <c r="GG230" s="24"/>
      <c r="GH230" s="24"/>
      <c r="GI230" s="24"/>
      <c r="GJ230" s="24"/>
      <c r="GK230" s="24"/>
      <c r="GL230" s="24"/>
      <c r="GM230" s="24"/>
      <c r="GN230" s="24"/>
      <c r="GO230" s="24"/>
      <c r="GP230" s="24"/>
      <c r="GQ230" s="24"/>
      <c r="GR230" s="24"/>
    </row>
    <row r="231" spans="1:200" s="23" customFormat="1" ht="14.25" customHeight="1">
      <c r="A231" s="20"/>
      <c r="B231" s="21"/>
      <c r="C231" s="22"/>
      <c r="D231" s="22"/>
      <c r="E231" s="22"/>
      <c r="G231" s="22"/>
      <c r="H231" s="22"/>
      <c r="I231" s="22"/>
      <c r="K231" s="22"/>
      <c r="L231" s="22"/>
      <c r="M231" s="22"/>
      <c r="O231" s="22"/>
      <c r="P231" s="22"/>
      <c r="Q231" s="22"/>
      <c r="S231" s="22"/>
      <c r="T231" s="22"/>
      <c r="U231" s="22"/>
      <c r="W231" s="22"/>
      <c r="X231" s="22"/>
      <c r="Y231" s="22"/>
      <c r="AA231" s="22"/>
      <c r="AB231" s="22"/>
      <c r="AC231" s="22"/>
      <c r="AE231" s="24"/>
      <c r="AF231" s="24"/>
      <c r="AG231" s="24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6"/>
      <c r="AW231" s="24"/>
      <c r="AX231" s="20"/>
      <c r="AY231" s="21"/>
      <c r="AZ231" s="22"/>
      <c r="BA231" s="22"/>
      <c r="BB231" s="22"/>
      <c r="BD231" s="22"/>
      <c r="BE231" s="22"/>
      <c r="BF231" s="22"/>
      <c r="BH231" s="22"/>
      <c r="BI231" s="22"/>
      <c r="BJ231" s="22"/>
      <c r="BL231" s="22"/>
      <c r="BM231" s="22"/>
      <c r="BN231" s="22"/>
      <c r="BP231" s="22"/>
      <c r="BQ231" s="22"/>
      <c r="BR231" s="22"/>
      <c r="BT231" s="22"/>
      <c r="BU231" s="22"/>
      <c r="BV231" s="22"/>
      <c r="BX231" s="22"/>
      <c r="BY231" s="22"/>
      <c r="BZ231" s="22"/>
      <c r="CB231" s="24"/>
      <c r="CC231" s="24"/>
      <c r="CD231" s="24"/>
      <c r="CE231" s="25"/>
      <c r="CF231" s="25"/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6"/>
      <c r="CT231" s="24"/>
      <c r="CU231" s="24"/>
      <c r="CV231" s="24"/>
      <c r="CW231" s="24"/>
      <c r="CX231" s="24"/>
      <c r="CY231" s="24"/>
      <c r="CZ231" s="24"/>
      <c r="DA231" s="24"/>
      <c r="DB231" s="24"/>
      <c r="DC231" s="24"/>
      <c r="DD231" s="24"/>
      <c r="DE231" s="24"/>
      <c r="DF231" s="24"/>
      <c r="DG231" s="24"/>
      <c r="DH231" s="24"/>
      <c r="DI231" s="24"/>
      <c r="DJ231" s="24"/>
      <c r="DK231" s="24"/>
      <c r="DL231" s="24"/>
      <c r="DM231" s="24"/>
      <c r="DN231" s="24"/>
      <c r="DO231" s="24"/>
      <c r="DP231" s="24"/>
      <c r="DQ231" s="24"/>
      <c r="DR231" s="24"/>
      <c r="DS231" s="24"/>
      <c r="DT231" s="24"/>
      <c r="DU231" s="24"/>
      <c r="DV231" s="24"/>
      <c r="DW231" s="24"/>
      <c r="DX231" s="24"/>
      <c r="DY231" s="24"/>
      <c r="DZ231" s="24"/>
      <c r="EA231" s="24"/>
      <c r="EB231" s="24"/>
      <c r="EC231" s="24"/>
      <c r="ED231" s="24"/>
      <c r="EE231" s="24"/>
      <c r="EF231" s="24"/>
      <c r="EG231" s="24"/>
      <c r="EH231" s="24"/>
      <c r="EI231" s="24"/>
      <c r="EJ231" s="24"/>
      <c r="EK231" s="24"/>
      <c r="EL231" s="24"/>
      <c r="EM231" s="24"/>
      <c r="EN231" s="24"/>
      <c r="EO231" s="24"/>
      <c r="EP231" s="24"/>
      <c r="EQ231" s="24"/>
      <c r="ER231" s="24"/>
      <c r="ES231" s="24"/>
      <c r="ET231" s="24"/>
      <c r="EU231" s="24"/>
      <c r="EV231" s="24"/>
      <c r="EW231" s="24"/>
      <c r="EX231" s="24"/>
      <c r="EY231" s="24"/>
      <c r="EZ231" s="24"/>
      <c r="FA231" s="24"/>
      <c r="FB231" s="24"/>
      <c r="FC231" s="24"/>
      <c r="FD231" s="24"/>
      <c r="FE231" s="24"/>
      <c r="FF231" s="24"/>
      <c r="FG231" s="24"/>
      <c r="FH231" s="24"/>
      <c r="FI231" s="24"/>
      <c r="FJ231" s="24"/>
      <c r="FK231" s="24"/>
      <c r="FL231" s="24"/>
      <c r="FM231" s="24"/>
      <c r="FN231" s="24"/>
      <c r="FO231" s="24"/>
      <c r="FP231" s="24"/>
      <c r="FQ231" s="24"/>
      <c r="FR231" s="24"/>
      <c r="FS231" s="24"/>
      <c r="FT231" s="24"/>
      <c r="FU231" s="24"/>
      <c r="FV231" s="24"/>
      <c r="FW231" s="24"/>
      <c r="FX231" s="24"/>
      <c r="FY231" s="24"/>
      <c r="FZ231" s="24"/>
      <c r="GA231" s="24"/>
      <c r="GB231" s="24"/>
      <c r="GC231" s="24"/>
      <c r="GD231" s="24"/>
      <c r="GE231" s="24"/>
      <c r="GF231" s="24"/>
      <c r="GG231" s="24"/>
      <c r="GH231" s="24"/>
      <c r="GI231" s="24"/>
      <c r="GJ231" s="24"/>
      <c r="GK231" s="24"/>
      <c r="GL231" s="24"/>
      <c r="GM231" s="24"/>
      <c r="GN231" s="24"/>
      <c r="GO231" s="24"/>
      <c r="GP231" s="24"/>
      <c r="GQ231" s="24"/>
      <c r="GR231" s="24"/>
    </row>
    <row r="232" spans="1:200" s="23" customFormat="1" ht="14.25" customHeight="1">
      <c r="A232" s="20"/>
      <c r="B232" s="21"/>
      <c r="C232" s="22"/>
      <c r="D232" s="22"/>
      <c r="E232" s="22"/>
      <c r="G232" s="22"/>
      <c r="H232" s="22"/>
      <c r="I232" s="22"/>
      <c r="K232" s="22"/>
      <c r="L232" s="22"/>
      <c r="M232" s="22"/>
      <c r="O232" s="22"/>
      <c r="P232" s="22"/>
      <c r="Q232" s="22"/>
      <c r="S232" s="22"/>
      <c r="T232" s="22"/>
      <c r="U232" s="22"/>
      <c r="W232" s="22"/>
      <c r="X232" s="22"/>
      <c r="Y232" s="22"/>
      <c r="AA232" s="22"/>
      <c r="AB232" s="22"/>
      <c r="AC232" s="22"/>
      <c r="AE232" s="24"/>
      <c r="AF232" s="24"/>
      <c r="AG232" s="24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6"/>
      <c r="AW232" s="24"/>
      <c r="AX232" s="20"/>
      <c r="AY232" s="21"/>
      <c r="AZ232" s="22"/>
      <c r="BA232" s="22"/>
      <c r="BB232" s="22"/>
      <c r="BD232" s="22"/>
      <c r="BE232" s="22"/>
      <c r="BF232" s="22"/>
      <c r="BH232" s="22"/>
      <c r="BI232" s="22"/>
      <c r="BJ232" s="22"/>
      <c r="BL232" s="22"/>
      <c r="BM232" s="22"/>
      <c r="BN232" s="22"/>
      <c r="BP232" s="22"/>
      <c r="BQ232" s="22"/>
      <c r="BR232" s="22"/>
      <c r="BT232" s="22"/>
      <c r="BU232" s="22"/>
      <c r="BV232" s="22"/>
      <c r="BX232" s="22"/>
      <c r="BY232" s="22"/>
      <c r="BZ232" s="22"/>
      <c r="CB232" s="24"/>
      <c r="CC232" s="24"/>
      <c r="CD232" s="24"/>
      <c r="CE232" s="25"/>
      <c r="CF232" s="25"/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6"/>
      <c r="CT232" s="24"/>
      <c r="CU232" s="24"/>
      <c r="CV232" s="24"/>
      <c r="CW232" s="24"/>
      <c r="CX232" s="24"/>
      <c r="CY232" s="24"/>
      <c r="CZ232" s="24"/>
      <c r="DA232" s="24"/>
      <c r="DB232" s="24"/>
      <c r="DC232" s="24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4"/>
      <c r="DP232" s="24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4"/>
      <c r="EC232" s="24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4"/>
      <c r="EP232" s="24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4"/>
      <c r="FC232" s="24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4"/>
      <c r="FP232" s="24"/>
      <c r="FQ232" s="24"/>
      <c r="FR232" s="24"/>
      <c r="FS232" s="24"/>
      <c r="FT232" s="24"/>
      <c r="FU232" s="24"/>
      <c r="FV232" s="24"/>
      <c r="FW232" s="24"/>
      <c r="FX232" s="24"/>
      <c r="FY232" s="24"/>
      <c r="FZ232" s="24"/>
      <c r="GA232" s="24"/>
      <c r="GB232" s="24"/>
      <c r="GC232" s="24"/>
      <c r="GD232" s="24"/>
      <c r="GE232" s="24"/>
      <c r="GF232" s="24"/>
      <c r="GG232" s="24"/>
      <c r="GH232" s="24"/>
      <c r="GI232" s="24"/>
      <c r="GJ232" s="24"/>
      <c r="GK232" s="24"/>
      <c r="GL232" s="24"/>
      <c r="GM232" s="24"/>
      <c r="GN232" s="24"/>
      <c r="GO232" s="24"/>
      <c r="GP232" s="24"/>
      <c r="GQ232" s="24"/>
      <c r="GR232" s="24"/>
    </row>
    <row r="233" spans="1:200" s="23" customFormat="1" ht="14.25" customHeight="1">
      <c r="A233" s="20"/>
      <c r="B233" s="21"/>
      <c r="C233" s="22"/>
      <c r="D233" s="22"/>
      <c r="E233" s="22"/>
      <c r="G233" s="22"/>
      <c r="H233" s="22"/>
      <c r="I233" s="22"/>
      <c r="K233" s="22"/>
      <c r="L233" s="22"/>
      <c r="M233" s="22"/>
      <c r="O233" s="22"/>
      <c r="P233" s="22"/>
      <c r="Q233" s="22"/>
      <c r="S233" s="22"/>
      <c r="T233" s="22"/>
      <c r="U233" s="22"/>
      <c r="W233" s="22"/>
      <c r="X233" s="22"/>
      <c r="Y233" s="22"/>
      <c r="AA233" s="22"/>
      <c r="AB233" s="22"/>
      <c r="AC233" s="22"/>
      <c r="AE233" s="24"/>
      <c r="AF233" s="24"/>
      <c r="AG233" s="24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6"/>
      <c r="AW233" s="24"/>
      <c r="AX233" s="20"/>
      <c r="AY233" s="21"/>
      <c r="AZ233" s="22"/>
      <c r="BA233" s="22"/>
      <c r="BB233" s="22"/>
      <c r="BD233" s="22"/>
      <c r="BE233" s="22"/>
      <c r="BF233" s="22"/>
      <c r="BH233" s="22"/>
      <c r="BI233" s="22"/>
      <c r="BJ233" s="22"/>
      <c r="BL233" s="22"/>
      <c r="BM233" s="22"/>
      <c r="BN233" s="22"/>
      <c r="BP233" s="22"/>
      <c r="BQ233" s="22"/>
      <c r="BR233" s="22"/>
      <c r="BT233" s="22"/>
      <c r="BU233" s="22"/>
      <c r="BV233" s="22"/>
      <c r="BX233" s="22"/>
      <c r="BY233" s="22"/>
      <c r="BZ233" s="22"/>
      <c r="CB233" s="24"/>
      <c r="CC233" s="24"/>
      <c r="CD233" s="24"/>
      <c r="CE233" s="25"/>
      <c r="CF233" s="25"/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6"/>
      <c r="CT233" s="24"/>
      <c r="CU233" s="24"/>
      <c r="CV233" s="24"/>
      <c r="CW233" s="24"/>
      <c r="CX233" s="24"/>
      <c r="CY233" s="24"/>
      <c r="CZ233" s="24"/>
      <c r="DA233" s="24"/>
      <c r="DB233" s="24"/>
      <c r="DC233" s="24"/>
      <c r="DD233" s="24"/>
      <c r="DE233" s="24"/>
      <c r="DF233" s="24"/>
      <c r="DG233" s="24"/>
      <c r="DH233" s="24"/>
      <c r="DI233" s="24"/>
      <c r="DJ233" s="24"/>
      <c r="DK233" s="24"/>
      <c r="DL233" s="24"/>
      <c r="DM233" s="24"/>
      <c r="DN233" s="24"/>
      <c r="DO233" s="24"/>
      <c r="DP233" s="24"/>
      <c r="DQ233" s="24"/>
      <c r="DR233" s="24"/>
      <c r="DS233" s="24"/>
      <c r="DT233" s="24"/>
      <c r="DU233" s="24"/>
      <c r="DV233" s="24"/>
      <c r="DW233" s="24"/>
      <c r="DX233" s="24"/>
      <c r="DY233" s="24"/>
      <c r="DZ233" s="24"/>
      <c r="EA233" s="24"/>
      <c r="EB233" s="24"/>
      <c r="EC233" s="24"/>
      <c r="ED233" s="24"/>
      <c r="EE233" s="24"/>
      <c r="EF233" s="24"/>
      <c r="EG233" s="24"/>
      <c r="EH233" s="24"/>
      <c r="EI233" s="24"/>
      <c r="EJ233" s="24"/>
      <c r="EK233" s="24"/>
      <c r="EL233" s="24"/>
      <c r="EM233" s="24"/>
      <c r="EN233" s="24"/>
      <c r="EO233" s="24"/>
      <c r="EP233" s="24"/>
      <c r="EQ233" s="24"/>
      <c r="ER233" s="24"/>
      <c r="ES233" s="24"/>
      <c r="ET233" s="24"/>
      <c r="EU233" s="24"/>
      <c r="EV233" s="24"/>
      <c r="EW233" s="24"/>
      <c r="EX233" s="24"/>
      <c r="EY233" s="24"/>
      <c r="EZ233" s="24"/>
      <c r="FA233" s="24"/>
      <c r="FB233" s="24"/>
      <c r="FC233" s="24"/>
      <c r="FD233" s="24"/>
      <c r="FE233" s="24"/>
      <c r="FF233" s="24"/>
      <c r="FG233" s="24"/>
      <c r="FH233" s="24"/>
      <c r="FI233" s="24"/>
      <c r="FJ233" s="24"/>
      <c r="FK233" s="24"/>
      <c r="FL233" s="24"/>
      <c r="FM233" s="24"/>
      <c r="FN233" s="24"/>
      <c r="FO233" s="24"/>
      <c r="FP233" s="24"/>
      <c r="FQ233" s="24"/>
      <c r="FR233" s="24"/>
      <c r="FS233" s="24"/>
      <c r="FT233" s="24"/>
      <c r="FU233" s="24"/>
      <c r="FV233" s="24"/>
      <c r="FW233" s="24"/>
      <c r="FX233" s="24"/>
      <c r="FY233" s="24"/>
      <c r="FZ233" s="24"/>
      <c r="GA233" s="24"/>
      <c r="GB233" s="24"/>
      <c r="GC233" s="24"/>
      <c r="GD233" s="24"/>
      <c r="GE233" s="24"/>
      <c r="GF233" s="24"/>
      <c r="GG233" s="24"/>
      <c r="GH233" s="24"/>
      <c r="GI233" s="24"/>
      <c r="GJ233" s="24"/>
      <c r="GK233" s="24"/>
      <c r="GL233" s="24"/>
      <c r="GM233" s="24"/>
      <c r="GN233" s="24"/>
      <c r="GO233" s="24"/>
      <c r="GP233" s="24"/>
      <c r="GQ233" s="24"/>
      <c r="GR233" s="24"/>
    </row>
    <row r="234" spans="1:200" s="23" customFormat="1" ht="14.25" customHeight="1">
      <c r="A234" s="20"/>
      <c r="B234" s="21"/>
      <c r="C234" s="22"/>
      <c r="D234" s="22"/>
      <c r="E234" s="22"/>
      <c r="G234" s="22"/>
      <c r="H234" s="22"/>
      <c r="I234" s="22"/>
      <c r="K234" s="22"/>
      <c r="L234" s="22"/>
      <c r="M234" s="22"/>
      <c r="O234" s="22"/>
      <c r="P234" s="22"/>
      <c r="Q234" s="22"/>
      <c r="S234" s="22"/>
      <c r="T234" s="22"/>
      <c r="U234" s="22"/>
      <c r="W234" s="22"/>
      <c r="X234" s="22"/>
      <c r="Y234" s="22"/>
      <c r="AA234" s="22"/>
      <c r="AB234" s="22"/>
      <c r="AC234" s="22"/>
      <c r="AE234" s="24"/>
      <c r="AF234" s="24"/>
      <c r="AG234" s="24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6"/>
      <c r="AW234" s="24"/>
      <c r="AX234" s="20"/>
      <c r="AY234" s="21"/>
      <c r="AZ234" s="22"/>
      <c r="BA234" s="22"/>
      <c r="BB234" s="22"/>
      <c r="BD234" s="22"/>
      <c r="BE234" s="22"/>
      <c r="BF234" s="22"/>
      <c r="BH234" s="22"/>
      <c r="BI234" s="22"/>
      <c r="BJ234" s="22"/>
      <c r="BL234" s="22"/>
      <c r="BM234" s="22"/>
      <c r="BN234" s="22"/>
      <c r="BP234" s="22"/>
      <c r="BQ234" s="22"/>
      <c r="BR234" s="22"/>
      <c r="BT234" s="22"/>
      <c r="BU234" s="22"/>
      <c r="BV234" s="22"/>
      <c r="BX234" s="22"/>
      <c r="BY234" s="22"/>
      <c r="BZ234" s="22"/>
      <c r="CB234" s="24"/>
      <c r="CC234" s="24"/>
      <c r="CD234" s="24"/>
      <c r="CE234" s="25"/>
      <c r="CF234" s="25"/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6"/>
      <c r="CT234" s="24"/>
      <c r="CU234" s="24"/>
      <c r="CV234" s="24"/>
      <c r="CW234" s="24"/>
      <c r="CX234" s="24"/>
      <c r="CY234" s="24"/>
      <c r="CZ234" s="24"/>
      <c r="DA234" s="24"/>
      <c r="DB234" s="24"/>
      <c r="DC234" s="24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4"/>
      <c r="DP234" s="24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4"/>
      <c r="EC234" s="24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4"/>
      <c r="EP234" s="24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4"/>
      <c r="FC234" s="24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4"/>
      <c r="FP234" s="24"/>
      <c r="FQ234" s="24"/>
      <c r="FR234" s="24"/>
      <c r="FS234" s="24"/>
      <c r="FT234" s="24"/>
      <c r="FU234" s="24"/>
      <c r="FV234" s="24"/>
      <c r="FW234" s="24"/>
      <c r="FX234" s="24"/>
      <c r="FY234" s="24"/>
      <c r="FZ234" s="24"/>
      <c r="GA234" s="24"/>
      <c r="GB234" s="24"/>
      <c r="GC234" s="24"/>
      <c r="GD234" s="24"/>
      <c r="GE234" s="24"/>
      <c r="GF234" s="24"/>
      <c r="GG234" s="24"/>
      <c r="GH234" s="24"/>
      <c r="GI234" s="24"/>
      <c r="GJ234" s="24"/>
      <c r="GK234" s="24"/>
      <c r="GL234" s="24"/>
      <c r="GM234" s="24"/>
      <c r="GN234" s="24"/>
      <c r="GO234" s="24"/>
      <c r="GP234" s="24"/>
      <c r="GQ234" s="24"/>
      <c r="GR234" s="24"/>
    </row>
    <row r="235" spans="1:200" s="23" customFormat="1" ht="14.25" customHeight="1">
      <c r="A235" s="20"/>
      <c r="B235" s="21"/>
      <c r="C235" s="22"/>
      <c r="D235" s="22"/>
      <c r="E235" s="22"/>
      <c r="G235" s="22"/>
      <c r="H235" s="22"/>
      <c r="I235" s="22"/>
      <c r="K235" s="22"/>
      <c r="L235" s="22"/>
      <c r="M235" s="22"/>
      <c r="O235" s="22"/>
      <c r="P235" s="22"/>
      <c r="Q235" s="22"/>
      <c r="S235" s="22"/>
      <c r="T235" s="22"/>
      <c r="U235" s="22"/>
      <c r="W235" s="22"/>
      <c r="X235" s="22"/>
      <c r="Y235" s="22"/>
      <c r="AA235" s="22"/>
      <c r="AB235" s="22"/>
      <c r="AC235" s="22"/>
      <c r="AE235" s="24"/>
      <c r="AF235" s="24"/>
      <c r="AG235" s="24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6"/>
      <c r="AW235" s="24"/>
      <c r="AX235" s="20"/>
      <c r="AY235" s="21"/>
      <c r="AZ235" s="22"/>
      <c r="BA235" s="22"/>
      <c r="BB235" s="22"/>
      <c r="BD235" s="22"/>
      <c r="BE235" s="22"/>
      <c r="BF235" s="22"/>
      <c r="BH235" s="22"/>
      <c r="BI235" s="22"/>
      <c r="BJ235" s="22"/>
      <c r="BL235" s="22"/>
      <c r="BM235" s="22"/>
      <c r="BN235" s="22"/>
      <c r="BP235" s="22"/>
      <c r="BQ235" s="22"/>
      <c r="BR235" s="22"/>
      <c r="BT235" s="22"/>
      <c r="BU235" s="22"/>
      <c r="BV235" s="22"/>
      <c r="BX235" s="22"/>
      <c r="BY235" s="22"/>
      <c r="BZ235" s="22"/>
      <c r="CB235" s="24"/>
      <c r="CC235" s="24"/>
      <c r="CD235" s="24"/>
      <c r="CE235" s="25"/>
      <c r="CF235" s="25"/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6"/>
      <c r="CT235" s="24"/>
      <c r="CU235" s="24"/>
      <c r="CV235" s="24"/>
      <c r="CW235" s="24"/>
      <c r="CX235" s="24"/>
      <c r="CY235" s="24"/>
      <c r="CZ235" s="24"/>
      <c r="DA235" s="24"/>
      <c r="DB235" s="24"/>
      <c r="DC235" s="24"/>
      <c r="DD235" s="24"/>
      <c r="DE235" s="24"/>
      <c r="DF235" s="24"/>
      <c r="DG235" s="24"/>
      <c r="DH235" s="24"/>
      <c r="DI235" s="24"/>
      <c r="DJ235" s="24"/>
      <c r="DK235" s="24"/>
      <c r="DL235" s="24"/>
      <c r="DM235" s="24"/>
      <c r="DN235" s="24"/>
      <c r="DO235" s="24"/>
      <c r="DP235" s="24"/>
      <c r="DQ235" s="24"/>
      <c r="DR235" s="24"/>
      <c r="DS235" s="24"/>
      <c r="DT235" s="24"/>
      <c r="DU235" s="24"/>
      <c r="DV235" s="24"/>
      <c r="DW235" s="24"/>
      <c r="DX235" s="24"/>
      <c r="DY235" s="24"/>
      <c r="DZ235" s="24"/>
      <c r="EA235" s="24"/>
      <c r="EB235" s="24"/>
      <c r="EC235" s="24"/>
      <c r="ED235" s="24"/>
      <c r="EE235" s="24"/>
      <c r="EF235" s="24"/>
      <c r="EG235" s="24"/>
      <c r="EH235" s="24"/>
      <c r="EI235" s="24"/>
      <c r="EJ235" s="24"/>
      <c r="EK235" s="24"/>
      <c r="EL235" s="24"/>
      <c r="EM235" s="24"/>
      <c r="EN235" s="24"/>
      <c r="EO235" s="24"/>
      <c r="EP235" s="24"/>
      <c r="EQ235" s="24"/>
      <c r="ER235" s="24"/>
      <c r="ES235" s="24"/>
      <c r="ET235" s="24"/>
      <c r="EU235" s="24"/>
      <c r="EV235" s="24"/>
      <c r="EW235" s="24"/>
      <c r="EX235" s="24"/>
      <c r="EY235" s="24"/>
      <c r="EZ235" s="24"/>
      <c r="FA235" s="24"/>
      <c r="FB235" s="24"/>
      <c r="FC235" s="24"/>
      <c r="FD235" s="24"/>
      <c r="FE235" s="24"/>
      <c r="FF235" s="24"/>
      <c r="FG235" s="24"/>
      <c r="FH235" s="24"/>
      <c r="FI235" s="24"/>
      <c r="FJ235" s="24"/>
      <c r="FK235" s="24"/>
      <c r="FL235" s="24"/>
      <c r="FM235" s="24"/>
      <c r="FN235" s="24"/>
      <c r="FO235" s="24"/>
      <c r="FP235" s="24"/>
      <c r="FQ235" s="24"/>
      <c r="FR235" s="24"/>
      <c r="FS235" s="24"/>
      <c r="FT235" s="24"/>
      <c r="FU235" s="24"/>
      <c r="FV235" s="24"/>
      <c r="FW235" s="24"/>
      <c r="FX235" s="24"/>
      <c r="FY235" s="24"/>
      <c r="FZ235" s="24"/>
      <c r="GA235" s="24"/>
      <c r="GB235" s="24"/>
      <c r="GC235" s="24"/>
      <c r="GD235" s="24"/>
      <c r="GE235" s="24"/>
      <c r="GF235" s="24"/>
      <c r="GG235" s="24"/>
      <c r="GH235" s="24"/>
      <c r="GI235" s="24"/>
      <c r="GJ235" s="24"/>
      <c r="GK235" s="24"/>
      <c r="GL235" s="24"/>
      <c r="GM235" s="24"/>
      <c r="GN235" s="24"/>
      <c r="GO235" s="24"/>
      <c r="GP235" s="24"/>
      <c r="GQ235" s="24"/>
      <c r="GR235" s="24"/>
    </row>
    <row r="236" spans="1:200" s="23" customFormat="1" ht="14.25" customHeight="1">
      <c r="A236" s="20"/>
      <c r="B236" s="21"/>
      <c r="C236" s="22"/>
      <c r="D236" s="22"/>
      <c r="E236" s="22"/>
      <c r="G236" s="22"/>
      <c r="H236" s="22"/>
      <c r="I236" s="22"/>
      <c r="K236" s="22"/>
      <c r="L236" s="22"/>
      <c r="M236" s="22"/>
      <c r="O236" s="22"/>
      <c r="P236" s="22"/>
      <c r="Q236" s="22"/>
      <c r="S236" s="22"/>
      <c r="T236" s="22"/>
      <c r="U236" s="22"/>
      <c r="W236" s="22"/>
      <c r="X236" s="22"/>
      <c r="Y236" s="22"/>
      <c r="AA236" s="22"/>
      <c r="AB236" s="22"/>
      <c r="AC236" s="22"/>
      <c r="AE236" s="24"/>
      <c r="AF236" s="24"/>
      <c r="AG236" s="24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6"/>
      <c r="AW236" s="24"/>
      <c r="AX236" s="20"/>
      <c r="AY236" s="21"/>
      <c r="AZ236" s="22"/>
      <c r="BA236" s="22"/>
      <c r="BB236" s="22"/>
      <c r="BD236" s="22"/>
      <c r="BE236" s="22"/>
      <c r="BF236" s="22"/>
      <c r="BH236" s="22"/>
      <c r="BI236" s="22"/>
      <c r="BJ236" s="22"/>
      <c r="BL236" s="22"/>
      <c r="BM236" s="22"/>
      <c r="BN236" s="22"/>
      <c r="BP236" s="22"/>
      <c r="BQ236" s="22"/>
      <c r="BR236" s="22"/>
      <c r="BT236" s="22"/>
      <c r="BU236" s="22"/>
      <c r="BV236" s="22"/>
      <c r="BX236" s="22"/>
      <c r="BY236" s="22"/>
      <c r="BZ236" s="22"/>
      <c r="CB236" s="24"/>
      <c r="CC236" s="24"/>
      <c r="CD236" s="24"/>
      <c r="CE236" s="25"/>
      <c r="CF236" s="25"/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6"/>
      <c r="CT236" s="24"/>
      <c r="CU236" s="24"/>
      <c r="CV236" s="24"/>
      <c r="CW236" s="24"/>
      <c r="CX236" s="24"/>
      <c r="CY236" s="24"/>
      <c r="CZ236" s="24"/>
      <c r="DA236" s="24"/>
      <c r="DB236" s="24"/>
      <c r="DC236" s="24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4"/>
      <c r="DP236" s="24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4"/>
      <c r="EC236" s="24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4"/>
      <c r="EP236" s="24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4"/>
      <c r="FC236" s="24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4"/>
      <c r="FP236" s="24"/>
      <c r="FQ236" s="24"/>
      <c r="FR236" s="24"/>
      <c r="FS236" s="24"/>
      <c r="FT236" s="24"/>
      <c r="FU236" s="24"/>
      <c r="FV236" s="24"/>
      <c r="FW236" s="24"/>
      <c r="FX236" s="24"/>
      <c r="FY236" s="24"/>
      <c r="FZ236" s="24"/>
      <c r="GA236" s="24"/>
      <c r="GB236" s="24"/>
      <c r="GC236" s="24"/>
      <c r="GD236" s="24"/>
      <c r="GE236" s="24"/>
      <c r="GF236" s="24"/>
      <c r="GG236" s="24"/>
      <c r="GH236" s="24"/>
      <c r="GI236" s="24"/>
      <c r="GJ236" s="24"/>
      <c r="GK236" s="24"/>
      <c r="GL236" s="24"/>
      <c r="GM236" s="24"/>
      <c r="GN236" s="24"/>
      <c r="GO236" s="24"/>
      <c r="GP236" s="24"/>
      <c r="GQ236" s="24"/>
      <c r="GR236" s="24"/>
    </row>
    <row r="237" spans="1:200" s="23" customFormat="1" ht="14.25" customHeight="1">
      <c r="A237" s="20"/>
      <c r="B237" s="21"/>
      <c r="C237" s="22"/>
      <c r="D237" s="22"/>
      <c r="E237" s="22"/>
      <c r="G237" s="22"/>
      <c r="H237" s="22"/>
      <c r="I237" s="22"/>
      <c r="K237" s="22"/>
      <c r="L237" s="22"/>
      <c r="M237" s="22"/>
      <c r="O237" s="22"/>
      <c r="P237" s="22"/>
      <c r="Q237" s="22"/>
      <c r="S237" s="22"/>
      <c r="T237" s="22"/>
      <c r="U237" s="22"/>
      <c r="W237" s="22"/>
      <c r="X237" s="22"/>
      <c r="Y237" s="22"/>
      <c r="AA237" s="22"/>
      <c r="AB237" s="22"/>
      <c r="AC237" s="22"/>
      <c r="AE237" s="24"/>
      <c r="AF237" s="24"/>
      <c r="AG237" s="24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6"/>
      <c r="AW237" s="24"/>
      <c r="AX237" s="20"/>
      <c r="AY237" s="21"/>
      <c r="AZ237" s="22"/>
      <c r="BA237" s="22"/>
      <c r="BB237" s="22"/>
      <c r="BD237" s="22"/>
      <c r="BE237" s="22"/>
      <c r="BF237" s="22"/>
      <c r="BH237" s="22"/>
      <c r="BI237" s="22"/>
      <c r="BJ237" s="22"/>
      <c r="BL237" s="22"/>
      <c r="BM237" s="22"/>
      <c r="BN237" s="22"/>
      <c r="BP237" s="22"/>
      <c r="BQ237" s="22"/>
      <c r="BR237" s="22"/>
      <c r="BT237" s="22"/>
      <c r="BU237" s="22"/>
      <c r="BV237" s="22"/>
      <c r="BX237" s="22"/>
      <c r="BY237" s="22"/>
      <c r="BZ237" s="22"/>
      <c r="CB237" s="24"/>
      <c r="CC237" s="24"/>
      <c r="CD237" s="24"/>
      <c r="CE237" s="25"/>
      <c r="CF237" s="25"/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6"/>
      <c r="CT237" s="24"/>
      <c r="CU237" s="24"/>
      <c r="CV237" s="24"/>
      <c r="CW237" s="24"/>
      <c r="CX237" s="24"/>
      <c r="CY237" s="24"/>
      <c r="CZ237" s="24"/>
      <c r="DA237" s="24"/>
      <c r="DB237" s="24"/>
      <c r="DC237" s="24"/>
      <c r="DD237" s="24"/>
      <c r="DE237" s="24"/>
      <c r="DF237" s="24"/>
      <c r="DG237" s="24"/>
      <c r="DH237" s="24"/>
      <c r="DI237" s="24"/>
      <c r="DJ237" s="24"/>
      <c r="DK237" s="24"/>
      <c r="DL237" s="24"/>
      <c r="DM237" s="24"/>
      <c r="DN237" s="24"/>
      <c r="DO237" s="24"/>
      <c r="DP237" s="24"/>
      <c r="DQ237" s="24"/>
      <c r="DR237" s="24"/>
      <c r="DS237" s="24"/>
      <c r="DT237" s="24"/>
      <c r="DU237" s="24"/>
      <c r="DV237" s="24"/>
      <c r="DW237" s="24"/>
      <c r="DX237" s="24"/>
      <c r="DY237" s="24"/>
      <c r="DZ237" s="24"/>
      <c r="EA237" s="24"/>
      <c r="EB237" s="24"/>
      <c r="EC237" s="24"/>
      <c r="ED237" s="24"/>
      <c r="EE237" s="24"/>
      <c r="EF237" s="24"/>
      <c r="EG237" s="24"/>
      <c r="EH237" s="24"/>
      <c r="EI237" s="24"/>
      <c r="EJ237" s="24"/>
      <c r="EK237" s="24"/>
      <c r="EL237" s="24"/>
      <c r="EM237" s="24"/>
      <c r="EN237" s="24"/>
      <c r="EO237" s="24"/>
      <c r="EP237" s="24"/>
      <c r="EQ237" s="24"/>
      <c r="ER237" s="24"/>
      <c r="ES237" s="24"/>
      <c r="ET237" s="24"/>
      <c r="EU237" s="24"/>
      <c r="EV237" s="24"/>
      <c r="EW237" s="24"/>
      <c r="EX237" s="24"/>
      <c r="EY237" s="24"/>
      <c r="EZ237" s="24"/>
      <c r="FA237" s="24"/>
      <c r="FB237" s="24"/>
      <c r="FC237" s="24"/>
      <c r="FD237" s="24"/>
      <c r="FE237" s="24"/>
      <c r="FF237" s="24"/>
      <c r="FG237" s="24"/>
      <c r="FH237" s="24"/>
      <c r="FI237" s="24"/>
      <c r="FJ237" s="24"/>
      <c r="FK237" s="24"/>
      <c r="FL237" s="24"/>
      <c r="FM237" s="24"/>
      <c r="FN237" s="24"/>
      <c r="FO237" s="24"/>
      <c r="FP237" s="24"/>
      <c r="FQ237" s="24"/>
      <c r="FR237" s="24"/>
      <c r="FS237" s="24"/>
      <c r="FT237" s="24"/>
      <c r="FU237" s="24"/>
      <c r="FV237" s="24"/>
      <c r="FW237" s="24"/>
      <c r="FX237" s="24"/>
      <c r="FY237" s="24"/>
      <c r="FZ237" s="24"/>
      <c r="GA237" s="24"/>
      <c r="GB237" s="24"/>
      <c r="GC237" s="24"/>
      <c r="GD237" s="24"/>
      <c r="GE237" s="24"/>
      <c r="GF237" s="24"/>
      <c r="GG237" s="24"/>
      <c r="GH237" s="24"/>
      <c r="GI237" s="24"/>
      <c r="GJ237" s="24"/>
      <c r="GK237" s="24"/>
      <c r="GL237" s="24"/>
      <c r="GM237" s="24"/>
      <c r="GN237" s="24"/>
      <c r="GO237" s="24"/>
      <c r="GP237" s="24"/>
      <c r="GQ237" s="24"/>
      <c r="GR237" s="24"/>
    </row>
    <row r="238" spans="1:200" s="23" customFormat="1" ht="14.25" customHeight="1">
      <c r="A238" s="20"/>
      <c r="B238" s="21"/>
      <c r="C238" s="22"/>
      <c r="D238" s="22"/>
      <c r="E238" s="22"/>
      <c r="G238" s="22"/>
      <c r="H238" s="22"/>
      <c r="I238" s="22"/>
      <c r="K238" s="22"/>
      <c r="L238" s="22"/>
      <c r="M238" s="22"/>
      <c r="O238" s="22"/>
      <c r="P238" s="22"/>
      <c r="Q238" s="22"/>
      <c r="S238" s="22"/>
      <c r="T238" s="22"/>
      <c r="U238" s="22"/>
      <c r="W238" s="22"/>
      <c r="X238" s="22"/>
      <c r="Y238" s="22"/>
      <c r="AA238" s="22"/>
      <c r="AB238" s="22"/>
      <c r="AC238" s="22"/>
      <c r="AE238" s="24"/>
      <c r="AF238" s="24"/>
      <c r="AG238" s="24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6"/>
      <c r="AW238" s="24"/>
      <c r="AX238" s="20"/>
      <c r="AY238" s="21"/>
      <c r="AZ238" s="22"/>
      <c r="BA238" s="22"/>
      <c r="BB238" s="22"/>
      <c r="BD238" s="22"/>
      <c r="BE238" s="22"/>
      <c r="BF238" s="22"/>
      <c r="BH238" s="22"/>
      <c r="BI238" s="22"/>
      <c r="BJ238" s="22"/>
      <c r="BL238" s="22"/>
      <c r="BM238" s="22"/>
      <c r="BN238" s="22"/>
      <c r="BP238" s="22"/>
      <c r="BQ238" s="22"/>
      <c r="BR238" s="22"/>
      <c r="BT238" s="22"/>
      <c r="BU238" s="22"/>
      <c r="BV238" s="22"/>
      <c r="BX238" s="22"/>
      <c r="BY238" s="22"/>
      <c r="BZ238" s="22"/>
      <c r="CB238" s="24"/>
      <c r="CC238" s="24"/>
      <c r="CD238" s="24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6"/>
      <c r="CT238" s="24"/>
      <c r="CU238" s="24"/>
      <c r="CV238" s="24"/>
      <c r="CW238" s="24"/>
      <c r="CX238" s="24"/>
      <c r="CY238" s="24"/>
      <c r="CZ238" s="24"/>
      <c r="DA238" s="24"/>
      <c r="DB238" s="24"/>
      <c r="DC238" s="24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4"/>
      <c r="DP238" s="24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4"/>
      <c r="EC238" s="24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4"/>
      <c r="EP238" s="24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4"/>
      <c r="FC238" s="24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4"/>
      <c r="FP238" s="24"/>
      <c r="FQ238" s="24"/>
      <c r="FR238" s="24"/>
      <c r="FS238" s="24"/>
      <c r="FT238" s="24"/>
      <c r="FU238" s="24"/>
      <c r="FV238" s="24"/>
      <c r="FW238" s="24"/>
      <c r="FX238" s="24"/>
      <c r="FY238" s="24"/>
      <c r="FZ238" s="24"/>
      <c r="GA238" s="24"/>
      <c r="GB238" s="24"/>
      <c r="GC238" s="24"/>
      <c r="GD238" s="24"/>
      <c r="GE238" s="24"/>
      <c r="GF238" s="24"/>
      <c r="GG238" s="24"/>
      <c r="GH238" s="24"/>
      <c r="GI238" s="24"/>
      <c r="GJ238" s="24"/>
      <c r="GK238" s="24"/>
      <c r="GL238" s="24"/>
      <c r="GM238" s="24"/>
      <c r="GN238" s="24"/>
      <c r="GO238" s="24"/>
      <c r="GP238" s="24"/>
      <c r="GQ238" s="24"/>
      <c r="GR238" s="24"/>
    </row>
    <row r="239" spans="1:200" s="23" customFormat="1" ht="14.25" customHeight="1">
      <c r="A239" s="20"/>
      <c r="B239" s="21"/>
      <c r="C239" s="22"/>
      <c r="D239" s="22"/>
      <c r="E239" s="22"/>
      <c r="G239" s="22"/>
      <c r="H239" s="22"/>
      <c r="I239" s="22"/>
      <c r="K239" s="22"/>
      <c r="L239" s="22"/>
      <c r="M239" s="22"/>
      <c r="O239" s="22"/>
      <c r="P239" s="22"/>
      <c r="Q239" s="22"/>
      <c r="S239" s="22"/>
      <c r="T239" s="22"/>
      <c r="U239" s="22"/>
      <c r="W239" s="22"/>
      <c r="X239" s="22"/>
      <c r="Y239" s="22"/>
      <c r="AA239" s="22"/>
      <c r="AB239" s="22"/>
      <c r="AC239" s="22"/>
      <c r="AE239" s="24"/>
      <c r="AF239" s="24"/>
      <c r="AG239" s="24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6"/>
      <c r="AW239" s="24"/>
      <c r="AX239" s="20"/>
      <c r="AY239" s="21"/>
      <c r="AZ239" s="22"/>
      <c r="BA239" s="22"/>
      <c r="BB239" s="22"/>
      <c r="BD239" s="22"/>
      <c r="BE239" s="22"/>
      <c r="BF239" s="22"/>
      <c r="BH239" s="22"/>
      <c r="BI239" s="22"/>
      <c r="BJ239" s="22"/>
      <c r="BL239" s="22"/>
      <c r="BM239" s="22"/>
      <c r="BN239" s="22"/>
      <c r="BP239" s="22"/>
      <c r="BQ239" s="22"/>
      <c r="BR239" s="22"/>
      <c r="BT239" s="22"/>
      <c r="BU239" s="22"/>
      <c r="BV239" s="22"/>
      <c r="BX239" s="22"/>
      <c r="BY239" s="22"/>
      <c r="BZ239" s="22"/>
      <c r="CB239" s="24"/>
      <c r="CC239" s="24"/>
      <c r="CD239" s="24"/>
      <c r="CE239" s="25"/>
      <c r="CF239" s="25"/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6"/>
      <c r="CT239" s="24"/>
      <c r="CU239" s="24"/>
      <c r="CV239" s="24"/>
      <c r="CW239" s="24"/>
      <c r="CX239" s="24"/>
      <c r="CY239" s="24"/>
      <c r="CZ239" s="24"/>
      <c r="DA239" s="24"/>
      <c r="DB239" s="24"/>
      <c r="DC239" s="24"/>
      <c r="DD239" s="24"/>
      <c r="DE239" s="24"/>
      <c r="DF239" s="24"/>
      <c r="DG239" s="24"/>
      <c r="DH239" s="24"/>
      <c r="DI239" s="24"/>
      <c r="DJ239" s="24"/>
      <c r="DK239" s="24"/>
      <c r="DL239" s="24"/>
      <c r="DM239" s="24"/>
      <c r="DN239" s="24"/>
      <c r="DO239" s="24"/>
      <c r="DP239" s="24"/>
      <c r="DQ239" s="24"/>
      <c r="DR239" s="24"/>
      <c r="DS239" s="24"/>
      <c r="DT239" s="24"/>
      <c r="DU239" s="24"/>
      <c r="DV239" s="24"/>
      <c r="DW239" s="24"/>
      <c r="DX239" s="24"/>
      <c r="DY239" s="24"/>
      <c r="DZ239" s="24"/>
      <c r="EA239" s="24"/>
      <c r="EB239" s="24"/>
      <c r="EC239" s="24"/>
      <c r="ED239" s="24"/>
      <c r="EE239" s="24"/>
      <c r="EF239" s="24"/>
      <c r="EG239" s="24"/>
      <c r="EH239" s="24"/>
      <c r="EI239" s="24"/>
      <c r="EJ239" s="24"/>
      <c r="EK239" s="24"/>
      <c r="EL239" s="24"/>
      <c r="EM239" s="24"/>
      <c r="EN239" s="24"/>
      <c r="EO239" s="24"/>
      <c r="EP239" s="24"/>
      <c r="EQ239" s="24"/>
      <c r="ER239" s="24"/>
      <c r="ES239" s="24"/>
      <c r="ET239" s="24"/>
      <c r="EU239" s="24"/>
      <c r="EV239" s="24"/>
      <c r="EW239" s="24"/>
      <c r="EX239" s="24"/>
      <c r="EY239" s="24"/>
      <c r="EZ239" s="24"/>
      <c r="FA239" s="24"/>
      <c r="FB239" s="24"/>
      <c r="FC239" s="24"/>
      <c r="FD239" s="24"/>
      <c r="FE239" s="24"/>
      <c r="FF239" s="24"/>
      <c r="FG239" s="24"/>
      <c r="FH239" s="24"/>
      <c r="FI239" s="24"/>
      <c r="FJ239" s="24"/>
      <c r="FK239" s="24"/>
      <c r="FL239" s="24"/>
      <c r="FM239" s="24"/>
      <c r="FN239" s="24"/>
      <c r="FO239" s="24"/>
      <c r="FP239" s="24"/>
      <c r="FQ239" s="24"/>
      <c r="FR239" s="24"/>
      <c r="FS239" s="24"/>
      <c r="FT239" s="24"/>
      <c r="FU239" s="24"/>
      <c r="FV239" s="24"/>
      <c r="FW239" s="24"/>
      <c r="FX239" s="24"/>
      <c r="FY239" s="24"/>
      <c r="FZ239" s="24"/>
      <c r="GA239" s="24"/>
      <c r="GB239" s="24"/>
      <c r="GC239" s="24"/>
      <c r="GD239" s="24"/>
      <c r="GE239" s="24"/>
      <c r="GF239" s="24"/>
      <c r="GG239" s="24"/>
      <c r="GH239" s="24"/>
      <c r="GI239" s="24"/>
      <c r="GJ239" s="24"/>
      <c r="GK239" s="24"/>
      <c r="GL239" s="24"/>
      <c r="GM239" s="24"/>
      <c r="GN239" s="24"/>
      <c r="GO239" s="24"/>
      <c r="GP239" s="24"/>
      <c r="GQ239" s="24"/>
      <c r="GR239" s="24"/>
    </row>
    <row r="240" spans="1:200" s="23" customFormat="1" ht="14.25" customHeight="1">
      <c r="A240" s="20"/>
      <c r="B240" s="21"/>
      <c r="C240" s="22"/>
      <c r="D240" s="22"/>
      <c r="E240" s="22"/>
      <c r="G240" s="22"/>
      <c r="H240" s="22"/>
      <c r="I240" s="22"/>
      <c r="K240" s="22"/>
      <c r="L240" s="22"/>
      <c r="M240" s="22"/>
      <c r="O240" s="22"/>
      <c r="P240" s="22"/>
      <c r="Q240" s="22"/>
      <c r="S240" s="22"/>
      <c r="T240" s="22"/>
      <c r="U240" s="22"/>
      <c r="W240" s="22"/>
      <c r="X240" s="22"/>
      <c r="Y240" s="22"/>
      <c r="AA240" s="22"/>
      <c r="AB240" s="22"/>
      <c r="AC240" s="22"/>
      <c r="AE240" s="24"/>
      <c r="AF240" s="24"/>
      <c r="AG240" s="24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6"/>
      <c r="AW240" s="24"/>
      <c r="AX240" s="20"/>
      <c r="AY240" s="21"/>
      <c r="AZ240" s="22"/>
      <c r="BA240" s="22"/>
      <c r="BB240" s="22"/>
      <c r="BD240" s="22"/>
      <c r="BE240" s="22"/>
      <c r="BF240" s="22"/>
      <c r="BH240" s="22"/>
      <c r="BI240" s="22"/>
      <c r="BJ240" s="22"/>
      <c r="BL240" s="22"/>
      <c r="BM240" s="22"/>
      <c r="BN240" s="22"/>
      <c r="BP240" s="22"/>
      <c r="BQ240" s="22"/>
      <c r="BR240" s="22"/>
      <c r="BT240" s="22"/>
      <c r="BU240" s="22"/>
      <c r="BV240" s="22"/>
      <c r="BX240" s="22"/>
      <c r="BY240" s="22"/>
      <c r="BZ240" s="22"/>
      <c r="CB240" s="24"/>
      <c r="CC240" s="24"/>
      <c r="CD240" s="24"/>
      <c r="CE240" s="25"/>
      <c r="CF240" s="25"/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6"/>
      <c r="CT240" s="24"/>
      <c r="CU240" s="24"/>
      <c r="CV240" s="24"/>
      <c r="CW240" s="24"/>
      <c r="CX240" s="24"/>
      <c r="CY240" s="24"/>
      <c r="CZ240" s="24"/>
      <c r="DA240" s="24"/>
      <c r="DB240" s="24"/>
      <c r="DC240" s="24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4"/>
      <c r="DP240" s="24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4"/>
      <c r="EC240" s="24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4"/>
      <c r="EP240" s="24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4"/>
      <c r="FC240" s="24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4"/>
      <c r="FP240" s="24"/>
      <c r="FQ240" s="24"/>
      <c r="FR240" s="24"/>
      <c r="FS240" s="24"/>
      <c r="FT240" s="24"/>
      <c r="FU240" s="24"/>
      <c r="FV240" s="24"/>
      <c r="FW240" s="24"/>
      <c r="FX240" s="24"/>
      <c r="FY240" s="24"/>
      <c r="FZ240" s="24"/>
      <c r="GA240" s="24"/>
      <c r="GB240" s="24"/>
      <c r="GC240" s="24"/>
      <c r="GD240" s="24"/>
      <c r="GE240" s="24"/>
      <c r="GF240" s="24"/>
      <c r="GG240" s="24"/>
      <c r="GH240" s="24"/>
      <c r="GI240" s="24"/>
      <c r="GJ240" s="24"/>
      <c r="GK240" s="24"/>
      <c r="GL240" s="24"/>
      <c r="GM240" s="24"/>
      <c r="GN240" s="24"/>
      <c r="GO240" s="24"/>
      <c r="GP240" s="24"/>
      <c r="GQ240" s="24"/>
      <c r="GR240" s="24"/>
    </row>
    <row r="241" spans="1:200" s="23" customFormat="1" ht="14.25" customHeight="1">
      <c r="A241" s="20"/>
      <c r="B241" s="21"/>
      <c r="C241" s="22"/>
      <c r="D241" s="22"/>
      <c r="E241" s="22"/>
      <c r="G241" s="22"/>
      <c r="H241" s="22"/>
      <c r="I241" s="22"/>
      <c r="K241" s="22"/>
      <c r="L241" s="22"/>
      <c r="M241" s="22"/>
      <c r="O241" s="22"/>
      <c r="P241" s="22"/>
      <c r="Q241" s="22"/>
      <c r="S241" s="22"/>
      <c r="T241" s="22"/>
      <c r="U241" s="22"/>
      <c r="W241" s="22"/>
      <c r="X241" s="22"/>
      <c r="Y241" s="22"/>
      <c r="AA241" s="22"/>
      <c r="AB241" s="22"/>
      <c r="AC241" s="22"/>
      <c r="AE241" s="24"/>
      <c r="AF241" s="24"/>
      <c r="AG241" s="24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6"/>
      <c r="AW241" s="24"/>
      <c r="AX241" s="20"/>
      <c r="AY241" s="21"/>
      <c r="AZ241" s="22"/>
      <c r="BA241" s="22"/>
      <c r="BB241" s="22"/>
      <c r="BD241" s="22"/>
      <c r="BE241" s="22"/>
      <c r="BF241" s="22"/>
      <c r="BH241" s="22"/>
      <c r="BI241" s="22"/>
      <c r="BJ241" s="22"/>
      <c r="BL241" s="22"/>
      <c r="BM241" s="22"/>
      <c r="BN241" s="22"/>
      <c r="BP241" s="22"/>
      <c r="BQ241" s="22"/>
      <c r="BR241" s="22"/>
      <c r="BT241" s="22"/>
      <c r="BU241" s="22"/>
      <c r="BV241" s="22"/>
      <c r="BX241" s="22"/>
      <c r="BY241" s="22"/>
      <c r="BZ241" s="22"/>
      <c r="CB241" s="24"/>
      <c r="CC241" s="24"/>
      <c r="CD241" s="24"/>
      <c r="CE241" s="25"/>
      <c r="CF241" s="25"/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6"/>
      <c r="CT241" s="24"/>
      <c r="CU241" s="24"/>
      <c r="CV241" s="24"/>
      <c r="CW241" s="24"/>
      <c r="CX241" s="24"/>
      <c r="CY241" s="24"/>
      <c r="CZ241" s="24"/>
      <c r="DA241" s="24"/>
      <c r="DB241" s="24"/>
      <c r="DC241" s="24"/>
      <c r="DD241" s="24"/>
      <c r="DE241" s="24"/>
      <c r="DF241" s="24"/>
      <c r="DG241" s="24"/>
      <c r="DH241" s="24"/>
      <c r="DI241" s="24"/>
      <c r="DJ241" s="24"/>
      <c r="DK241" s="24"/>
      <c r="DL241" s="24"/>
      <c r="DM241" s="24"/>
      <c r="DN241" s="24"/>
      <c r="DO241" s="24"/>
      <c r="DP241" s="24"/>
      <c r="DQ241" s="24"/>
      <c r="DR241" s="24"/>
      <c r="DS241" s="24"/>
      <c r="DT241" s="24"/>
      <c r="DU241" s="24"/>
      <c r="DV241" s="24"/>
      <c r="DW241" s="24"/>
      <c r="DX241" s="24"/>
      <c r="DY241" s="24"/>
      <c r="DZ241" s="24"/>
      <c r="EA241" s="24"/>
      <c r="EB241" s="24"/>
      <c r="EC241" s="24"/>
      <c r="ED241" s="24"/>
      <c r="EE241" s="24"/>
      <c r="EF241" s="24"/>
      <c r="EG241" s="24"/>
      <c r="EH241" s="24"/>
      <c r="EI241" s="24"/>
      <c r="EJ241" s="24"/>
      <c r="EK241" s="24"/>
      <c r="EL241" s="24"/>
      <c r="EM241" s="24"/>
      <c r="EN241" s="24"/>
      <c r="EO241" s="24"/>
      <c r="EP241" s="24"/>
      <c r="EQ241" s="24"/>
      <c r="ER241" s="24"/>
      <c r="ES241" s="24"/>
      <c r="ET241" s="24"/>
      <c r="EU241" s="24"/>
      <c r="EV241" s="24"/>
      <c r="EW241" s="24"/>
      <c r="EX241" s="24"/>
      <c r="EY241" s="24"/>
      <c r="EZ241" s="24"/>
      <c r="FA241" s="24"/>
      <c r="FB241" s="24"/>
      <c r="FC241" s="24"/>
      <c r="FD241" s="24"/>
      <c r="FE241" s="24"/>
      <c r="FF241" s="24"/>
      <c r="FG241" s="24"/>
      <c r="FH241" s="24"/>
      <c r="FI241" s="24"/>
      <c r="FJ241" s="24"/>
      <c r="FK241" s="24"/>
      <c r="FL241" s="24"/>
      <c r="FM241" s="24"/>
      <c r="FN241" s="24"/>
      <c r="FO241" s="24"/>
      <c r="FP241" s="24"/>
      <c r="FQ241" s="24"/>
      <c r="FR241" s="24"/>
      <c r="FS241" s="24"/>
      <c r="FT241" s="24"/>
      <c r="FU241" s="24"/>
      <c r="FV241" s="24"/>
      <c r="FW241" s="24"/>
      <c r="FX241" s="24"/>
      <c r="FY241" s="24"/>
      <c r="FZ241" s="24"/>
      <c r="GA241" s="24"/>
      <c r="GB241" s="24"/>
      <c r="GC241" s="24"/>
      <c r="GD241" s="24"/>
      <c r="GE241" s="24"/>
      <c r="GF241" s="24"/>
      <c r="GG241" s="24"/>
      <c r="GH241" s="24"/>
      <c r="GI241" s="24"/>
      <c r="GJ241" s="24"/>
      <c r="GK241" s="24"/>
      <c r="GL241" s="24"/>
      <c r="GM241" s="24"/>
      <c r="GN241" s="24"/>
      <c r="GO241" s="24"/>
      <c r="GP241" s="24"/>
      <c r="GQ241" s="24"/>
      <c r="GR241" s="24"/>
    </row>
    <row r="242" spans="1:200" s="23" customFormat="1" ht="14.25" customHeight="1">
      <c r="A242" s="20"/>
      <c r="B242" s="21"/>
      <c r="C242" s="22"/>
      <c r="D242" s="22"/>
      <c r="E242" s="22"/>
      <c r="G242" s="22"/>
      <c r="H242" s="22"/>
      <c r="I242" s="22"/>
      <c r="K242" s="22"/>
      <c r="L242" s="22"/>
      <c r="M242" s="22"/>
      <c r="O242" s="22"/>
      <c r="P242" s="22"/>
      <c r="Q242" s="22"/>
      <c r="S242" s="22"/>
      <c r="T242" s="22"/>
      <c r="U242" s="22"/>
      <c r="W242" s="22"/>
      <c r="X242" s="22"/>
      <c r="Y242" s="22"/>
      <c r="AA242" s="22"/>
      <c r="AB242" s="22"/>
      <c r="AC242" s="22"/>
      <c r="AE242" s="24"/>
      <c r="AF242" s="24"/>
      <c r="AG242" s="24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6"/>
      <c r="AW242" s="24"/>
      <c r="AX242" s="20"/>
      <c r="AY242" s="21"/>
      <c r="AZ242" s="22"/>
      <c r="BA242" s="22"/>
      <c r="BB242" s="22"/>
      <c r="BD242" s="22"/>
      <c r="BE242" s="22"/>
      <c r="BF242" s="22"/>
      <c r="BH242" s="22"/>
      <c r="BI242" s="22"/>
      <c r="BJ242" s="22"/>
      <c r="BL242" s="22"/>
      <c r="BM242" s="22"/>
      <c r="BN242" s="22"/>
      <c r="BP242" s="22"/>
      <c r="BQ242" s="22"/>
      <c r="BR242" s="22"/>
      <c r="BT242" s="22"/>
      <c r="BU242" s="22"/>
      <c r="BV242" s="22"/>
      <c r="BX242" s="22"/>
      <c r="BY242" s="22"/>
      <c r="BZ242" s="22"/>
      <c r="CB242" s="24"/>
      <c r="CC242" s="24"/>
      <c r="CD242" s="24"/>
      <c r="CE242" s="25"/>
      <c r="CF242" s="25"/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6"/>
      <c r="CT242" s="24"/>
      <c r="CU242" s="24"/>
      <c r="CV242" s="24"/>
      <c r="CW242" s="24"/>
      <c r="CX242" s="24"/>
      <c r="CY242" s="24"/>
      <c r="CZ242" s="24"/>
      <c r="DA242" s="24"/>
      <c r="DB242" s="24"/>
      <c r="DC242" s="24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4"/>
      <c r="DP242" s="24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4"/>
      <c r="EC242" s="24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4"/>
      <c r="EP242" s="24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4"/>
      <c r="FC242" s="24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4"/>
      <c r="FP242" s="24"/>
      <c r="FQ242" s="24"/>
      <c r="FR242" s="24"/>
      <c r="FS242" s="24"/>
      <c r="FT242" s="24"/>
      <c r="FU242" s="24"/>
      <c r="FV242" s="24"/>
      <c r="FW242" s="24"/>
      <c r="FX242" s="24"/>
      <c r="FY242" s="24"/>
      <c r="FZ242" s="24"/>
      <c r="GA242" s="24"/>
      <c r="GB242" s="24"/>
      <c r="GC242" s="24"/>
      <c r="GD242" s="24"/>
      <c r="GE242" s="24"/>
      <c r="GF242" s="24"/>
      <c r="GG242" s="24"/>
      <c r="GH242" s="24"/>
      <c r="GI242" s="24"/>
      <c r="GJ242" s="24"/>
      <c r="GK242" s="24"/>
      <c r="GL242" s="24"/>
      <c r="GM242" s="24"/>
      <c r="GN242" s="24"/>
      <c r="GO242" s="24"/>
      <c r="GP242" s="24"/>
      <c r="GQ242" s="24"/>
      <c r="GR242" s="24"/>
    </row>
    <row r="243" spans="1:200" s="23" customFormat="1" ht="14.25" customHeight="1">
      <c r="A243" s="20"/>
      <c r="B243" s="21"/>
      <c r="C243" s="22"/>
      <c r="D243" s="22"/>
      <c r="E243" s="22"/>
      <c r="G243" s="22"/>
      <c r="H243" s="22"/>
      <c r="I243" s="22"/>
      <c r="K243" s="22"/>
      <c r="L243" s="22"/>
      <c r="M243" s="22"/>
      <c r="O243" s="22"/>
      <c r="P243" s="22"/>
      <c r="Q243" s="22"/>
      <c r="S243" s="22"/>
      <c r="T243" s="22"/>
      <c r="U243" s="22"/>
      <c r="W243" s="22"/>
      <c r="X243" s="22"/>
      <c r="Y243" s="22"/>
      <c r="AA243" s="22"/>
      <c r="AB243" s="22"/>
      <c r="AC243" s="22"/>
      <c r="AE243" s="24"/>
      <c r="AF243" s="24"/>
      <c r="AG243" s="24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6"/>
      <c r="AW243" s="24"/>
      <c r="AX243" s="20"/>
      <c r="AY243" s="21"/>
      <c r="AZ243" s="22"/>
      <c r="BA243" s="22"/>
      <c r="BB243" s="22"/>
      <c r="BD243" s="22"/>
      <c r="BE243" s="22"/>
      <c r="BF243" s="22"/>
      <c r="BH243" s="22"/>
      <c r="BI243" s="22"/>
      <c r="BJ243" s="22"/>
      <c r="BL243" s="22"/>
      <c r="BM243" s="22"/>
      <c r="BN243" s="22"/>
      <c r="BP243" s="22"/>
      <c r="BQ243" s="22"/>
      <c r="BR243" s="22"/>
      <c r="BT243" s="22"/>
      <c r="BU243" s="22"/>
      <c r="BV243" s="22"/>
      <c r="BX243" s="22"/>
      <c r="BY243" s="22"/>
      <c r="BZ243" s="22"/>
      <c r="CB243" s="24"/>
      <c r="CC243" s="24"/>
      <c r="CD243" s="24"/>
      <c r="CE243" s="25"/>
      <c r="CF243" s="25"/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6"/>
      <c r="CT243" s="24"/>
      <c r="CU243" s="24"/>
      <c r="CV243" s="24"/>
      <c r="CW243" s="24"/>
      <c r="CX243" s="24"/>
      <c r="CY243" s="24"/>
      <c r="CZ243" s="24"/>
      <c r="DA243" s="24"/>
      <c r="DB243" s="24"/>
      <c r="DC243" s="24"/>
      <c r="DD243" s="24"/>
      <c r="DE243" s="24"/>
      <c r="DF243" s="24"/>
      <c r="DG243" s="24"/>
      <c r="DH243" s="24"/>
      <c r="DI243" s="24"/>
      <c r="DJ243" s="24"/>
      <c r="DK243" s="24"/>
      <c r="DL243" s="24"/>
      <c r="DM243" s="24"/>
      <c r="DN243" s="24"/>
      <c r="DO243" s="24"/>
      <c r="DP243" s="24"/>
      <c r="DQ243" s="24"/>
      <c r="DR243" s="24"/>
      <c r="DS243" s="24"/>
      <c r="DT243" s="24"/>
      <c r="DU243" s="24"/>
      <c r="DV243" s="24"/>
      <c r="DW243" s="24"/>
      <c r="DX243" s="24"/>
      <c r="DY243" s="24"/>
      <c r="DZ243" s="24"/>
      <c r="EA243" s="24"/>
      <c r="EB243" s="24"/>
      <c r="EC243" s="24"/>
      <c r="ED243" s="24"/>
      <c r="EE243" s="24"/>
      <c r="EF243" s="24"/>
      <c r="EG243" s="24"/>
      <c r="EH243" s="24"/>
      <c r="EI243" s="24"/>
      <c r="EJ243" s="24"/>
      <c r="EK243" s="24"/>
      <c r="EL243" s="24"/>
      <c r="EM243" s="24"/>
      <c r="EN243" s="24"/>
      <c r="EO243" s="24"/>
      <c r="EP243" s="24"/>
      <c r="EQ243" s="24"/>
      <c r="ER243" s="24"/>
      <c r="ES243" s="24"/>
      <c r="ET243" s="24"/>
      <c r="EU243" s="24"/>
      <c r="EV243" s="24"/>
      <c r="EW243" s="24"/>
      <c r="EX243" s="24"/>
      <c r="EY243" s="24"/>
      <c r="EZ243" s="24"/>
      <c r="FA243" s="24"/>
      <c r="FB243" s="24"/>
      <c r="FC243" s="24"/>
      <c r="FD243" s="24"/>
      <c r="FE243" s="24"/>
      <c r="FF243" s="24"/>
      <c r="FG243" s="24"/>
      <c r="FH243" s="24"/>
      <c r="FI243" s="24"/>
      <c r="FJ243" s="24"/>
      <c r="FK243" s="24"/>
      <c r="FL243" s="24"/>
      <c r="FM243" s="24"/>
      <c r="FN243" s="24"/>
      <c r="FO243" s="24"/>
      <c r="FP243" s="24"/>
      <c r="FQ243" s="24"/>
      <c r="FR243" s="24"/>
      <c r="FS243" s="24"/>
      <c r="FT243" s="24"/>
      <c r="FU243" s="24"/>
      <c r="FV243" s="24"/>
      <c r="FW243" s="24"/>
      <c r="FX243" s="24"/>
      <c r="FY243" s="24"/>
      <c r="FZ243" s="24"/>
      <c r="GA243" s="24"/>
      <c r="GB243" s="24"/>
      <c r="GC243" s="24"/>
      <c r="GD243" s="24"/>
      <c r="GE243" s="24"/>
      <c r="GF243" s="24"/>
      <c r="GG243" s="24"/>
      <c r="GH243" s="24"/>
      <c r="GI243" s="24"/>
      <c r="GJ243" s="24"/>
      <c r="GK243" s="24"/>
      <c r="GL243" s="24"/>
      <c r="GM243" s="24"/>
      <c r="GN243" s="24"/>
      <c r="GO243" s="24"/>
      <c r="GP243" s="24"/>
      <c r="GQ243" s="24"/>
      <c r="GR243" s="24"/>
    </row>
    <row r="244" spans="1:200" s="23" customFormat="1" ht="14.25" customHeight="1">
      <c r="A244" s="20"/>
      <c r="B244" s="21"/>
      <c r="C244" s="22"/>
      <c r="D244" s="22"/>
      <c r="E244" s="22"/>
      <c r="G244" s="22"/>
      <c r="H244" s="22"/>
      <c r="I244" s="22"/>
      <c r="K244" s="22"/>
      <c r="L244" s="22"/>
      <c r="M244" s="22"/>
      <c r="O244" s="22"/>
      <c r="P244" s="22"/>
      <c r="Q244" s="22"/>
      <c r="S244" s="22"/>
      <c r="T244" s="22"/>
      <c r="U244" s="22"/>
      <c r="W244" s="22"/>
      <c r="X244" s="22"/>
      <c r="Y244" s="22"/>
      <c r="AA244" s="22"/>
      <c r="AB244" s="22"/>
      <c r="AC244" s="22"/>
      <c r="AE244" s="24"/>
      <c r="AF244" s="24"/>
      <c r="AG244" s="24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6"/>
      <c r="AW244" s="24"/>
      <c r="AX244" s="20"/>
      <c r="AY244" s="21"/>
      <c r="AZ244" s="22"/>
      <c r="BA244" s="22"/>
      <c r="BB244" s="22"/>
      <c r="BD244" s="22"/>
      <c r="BE244" s="22"/>
      <c r="BF244" s="22"/>
      <c r="BH244" s="22"/>
      <c r="BI244" s="22"/>
      <c r="BJ244" s="22"/>
      <c r="BL244" s="22"/>
      <c r="BM244" s="22"/>
      <c r="BN244" s="22"/>
      <c r="BP244" s="22"/>
      <c r="BQ244" s="22"/>
      <c r="BR244" s="22"/>
      <c r="BT244" s="22"/>
      <c r="BU244" s="22"/>
      <c r="BV244" s="22"/>
      <c r="BX244" s="22"/>
      <c r="BY244" s="22"/>
      <c r="BZ244" s="22"/>
      <c r="CB244" s="24"/>
      <c r="CC244" s="24"/>
      <c r="CD244" s="24"/>
      <c r="CE244" s="25"/>
      <c r="CF244" s="25"/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6"/>
      <c r="CT244" s="24"/>
      <c r="CU244" s="24"/>
      <c r="CV244" s="24"/>
      <c r="CW244" s="24"/>
      <c r="CX244" s="24"/>
      <c r="CY244" s="24"/>
      <c r="CZ244" s="24"/>
      <c r="DA244" s="24"/>
      <c r="DB244" s="24"/>
      <c r="DC244" s="24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4"/>
      <c r="DP244" s="24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4"/>
      <c r="EC244" s="24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4"/>
      <c r="EP244" s="24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4"/>
      <c r="FC244" s="24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4"/>
      <c r="FP244" s="24"/>
      <c r="FQ244" s="24"/>
      <c r="FR244" s="24"/>
      <c r="FS244" s="24"/>
      <c r="FT244" s="24"/>
      <c r="FU244" s="24"/>
      <c r="FV244" s="24"/>
      <c r="FW244" s="24"/>
      <c r="FX244" s="24"/>
      <c r="FY244" s="24"/>
      <c r="FZ244" s="24"/>
      <c r="GA244" s="24"/>
      <c r="GB244" s="24"/>
      <c r="GC244" s="24"/>
      <c r="GD244" s="24"/>
      <c r="GE244" s="24"/>
      <c r="GF244" s="24"/>
      <c r="GG244" s="24"/>
      <c r="GH244" s="24"/>
      <c r="GI244" s="24"/>
      <c r="GJ244" s="24"/>
      <c r="GK244" s="24"/>
      <c r="GL244" s="24"/>
      <c r="GM244" s="24"/>
      <c r="GN244" s="24"/>
      <c r="GO244" s="24"/>
      <c r="GP244" s="24"/>
      <c r="GQ244" s="24"/>
      <c r="GR244" s="24"/>
    </row>
    <row r="245" spans="1:200" s="23" customFormat="1" ht="14.25" customHeight="1">
      <c r="A245" s="20"/>
      <c r="B245" s="21"/>
      <c r="C245" s="22"/>
      <c r="D245" s="22"/>
      <c r="E245" s="22"/>
      <c r="G245" s="22"/>
      <c r="H245" s="22"/>
      <c r="I245" s="22"/>
      <c r="K245" s="22"/>
      <c r="L245" s="22"/>
      <c r="M245" s="22"/>
      <c r="O245" s="22"/>
      <c r="P245" s="22"/>
      <c r="Q245" s="22"/>
      <c r="S245" s="22"/>
      <c r="T245" s="22"/>
      <c r="U245" s="22"/>
      <c r="W245" s="22"/>
      <c r="X245" s="22"/>
      <c r="Y245" s="22"/>
      <c r="AA245" s="22"/>
      <c r="AB245" s="22"/>
      <c r="AC245" s="22"/>
      <c r="AE245" s="24"/>
      <c r="AF245" s="24"/>
      <c r="AG245" s="24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6"/>
      <c r="AW245" s="24"/>
      <c r="AX245" s="20"/>
      <c r="AY245" s="21"/>
      <c r="AZ245" s="22"/>
      <c r="BA245" s="22"/>
      <c r="BB245" s="22"/>
      <c r="BD245" s="22"/>
      <c r="BE245" s="22"/>
      <c r="BF245" s="22"/>
      <c r="BH245" s="22"/>
      <c r="BI245" s="22"/>
      <c r="BJ245" s="22"/>
      <c r="BL245" s="22"/>
      <c r="BM245" s="22"/>
      <c r="BN245" s="22"/>
      <c r="BP245" s="22"/>
      <c r="BQ245" s="22"/>
      <c r="BR245" s="22"/>
      <c r="BT245" s="22"/>
      <c r="BU245" s="22"/>
      <c r="BV245" s="22"/>
      <c r="BX245" s="22"/>
      <c r="BY245" s="22"/>
      <c r="BZ245" s="22"/>
      <c r="CB245" s="24"/>
      <c r="CC245" s="24"/>
      <c r="CD245" s="24"/>
      <c r="CE245" s="25"/>
      <c r="CF245" s="25"/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6"/>
      <c r="CT245" s="24"/>
      <c r="CU245" s="24"/>
      <c r="CV245" s="24"/>
      <c r="CW245" s="24"/>
      <c r="CX245" s="24"/>
      <c r="CY245" s="24"/>
      <c r="CZ245" s="24"/>
      <c r="DA245" s="24"/>
      <c r="DB245" s="24"/>
      <c r="DC245" s="24"/>
      <c r="DD245" s="24"/>
      <c r="DE245" s="24"/>
      <c r="DF245" s="24"/>
      <c r="DG245" s="24"/>
      <c r="DH245" s="24"/>
      <c r="DI245" s="24"/>
      <c r="DJ245" s="24"/>
      <c r="DK245" s="24"/>
      <c r="DL245" s="24"/>
      <c r="DM245" s="24"/>
      <c r="DN245" s="24"/>
      <c r="DO245" s="24"/>
      <c r="DP245" s="24"/>
      <c r="DQ245" s="24"/>
      <c r="DR245" s="24"/>
      <c r="DS245" s="24"/>
      <c r="DT245" s="24"/>
      <c r="DU245" s="24"/>
      <c r="DV245" s="24"/>
      <c r="DW245" s="24"/>
      <c r="DX245" s="24"/>
      <c r="DY245" s="24"/>
      <c r="DZ245" s="24"/>
      <c r="EA245" s="24"/>
      <c r="EB245" s="24"/>
      <c r="EC245" s="24"/>
      <c r="ED245" s="24"/>
      <c r="EE245" s="24"/>
      <c r="EF245" s="24"/>
      <c r="EG245" s="24"/>
      <c r="EH245" s="24"/>
      <c r="EI245" s="24"/>
      <c r="EJ245" s="24"/>
      <c r="EK245" s="24"/>
      <c r="EL245" s="24"/>
      <c r="EM245" s="24"/>
      <c r="EN245" s="24"/>
      <c r="EO245" s="24"/>
      <c r="EP245" s="24"/>
      <c r="EQ245" s="24"/>
      <c r="ER245" s="24"/>
      <c r="ES245" s="24"/>
      <c r="ET245" s="24"/>
      <c r="EU245" s="24"/>
      <c r="EV245" s="24"/>
      <c r="EW245" s="24"/>
      <c r="EX245" s="24"/>
      <c r="EY245" s="24"/>
      <c r="EZ245" s="24"/>
      <c r="FA245" s="24"/>
      <c r="FB245" s="24"/>
      <c r="FC245" s="24"/>
      <c r="FD245" s="24"/>
      <c r="FE245" s="24"/>
      <c r="FF245" s="24"/>
      <c r="FG245" s="24"/>
      <c r="FH245" s="24"/>
      <c r="FI245" s="24"/>
      <c r="FJ245" s="24"/>
      <c r="FK245" s="24"/>
      <c r="FL245" s="24"/>
      <c r="FM245" s="24"/>
      <c r="FN245" s="24"/>
      <c r="FO245" s="24"/>
      <c r="FP245" s="24"/>
      <c r="FQ245" s="24"/>
      <c r="FR245" s="24"/>
      <c r="FS245" s="24"/>
      <c r="FT245" s="24"/>
      <c r="FU245" s="24"/>
      <c r="FV245" s="24"/>
      <c r="FW245" s="24"/>
      <c r="FX245" s="24"/>
      <c r="FY245" s="24"/>
      <c r="FZ245" s="24"/>
      <c r="GA245" s="24"/>
      <c r="GB245" s="24"/>
      <c r="GC245" s="24"/>
      <c r="GD245" s="24"/>
      <c r="GE245" s="24"/>
      <c r="GF245" s="24"/>
      <c r="GG245" s="24"/>
      <c r="GH245" s="24"/>
      <c r="GI245" s="24"/>
      <c r="GJ245" s="24"/>
      <c r="GK245" s="24"/>
      <c r="GL245" s="24"/>
      <c r="GM245" s="24"/>
      <c r="GN245" s="24"/>
      <c r="GO245" s="24"/>
      <c r="GP245" s="24"/>
      <c r="GQ245" s="24"/>
      <c r="GR245" s="24"/>
    </row>
    <row r="246" spans="1:200" s="23" customFormat="1" ht="14.25" customHeight="1">
      <c r="A246" s="20"/>
      <c r="B246" s="21"/>
      <c r="C246" s="22"/>
      <c r="D246" s="22"/>
      <c r="E246" s="22"/>
      <c r="G246" s="22"/>
      <c r="H246" s="22"/>
      <c r="I246" s="22"/>
      <c r="K246" s="22"/>
      <c r="L246" s="22"/>
      <c r="M246" s="22"/>
      <c r="O246" s="22"/>
      <c r="P246" s="22"/>
      <c r="Q246" s="22"/>
      <c r="S246" s="22"/>
      <c r="T246" s="22"/>
      <c r="U246" s="22"/>
      <c r="W246" s="22"/>
      <c r="X246" s="22"/>
      <c r="Y246" s="22"/>
      <c r="AA246" s="22"/>
      <c r="AB246" s="22"/>
      <c r="AC246" s="22"/>
      <c r="AE246" s="24"/>
      <c r="AF246" s="24"/>
      <c r="AG246" s="24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6"/>
      <c r="AW246" s="24"/>
      <c r="AX246" s="20"/>
      <c r="AY246" s="21"/>
      <c r="AZ246" s="22"/>
      <c r="BA246" s="22"/>
      <c r="BB246" s="22"/>
      <c r="BD246" s="22"/>
      <c r="BE246" s="22"/>
      <c r="BF246" s="22"/>
      <c r="BH246" s="22"/>
      <c r="BI246" s="22"/>
      <c r="BJ246" s="22"/>
      <c r="BL246" s="22"/>
      <c r="BM246" s="22"/>
      <c r="BN246" s="22"/>
      <c r="BP246" s="22"/>
      <c r="BQ246" s="22"/>
      <c r="BR246" s="22"/>
      <c r="BT246" s="22"/>
      <c r="BU246" s="22"/>
      <c r="BV246" s="22"/>
      <c r="BX246" s="22"/>
      <c r="BY246" s="22"/>
      <c r="BZ246" s="22"/>
      <c r="CB246" s="24"/>
      <c r="CC246" s="24"/>
      <c r="CD246" s="24"/>
      <c r="CE246" s="25"/>
      <c r="CF246" s="25"/>
      <c r="CG246" s="25"/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6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4"/>
      <c r="EC246" s="24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4"/>
      <c r="EP246" s="24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4"/>
      <c r="FC246" s="24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4"/>
      <c r="FP246" s="24"/>
      <c r="FQ246" s="24"/>
      <c r="FR246" s="24"/>
      <c r="FS246" s="24"/>
      <c r="FT246" s="24"/>
      <c r="FU246" s="24"/>
      <c r="FV246" s="24"/>
      <c r="FW246" s="24"/>
      <c r="FX246" s="24"/>
      <c r="FY246" s="24"/>
      <c r="FZ246" s="24"/>
      <c r="GA246" s="24"/>
      <c r="GB246" s="24"/>
      <c r="GC246" s="24"/>
      <c r="GD246" s="24"/>
      <c r="GE246" s="24"/>
      <c r="GF246" s="24"/>
      <c r="GG246" s="24"/>
      <c r="GH246" s="24"/>
      <c r="GI246" s="24"/>
      <c r="GJ246" s="24"/>
      <c r="GK246" s="24"/>
      <c r="GL246" s="24"/>
      <c r="GM246" s="24"/>
      <c r="GN246" s="24"/>
      <c r="GO246" s="24"/>
      <c r="GP246" s="24"/>
      <c r="GQ246" s="24"/>
      <c r="GR246" s="24"/>
    </row>
    <row r="247" spans="1:200" s="23" customFormat="1" ht="14.25" customHeight="1">
      <c r="A247" s="20"/>
      <c r="B247" s="21"/>
      <c r="C247" s="22"/>
      <c r="D247" s="22"/>
      <c r="E247" s="22"/>
      <c r="G247" s="22"/>
      <c r="H247" s="22"/>
      <c r="I247" s="22"/>
      <c r="K247" s="22"/>
      <c r="L247" s="22"/>
      <c r="M247" s="22"/>
      <c r="O247" s="22"/>
      <c r="P247" s="22"/>
      <c r="Q247" s="22"/>
      <c r="S247" s="22"/>
      <c r="T247" s="22"/>
      <c r="U247" s="22"/>
      <c r="W247" s="22"/>
      <c r="X247" s="22"/>
      <c r="Y247" s="22"/>
      <c r="AA247" s="22"/>
      <c r="AB247" s="22"/>
      <c r="AC247" s="22"/>
      <c r="AE247" s="24"/>
      <c r="AF247" s="24"/>
      <c r="AG247" s="24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6"/>
      <c r="AW247" s="24"/>
      <c r="AX247" s="20"/>
      <c r="AY247" s="21"/>
      <c r="AZ247" s="22"/>
      <c r="BA247" s="22"/>
      <c r="BB247" s="22"/>
      <c r="BD247" s="22"/>
      <c r="BE247" s="22"/>
      <c r="BF247" s="22"/>
      <c r="BH247" s="22"/>
      <c r="BI247" s="22"/>
      <c r="BJ247" s="22"/>
      <c r="BL247" s="22"/>
      <c r="BM247" s="22"/>
      <c r="BN247" s="22"/>
      <c r="BP247" s="22"/>
      <c r="BQ247" s="22"/>
      <c r="BR247" s="22"/>
      <c r="BT247" s="22"/>
      <c r="BU247" s="22"/>
      <c r="BV247" s="22"/>
      <c r="BX247" s="22"/>
      <c r="BY247" s="22"/>
      <c r="BZ247" s="22"/>
      <c r="CB247" s="24"/>
      <c r="CC247" s="24"/>
      <c r="CD247" s="24"/>
      <c r="CE247" s="25"/>
      <c r="CF247" s="25"/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6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  <c r="DV247" s="24"/>
      <c r="DW247" s="24"/>
      <c r="DX247" s="24"/>
      <c r="DY247" s="24"/>
      <c r="DZ247" s="24"/>
      <c r="EA247" s="24"/>
      <c r="EB247" s="24"/>
      <c r="EC247" s="24"/>
      <c r="ED247" s="24"/>
      <c r="EE247" s="24"/>
      <c r="EF247" s="24"/>
      <c r="EG247" s="24"/>
      <c r="EH247" s="24"/>
      <c r="EI247" s="24"/>
      <c r="EJ247" s="24"/>
      <c r="EK247" s="24"/>
      <c r="EL247" s="24"/>
      <c r="EM247" s="24"/>
      <c r="EN247" s="24"/>
      <c r="EO247" s="24"/>
      <c r="EP247" s="24"/>
      <c r="EQ247" s="24"/>
      <c r="ER247" s="24"/>
      <c r="ES247" s="24"/>
      <c r="ET247" s="24"/>
      <c r="EU247" s="24"/>
      <c r="EV247" s="24"/>
      <c r="EW247" s="24"/>
      <c r="EX247" s="24"/>
      <c r="EY247" s="24"/>
      <c r="EZ247" s="24"/>
      <c r="FA247" s="24"/>
      <c r="FB247" s="24"/>
      <c r="FC247" s="24"/>
      <c r="FD247" s="24"/>
      <c r="FE247" s="24"/>
      <c r="FF247" s="24"/>
      <c r="FG247" s="24"/>
      <c r="FH247" s="24"/>
      <c r="FI247" s="24"/>
      <c r="FJ247" s="24"/>
      <c r="FK247" s="24"/>
      <c r="FL247" s="24"/>
      <c r="FM247" s="24"/>
      <c r="FN247" s="24"/>
      <c r="FO247" s="24"/>
      <c r="FP247" s="24"/>
      <c r="FQ247" s="24"/>
      <c r="FR247" s="24"/>
      <c r="FS247" s="24"/>
      <c r="FT247" s="24"/>
      <c r="FU247" s="24"/>
      <c r="FV247" s="24"/>
      <c r="FW247" s="24"/>
      <c r="FX247" s="24"/>
      <c r="FY247" s="24"/>
      <c r="FZ247" s="24"/>
      <c r="GA247" s="24"/>
      <c r="GB247" s="24"/>
      <c r="GC247" s="24"/>
      <c r="GD247" s="24"/>
      <c r="GE247" s="24"/>
      <c r="GF247" s="24"/>
      <c r="GG247" s="24"/>
      <c r="GH247" s="24"/>
      <c r="GI247" s="24"/>
      <c r="GJ247" s="24"/>
      <c r="GK247" s="24"/>
      <c r="GL247" s="24"/>
      <c r="GM247" s="24"/>
      <c r="GN247" s="24"/>
      <c r="GO247" s="24"/>
      <c r="GP247" s="24"/>
      <c r="GQ247" s="24"/>
      <c r="GR247" s="24"/>
    </row>
    <row r="248" spans="1:200" s="23" customFormat="1" ht="14.25" customHeight="1">
      <c r="A248" s="20"/>
      <c r="B248" s="21"/>
      <c r="C248" s="22"/>
      <c r="D248" s="22"/>
      <c r="E248" s="22"/>
      <c r="G248" s="22"/>
      <c r="H248" s="22"/>
      <c r="I248" s="22"/>
      <c r="K248" s="22"/>
      <c r="L248" s="22"/>
      <c r="M248" s="22"/>
      <c r="O248" s="22"/>
      <c r="P248" s="22"/>
      <c r="Q248" s="22"/>
      <c r="S248" s="22"/>
      <c r="T248" s="22"/>
      <c r="U248" s="22"/>
      <c r="W248" s="22"/>
      <c r="X248" s="22"/>
      <c r="Y248" s="22"/>
      <c r="AA248" s="22"/>
      <c r="AB248" s="22"/>
      <c r="AC248" s="22"/>
      <c r="AE248" s="24"/>
      <c r="AF248" s="24"/>
      <c r="AG248" s="24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6"/>
      <c r="AW248" s="24"/>
      <c r="AX248" s="20"/>
      <c r="AY248" s="21"/>
      <c r="AZ248" s="22"/>
      <c r="BA248" s="22"/>
      <c r="BB248" s="22"/>
      <c r="BD248" s="22"/>
      <c r="BE248" s="22"/>
      <c r="BF248" s="22"/>
      <c r="BH248" s="22"/>
      <c r="BI248" s="22"/>
      <c r="BJ248" s="22"/>
      <c r="BL248" s="22"/>
      <c r="BM248" s="22"/>
      <c r="BN248" s="22"/>
      <c r="BP248" s="22"/>
      <c r="BQ248" s="22"/>
      <c r="BR248" s="22"/>
      <c r="BT248" s="22"/>
      <c r="BU248" s="22"/>
      <c r="BV248" s="22"/>
      <c r="BX248" s="22"/>
      <c r="BY248" s="22"/>
      <c r="BZ248" s="22"/>
      <c r="CB248" s="24"/>
      <c r="CC248" s="24"/>
      <c r="CD248" s="24"/>
      <c r="CE248" s="25"/>
      <c r="CF248" s="25"/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6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4"/>
      <c r="EC248" s="24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4"/>
      <c r="EP248" s="24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4"/>
      <c r="FC248" s="24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4"/>
      <c r="FP248" s="24"/>
      <c r="FQ248" s="24"/>
      <c r="FR248" s="24"/>
      <c r="FS248" s="24"/>
      <c r="FT248" s="24"/>
      <c r="FU248" s="24"/>
      <c r="FV248" s="24"/>
      <c r="FW248" s="24"/>
      <c r="FX248" s="24"/>
      <c r="FY248" s="24"/>
      <c r="FZ248" s="24"/>
      <c r="GA248" s="24"/>
      <c r="GB248" s="24"/>
      <c r="GC248" s="24"/>
      <c r="GD248" s="24"/>
      <c r="GE248" s="24"/>
      <c r="GF248" s="24"/>
      <c r="GG248" s="24"/>
      <c r="GH248" s="24"/>
      <c r="GI248" s="24"/>
      <c r="GJ248" s="24"/>
      <c r="GK248" s="24"/>
      <c r="GL248" s="24"/>
      <c r="GM248" s="24"/>
      <c r="GN248" s="24"/>
      <c r="GO248" s="24"/>
      <c r="GP248" s="24"/>
      <c r="GQ248" s="24"/>
      <c r="GR248" s="24"/>
    </row>
    <row r="249" spans="1:200" s="23" customFormat="1" ht="14.25" customHeight="1">
      <c r="A249" s="20"/>
      <c r="B249" s="21"/>
      <c r="C249" s="22"/>
      <c r="D249" s="22"/>
      <c r="E249" s="22"/>
      <c r="G249" s="22"/>
      <c r="H249" s="22"/>
      <c r="I249" s="22"/>
      <c r="K249" s="22"/>
      <c r="L249" s="22"/>
      <c r="M249" s="22"/>
      <c r="O249" s="22"/>
      <c r="P249" s="22"/>
      <c r="Q249" s="22"/>
      <c r="S249" s="22"/>
      <c r="T249" s="22"/>
      <c r="U249" s="22"/>
      <c r="W249" s="22"/>
      <c r="X249" s="22"/>
      <c r="Y249" s="22"/>
      <c r="AA249" s="22"/>
      <c r="AB249" s="22"/>
      <c r="AC249" s="22"/>
      <c r="AE249" s="24"/>
      <c r="AF249" s="24"/>
      <c r="AG249" s="24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6"/>
      <c r="AW249" s="24"/>
      <c r="AX249" s="20"/>
      <c r="AY249" s="21"/>
      <c r="AZ249" s="22"/>
      <c r="BA249" s="22"/>
      <c r="BB249" s="22"/>
      <c r="BD249" s="22"/>
      <c r="BE249" s="22"/>
      <c r="BF249" s="22"/>
      <c r="BH249" s="22"/>
      <c r="BI249" s="22"/>
      <c r="BJ249" s="22"/>
      <c r="BL249" s="22"/>
      <c r="BM249" s="22"/>
      <c r="BN249" s="22"/>
      <c r="BP249" s="22"/>
      <c r="BQ249" s="22"/>
      <c r="BR249" s="22"/>
      <c r="BT249" s="22"/>
      <c r="BU249" s="22"/>
      <c r="BV249" s="22"/>
      <c r="BX249" s="22"/>
      <c r="BY249" s="22"/>
      <c r="BZ249" s="22"/>
      <c r="CB249" s="24"/>
      <c r="CC249" s="24"/>
      <c r="CD249" s="24"/>
      <c r="CE249" s="25"/>
      <c r="CF249" s="25"/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6"/>
      <c r="CT249" s="24"/>
      <c r="CU249" s="24"/>
      <c r="CV249" s="24"/>
      <c r="CW249" s="24"/>
      <c r="CX249" s="24"/>
      <c r="CY249" s="24"/>
      <c r="CZ249" s="24"/>
      <c r="DA249" s="24"/>
      <c r="DB249" s="24"/>
      <c r="DC249" s="24"/>
      <c r="DD249" s="24"/>
      <c r="DE249" s="24"/>
      <c r="DF249" s="24"/>
      <c r="DG249" s="24"/>
      <c r="DH249" s="24"/>
      <c r="DI249" s="24"/>
      <c r="DJ249" s="24"/>
      <c r="DK249" s="24"/>
      <c r="DL249" s="24"/>
      <c r="DM249" s="24"/>
      <c r="DN249" s="24"/>
      <c r="DO249" s="24"/>
      <c r="DP249" s="24"/>
      <c r="DQ249" s="24"/>
      <c r="DR249" s="24"/>
      <c r="DS249" s="24"/>
      <c r="DT249" s="24"/>
      <c r="DU249" s="24"/>
      <c r="DV249" s="24"/>
      <c r="DW249" s="24"/>
      <c r="DX249" s="24"/>
      <c r="DY249" s="24"/>
      <c r="DZ249" s="24"/>
      <c r="EA249" s="24"/>
      <c r="EB249" s="24"/>
      <c r="EC249" s="24"/>
      <c r="ED249" s="24"/>
      <c r="EE249" s="24"/>
      <c r="EF249" s="24"/>
      <c r="EG249" s="24"/>
      <c r="EH249" s="24"/>
      <c r="EI249" s="24"/>
      <c r="EJ249" s="24"/>
      <c r="EK249" s="24"/>
      <c r="EL249" s="24"/>
      <c r="EM249" s="24"/>
      <c r="EN249" s="24"/>
      <c r="EO249" s="24"/>
      <c r="EP249" s="24"/>
      <c r="EQ249" s="24"/>
      <c r="ER249" s="24"/>
      <c r="ES249" s="24"/>
      <c r="ET249" s="24"/>
      <c r="EU249" s="24"/>
      <c r="EV249" s="24"/>
      <c r="EW249" s="24"/>
      <c r="EX249" s="24"/>
      <c r="EY249" s="24"/>
      <c r="EZ249" s="24"/>
      <c r="FA249" s="24"/>
      <c r="FB249" s="24"/>
      <c r="FC249" s="24"/>
      <c r="FD249" s="24"/>
      <c r="FE249" s="24"/>
      <c r="FF249" s="24"/>
      <c r="FG249" s="24"/>
      <c r="FH249" s="24"/>
      <c r="FI249" s="24"/>
      <c r="FJ249" s="24"/>
      <c r="FK249" s="24"/>
      <c r="FL249" s="24"/>
      <c r="FM249" s="24"/>
      <c r="FN249" s="24"/>
      <c r="FO249" s="24"/>
      <c r="FP249" s="24"/>
      <c r="FQ249" s="24"/>
      <c r="FR249" s="24"/>
      <c r="FS249" s="24"/>
      <c r="FT249" s="24"/>
      <c r="FU249" s="24"/>
      <c r="FV249" s="24"/>
      <c r="FW249" s="24"/>
      <c r="FX249" s="24"/>
      <c r="FY249" s="24"/>
      <c r="FZ249" s="24"/>
      <c r="GA249" s="24"/>
      <c r="GB249" s="24"/>
      <c r="GC249" s="24"/>
      <c r="GD249" s="24"/>
      <c r="GE249" s="24"/>
      <c r="GF249" s="24"/>
      <c r="GG249" s="24"/>
      <c r="GH249" s="24"/>
      <c r="GI249" s="24"/>
      <c r="GJ249" s="24"/>
      <c r="GK249" s="24"/>
      <c r="GL249" s="24"/>
      <c r="GM249" s="24"/>
      <c r="GN249" s="24"/>
      <c r="GO249" s="24"/>
      <c r="GP249" s="24"/>
      <c r="GQ249" s="24"/>
      <c r="GR249" s="24"/>
    </row>
    <row r="250" spans="1:200" s="23" customFormat="1" ht="14.25" customHeight="1">
      <c r="A250" s="20"/>
      <c r="B250" s="21"/>
      <c r="C250" s="22"/>
      <c r="D250" s="22"/>
      <c r="E250" s="22"/>
      <c r="G250" s="22"/>
      <c r="H250" s="22"/>
      <c r="I250" s="22"/>
      <c r="K250" s="22"/>
      <c r="L250" s="22"/>
      <c r="M250" s="22"/>
      <c r="O250" s="22"/>
      <c r="P250" s="22"/>
      <c r="Q250" s="22"/>
      <c r="S250" s="22"/>
      <c r="T250" s="22"/>
      <c r="U250" s="22"/>
      <c r="W250" s="22"/>
      <c r="X250" s="22"/>
      <c r="Y250" s="22"/>
      <c r="AA250" s="22"/>
      <c r="AB250" s="22"/>
      <c r="AC250" s="22"/>
      <c r="AE250" s="24"/>
      <c r="AF250" s="24"/>
      <c r="AG250" s="24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6"/>
      <c r="AW250" s="24"/>
      <c r="AX250" s="20"/>
      <c r="AY250" s="21"/>
      <c r="AZ250" s="22"/>
      <c r="BA250" s="22"/>
      <c r="BB250" s="22"/>
      <c r="BD250" s="22"/>
      <c r="BE250" s="22"/>
      <c r="BF250" s="22"/>
      <c r="BH250" s="22"/>
      <c r="BI250" s="22"/>
      <c r="BJ250" s="22"/>
      <c r="BL250" s="22"/>
      <c r="BM250" s="22"/>
      <c r="BN250" s="22"/>
      <c r="BP250" s="22"/>
      <c r="BQ250" s="22"/>
      <c r="BR250" s="22"/>
      <c r="BT250" s="22"/>
      <c r="BU250" s="22"/>
      <c r="BV250" s="22"/>
      <c r="BX250" s="22"/>
      <c r="BY250" s="22"/>
      <c r="BZ250" s="22"/>
      <c r="CB250" s="24"/>
      <c r="CC250" s="24"/>
      <c r="CD250" s="24"/>
      <c r="CE250" s="25"/>
      <c r="CF250" s="25"/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6"/>
      <c r="CT250" s="24"/>
      <c r="CU250" s="24"/>
      <c r="CV250" s="24"/>
      <c r="CW250" s="24"/>
      <c r="CX250" s="24"/>
      <c r="CY250" s="24"/>
      <c r="CZ250" s="24"/>
      <c r="DA250" s="24"/>
      <c r="DB250" s="24"/>
      <c r="DC250" s="24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4"/>
      <c r="DP250" s="24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4"/>
      <c r="EC250" s="24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4"/>
      <c r="EP250" s="24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4"/>
      <c r="FC250" s="24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4"/>
      <c r="FP250" s="24"/>
      <c r="FQ250" s="24"/>
      <c r="FR250" s="24"/>
      <c r="FS250" s="24"/>
      <c r="FT250" s="24"/>
      <c r="FU250" s="24"/>
      <c r="FV250" s="24"/>
      <c r="FW250" s="24"/>
      <c r="FX250" s="24"/>
      <c r="FY250" s="24"/>
      <c r="FZ250" s="24"/>
      <c r="GA250" s="24"/>
      <c r="GB250" s="24"/>
      <c r="GC250" s="24"/>
      <c r="GD250" s="24"/>
      <c r="GE250" s="24"/>
      <c r="GF250" s="24"/>
      <c r="GG250" s="24"/>
      <c r="GH250" s="24"/>
      <c r="GI250" s="24"/>
      <c r="GJ250" s="24"/>
      <c r="GK250" s="24"/>
      <c r="GL250" s="24"/>
      <c r="GM250" s="24"/>
      <c r="GN250" s="24"/>
      <c r="GO250" s="24"/>
      <c r="GP250" s="24"/>
      <c r="GQ250" s="24"/>
      <c r="GR250" s="24"/>
    </row>
    <row r="251" spans="1:200" s="23" customFormat="1" ht="14.25" customHeight="1">
      <c r="A251" s="20"/>
      <c r="B251" s="21"/>
      <c r="C251" s="22"/>
      <c r="D251" s="22"/>
      <c r="E251" s="22"/>
      <c r="G251" s="22"/>
      <c r="H251" s="22"/>
      <c r="I251" s="22"/>
      <c r="K251" s="22"/>
      <c r="L251" s="22"/>
      <c r="M251" s="22"/>
      <c r="O251" s="22"/>
      <c r="P251" s="22"/>
      <c r="Q251" s="22"/>
      <c r="S251" s="22"/>
      <c r="T251" s="22"/>
      <c r="U251" s="22"/>
      <c r="W251" s="22"/>
      <c r="X251" s="22"/>
      <c r="Y251" s="22"/>
      <c r="AA251" s="22"/>
      <c r="AB251" s="22"/>
      <c r="AC251" s="22"/>
      <c r="AE251" s="24"/>
      <c r="AF251" s="24"/>
      <c r="AG251" s="24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6"/>
      <c r="AW251" s="24"/>
      <c r="AX251" s="20"/>
      <c r="AY251" s="21"/>
      <c r="AZ251" s="22"/>
      <c r="BA251" s="22"/>
      <c r="BB251" s="22"/>
      <c r="BD251" s="22"/>
      <c r="BE251" s="22"/>
      <c r="BF251" s="22"/>
      <c r="BH251" s="22"/>
      <c r="BI251" s="22"/>
      <c r="BJ251" s="22"/>
      <c r="BL251" s="22"/>
      <c r="BM251" s="22"/>
      <c r="BN251" s="22"/>
      <c r="BP251" s="22"/>
      <c r="BQ251" s="22"/>
      <c r="BR251" s="22"/>
      <c r="BT251" s="22"/>
      <c r="BU251" s="22"/>
      <c r="BV251" s="22"/>
      <c r="BX251" s="22"/>
      <c r="BY251" s="22"/>
      <c r="BZ251" s="22"/>
      <c r="CB251" s="24"/>
      <c r="CC251" s="24"/>
      <c r="CD251" s="24"/>
      <c r="CE251" s="25"/>
      <c r="CF251" s="25"/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6"/>
      <c r="CT251" s="24"/>
      <c r="CU251" s="24"/>
      <c r="CV251" s="24"/>
      <c r="CW251" s="24"/>
      <c r="CX251" s="24"/>
      <c r="CY251" s="24"/>
      <c r="CZ251" s="24"/>
      <c r="DA251" s="24"/>
      <c r="DB251" s="24"/>
      <c r="DC251" s="24"/>
      <c r="DD251" s="24"/>
      <c r="DE251" s="24"/>
      <c r="DF251" s="24"/>
      <c r="DG251" s="24"/>
      <c r="DH251" s="24"/>
      <c r="DI251" s="24"/>
      <c r="DJ251" s="24"/>
      <c r="DK251" s="24"/>
      <c r="DL251" s="24"/>
      <c r="DM251" s="24"/>
      <c r="DN251" s="24"/>
      <c r="DO251" s="24"/>
      <c r="DP251" s="24"/>
      <c r="DQ251" s="24"/>
      <c r="DR251" s="24"/>
      <c r="DS251" s="24"/>
      <c r="DT251" s="24"/>
      <c r="DU251" s="24"/>
      <c r="DV251" s="24"/>
      <c r="DW251" s="24"/>
      <c r="DX251" s="24"/>
      <c r="DY251" s="24"/>
      <c r="DZ251" s="24"/>
      <c r="EA251" s="24"/>
      <c r="EB251" s="24"/>
      <c r="EC251" s="24"/>
      <c r="ED251" s="24"/>
      <c r="EE251" s="24"/>
      <c r="EF251" s="24"/>
      <c r="EG251" s="24"/>
      <c r="EH251" s="24"/>
      <c r="EI251" s="24"/>
      <c r="EJ251" s="24"/>
      <c r="EK251" s="24"/>
      <c r="EL251" s="24"/>
      <c r="EM251" s="24"/>
      <c r="EN251" s="24"/>
      <c r="EO251" s="24"/>
      <c r="EP251" s="24"/>
      <c r="EQ251" s="24"/>
      <c r="ER251" s="24"/>
      <c r="ES251" s="24"/>
      <c r="ET251" s="24"/>
      <c r="EU251" s="24"/>
      <c r="EV251" s="24"/>
      <c r="EW251" s="24"/>
      <c r="EX251" s="24"/>
      <c r="EY251" s="24"/>
      <c r="EZ251" s="24"/>
      <c r="FA251" s="24"/>
      <c r="FB251" s="24"/>
      <c r="FC251" s="24"/>
      <c r="FD251" s="24"/>
      <c r="FE251" s="24"/>
      <c r="FF251" s="24"/>
      <c r="FG251" s="24"/>
      <c r="FH251" s="24"/>
      <c r="FI251" s="24"/>
      <c r="FJ251" s="24"/>
      <c r="FK251" s="24"/>
      <c r="FL251" s="24"/>
      <c r="FM251" s="24"/>
      <c r="FN251" s="24"/>
      <c r="FO251" s="24"/>
      <c r="FP251" s="24"/>
      <c r="FQ251" s="24"/>
      <c r="FR251" s="24"/>
      <c r="FS251" s="24"/>
      <c r="FT251" s="24"/>
      <c r="FU251" s="24"/>
      <c r="FV251" s="24"/>
      <c r="FW251" s="24"/>
      <c r="FX251" s="24"/>
      <c r="FY251" s="24"/>
      <c r="FZ251" s="24"/>
      <c r="GA251" s="24"/>
      <c r="GB251" s="24"/>
      <c r="GC251" s="24"/>
      <c r="GD251" s="24"/>
      <c r="GE251" s="24"/>
      <c r="GF251" s="24"/>
      <c r="GG251" s="24"/>
      <c r="GH251" s="24"/>
      <c r="GI251" s="24"/>
      <c r="GJ251" s="24"/>
      <c r="GK251" s="24"/>
      <c r="GL251" s="24"/>
      <c r="GM251" s="24"/>
      <c r="GN251" s="24"/>
      <c r="GO251" s="24"/>
      <c r="GP251" s="24"/>
      <c r="GQ251" s="24"/>
      <c r="GR251" s="24"/>
    </row>
    <row r="252" spans="1:200" s="23" customFormat="1" ht="14.25" customHeight="1">
      <c r="A252" s="20"/>
      <c r="B252" s="21"/>
      <c r="C252" s="22"/>
      <c r="D252" s="22"/>
      <c r="E252" s="22"/>
      <c r="G252" s="22"/>
      <c r="H252" s="22"/>
      <c r="I252" s="22"/>
      <c r="K252" s="22"/>
      <c r="L252" s="22"/>
      <c r="M252" s="22"/>
      <c r="O252" s="22"/>
      <c r="P252" s="22"/>
      <c r="Q252" s="22"/>
      <c r="S252" s="22"/>
      <c r="T252" s="22"/>
      <c r="U252" s="22"/>
      <c r="W252" s="22"/>
      <c r="X252" s="22"/>
      <c r="Y252" s="22"/>
      <c r="AA252" s="22"/>
      <c r="AB252" s="22"/>
      <c r="AC252" s="22"/>
      <c r="AE252" s="24"/>
      <c r="AF252" s="24"/>
      <c r="AG252" s="24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6"/>
      <c r="AW252" s="24"/>
      <c r="AX252" s="20"/>
      <c r="AY252" s="21"/>
      <c r="AZ252" s="22"/>
      <c r="BA252" s="22"/>
      <c r="BB252" s="22"/>
      <c r="BD252" s="22"/>
      <c r="BE252" s="22"/>
      <c r="BF252" s="22"/>
      <c r="BH252" s="22"/>
      <c r="BI252" s="22"/>
      <c r="BJ252" s="22"/>
      <c r="BL252" s="22"/>
      <c r="BM252" s="22"/>
      <c r="BN252" s="22"/>
      <c r="BP252" s="22"/>
      <c r="BQ252" s="22"/>
      <c r="BR252" s="22"/>
      <c r="BT252" s="22"/>
      <c r="BU252" s="22"/>
      <c r="BV252" s="22"/>
      <c r="BX252" s="22"/>
      <c r="BY252" s="22"/>
      <c r="BZ252" s="22"/>
      <c r="CB252" s="24"/>
      <c r="CC252" s="24"/>
      <c r="CD252" s="24"/>
      <c r="CE252" s="25"/>
      <c r="CF252" s="25"/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6"/>
      <c r="CT252" s="24"/>
      <c r="CU252" s="24"/>
      <c r="CV252" s="24"/>
      <c r="CW252" s="24"/>
      <c r="CX252" s="24"/>
      <c r="CY252" s="24"/>
      <c r="CZ252" s="24"/>
      <c r="DA252" s="24"/>
      <c r="DB252" s="24"/>
      <c r="DC252" s="24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4"/>
      <c r="DP252" s="24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4"/>
      <c r="EC252" s="24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4"/>
      <c r="EP252" s="24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4"/>
      <c r="FC252" s="24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4"/>
      <c r="FP252" s="24"/>
      <c r="FQ252" s="24"/>
      <c r="FR252" s="24"/>
      <c r="FS252" s="24"/>
      <c r="FT252" s="24"/>
      <c r="FU252" s="24"/>
      <c r="FV252" s="24"/>
      <c r="FW252" s="24"/>
      <c r="FX252" s="24"/>
      <c r="FY252" s="24"/>
      <c r="FZ252" s="24"/>
      <c r="GA252" s="24"/>
      <c r="GB252" s="24"/>
      <c r="GC252" s="24"/>
      <c r="GD252" s="24"/>
      <c r="GE252" s="24"/>
      <c r="GF252" s="24"/>
      <c r="GG252" s="24"/>
      <c r="GH252" s="24"/>
      <c r="GI252" s="24"/>
      <c r="GJ252" s="24"/>
      <c r="GK252" s="24"/>
      <c r="GL252" s="24"/>
      <c r="GM252" s="24"/>
      <c r="GN252" s="24"/>
      <c r="GO252" s="24"/>
      <c r="GP252" s="24"/>
      <c r="GQ252" s="24"/>
      <c r="GR252" s="24"/>
    </row>
    <row r="253" spans="1:200" s="23" customFormat="1" ht="14.25" customHeight="1">
      <c r="A253" s="20"/>
      <c r="B253" s="21"/>
      <c r="C253" s="22"/>
      <c r="D253" s="22"/>
      <c r="E253" s="22"/>
      <c r="G253" s="22"/>
      <c r="H253" s="22"/>
      <c r="I253" s="22"/>
      <c r="K253" s="22"/>
      <c r="L253" s="22"/>
      <c r="M253" s="22"/>
      <c r="O253" s="22"/>
      <c r="P253" s="22"/>
      <c r="Q253" s="22"/>
      <c r="S253" s="22"/>
      <c r="T253" s="22"/>
      <c r="U253" s="22"/>
      <c r="W253" s="22"/>
      <c r="X253" s="22"/>
      <c r="Y253" s="22"/>
      <c r="AA253" s="22"/>
      <c r="AB253" s="22"/>
      <c r="AC253" s="22"/>
      <c r="AE253" s="24"/>
      <c r="AF253" s="24"/>
      <c r="AG253" s="24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6"/>
      <c r="AW253" s="24"/>
      <c r="AX253" s="20"/>
      <c r="AY253" s="21"/>
      <c r="AZ253" s="22"/>
      <c r="BA253" s="22"/>
      <c r="BB253" s="22"/>
      <c r="BD253" s="22"/>
      <c r="BE253" s="22"/>
      <c r="BF253" s="22"/>
      <c r="BH253" s="22"/>
      <c r="BI253" s="22"/>
      <c r="BJ253" s="22"/>
      <c r="BL253" s="22"/>
      <c r="BM253" s="22"/>
      <c r="BN253" s="22"/>
      <c r="BP253" s="22"/>
      <c r="BQ253" s="22"/>
      <c r="BR253" s="22"/>
      <c r="BT253" s="22"/>
      <c r="BU253" s="22"/>
      <c r="BV253" s="22"/>
      <c r="BX253" s="22"/>
      <c r="BY253" s="22"/>
      <c r="BZ253" s="22"/>
      <c r="CB253" s="24"/>
      <c r="CC253" s="24"/>
      <c r="CD253" s="24"/>
      <c r="CE253" s="25"/>
      <c r="CF253" s="25"/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6"/>
      <c r="CT253" s="24"/>
      <c r="CU253" s="24"/>
      <c r="CV253" s="24"/>
      <c r="CW253" s="24"/>
      <c r="CX253" s="24"/>
      <c r="CY253" s="24"/>
      <c r="CZ253" s="24"/>
      <c r="DA253" s="24"/>
      <c r="DB253" s="24"/>
      <c r="DC253" s="24"/>
      <c r="DD253" s="24"/>
      <c r="DE253" s="24"/>
      <c r="DF253" s="24"/>
      <c r="DG253" s="24"/>
      <c r="DH253" s="24"/>
      <c r="DI253" s="24"/>
      <c r="DJ253" s="24"/>
      <c r="DK253" s="24"/>
      <c r="DL253" s="24"/>
      <c r="DM253" s="24"/>
      <c r="DN253" s="24"/>
      <c r="DO253" s="24"/>
      <c r="DP253" s="24"/>
      <c r="DQ253" s="24"/>
      <c r="DR253" s="24"/>
      <c r="DS253" s="24"/>
      <c r="DT253" s="24"/>
      <c r="DU253" s="24"/>
      <c r="DV253" s="24"/>
      <c r="DW253" s="24"/>
      <c r="DX253" s="24"/>
      <c r="DY253" s="24"/>
      <c r="DZ253" s="24"/>
      <c r="EA253" s="24"/>
      <c r="EB253" s="24"/>
      <c r="EC253" s="24"/>
      <c r="ED253" s="24"/>
      <c r="EE253" s="24"/>
      <c r="EF253" s="24"/>
      <c r="EG253" s="24"/>
      <c r="EH253" s="24"/>
      <c r="EI253" s="24"/>
      <c r="EJ253" s="24"/>
      <c r="EK253" s="24"/>
      <c r="EL253" s="24"/>
      <c r="EM253" s="24"/>
      <c r="EN253" s="24"/>
      <c r="EO253" s="24"/>
      <c r="EP253" s="24"/>
      <c r="EQ253" s="24"/>
      <c r="ER253" s="24"/>
      <c r="ES253" s="24"/>
      <c r="ET253" s="24"/>
      <c r="EU253" s="24"/>
      <c r="EV253" s="24"/>
      <c r="EW253" s="24"/>
      <c r="EX253" s="24"/>
      <c r="EY253" s="24"/>
      <c r="EZ253" s="24"/>
      <c r="FA253" s="24"/>
      <c r="FB253" s="24"/>
      <c r="FC253" s="24"/>
      <c r="FD253" s="24"/>
      <c r="FE253" s="24"/>
      <c r="FF253" s="24"/>
      <c r="FG253" s="24"/>
      <c r="FH253" s="24"/>
      <c r="FI253" s="24"/>
      <c r="FJ253" s="24"/>
      <c r="FK253" s="24"/>
      <c r="FL253" s="24"/>
      <c r="FM253" s="24"/>
      <c r="FN253" s="24"/>
      <c r="FO253" s="24"/>
      <c r="FP253" s="24"/>
      <c r="FQ253" s="24"/>
      <c r="FR253" s="24"/>
      <c r="FS253" s="24"/>
      <c r="FT253" s="24"/>
      <c r="FU253" s="24"/>
      <c r="FV253" s="24"/>
      <c r="FW253" s="24"/>
      <c r="FX253" s="24"/>
      <c r="FY253" s="24"/>
      <c r="FZ253" s="24"/>
      <c r="GA253" s="24"/>
      <c r="GB253" s="24"/>
      <c r="GC253" s="24"/>
      <c r="GD253" s="24"/>
      <c r="GE253" s="24"/>
      <c r="GF253" s="24"/>
      <c r="GG253" s="24"/>
      <c r="GH253" s="24"/>
      <c r="GI253" s="24"/>
      <c r="GJ253" s="24"/>
      <c r="GK253" s="24"/>
      <c r="GL253" s="24"/>
      <c r="GM253" s="24"/>
      <c r="GN253" s="24"/>
      <c r="GO253" s="24"/>
      <c r="GP253" s="24"/>
      <c r="GQ253" s="24"/>
      <c r="GR253" s="24"/>
    </row>
    <row r="254" spans="1:200" s="23" customFormat="1" ht="14.25" customHeight="1">
      <c r="A254" s="20"/>
      <c r="B254" s="21"/>
      <c r="C254" s="22"/>
      <c r="D254" s="22"/>
      <c r="E254" s="22"/>
      <c r="G254" s="22"/>
      <c r="H254" s="22"/>
      <c r="I254" s="22"/>
      <c r="K254" s="22"/>
      <c r="L254" s="22"/>
      <c r="M254" s="22"/>
      <c r="O254" s="22"/>
      <c r="P254" s="22"/>
      <c r="Q254" s="22"/>
      <c r="S254" s="22"/>
      <c r="T254" s="22"/>
      <c r="U254" s="22"/>
      <c r="W254" s="22"/>
      <c r="X254" s="22"/>
      <c r="Y254" s="22"/>
      <c r="AA254" s="22"/>
      <c r="AB254" s="22"/>
      <c r="AC254" s="22"/>
      <c r="AE254" s="24"/>
      <c r="AF254" s="24"/>
      <c r="AG254" s="24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6"/>
      <c r="AW254" s="24"/>
      <c r="AX254" s="20"/>
      <c r="AY254" s="21"/>
      <c r="AZ254" s="22"/>
      <c r="BA254" s="22"/>
      <c r="BB254" s="22"/>
      <c r="BD254" s="22"/>
      <c r="BE254" s="22"/>
      <c r="BF254" s="22"/>
      <c r="BH254" s="22"/>
      <c r="BI254" s="22"/>
      <c r="BJ254" s="22"/>
      <c r="BL254" s="22"/>
      <c r="BM254" s="22"/>
      <c r="BN254" s="22"/>
      <c r="BP254" s="22"/>
      <c r="BQ254" s="22"/>
      <c r="BR254" s="22"/>
      <c r="BT254" s="22"/>
      <c r="BU254" s="22"/>
      <c r="BV254" s="22"/>
      <c r="BX254" s="22"/>
      <c r="BY254" s="22"/>
      <c r="BZ254" s="22"/>
      <c r="CB254" s="24"/>
      <c r="CC254" s="24"/>
      <c r="CD254" s="24"/>
      <c r="CE254" s="25"/>
      <c r="CF254" s="25"/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6"/>
      <c r="CT254" s="24"/>
      <c r="CU254" s="24"/>
      <c r="CV254" s="24"/>
      <c r="CW254" s="24"/>
      <c r="CX254" s="24"/>
      <c r="CY254" s="24"/>
      <c r="CZ254" s="24"/>
      <c r="DA254" s="24"/>
      <c r="DB254" s="24"/>
      <c r="DC254" s="24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4"/>
      <c r="DP254" s="24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4"/>
      <c r="EC254" s="24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4"/>
      <c r="EP254" s="24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4"/>
      <c r="FC254" s="24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4"/>
      <c r="FP254" s="24"/>
      <c r="FQ254" s="24"/>
      <c r="FR254" s="24"/>
      <c r="FS254" s="24"/>
      <c r="FT254" s="24"/>
      <c r="FU254" s="24"/>
      <c r="FV254" s="24"/>
      <c r="FW254" s="24"/>
      <c r="FX254" s="24"/>
      <c r="FY254" s="24"/>
      <c r="FZ254" s="24"/>
      <c r="GA254" s="24"/>
      <c r="GB254" s="24"/>
      <c r="GC254" s="24"/>
      <c r="GD254" s="24"/>
      <c r="GE254" s="24"/>
      <c r="GF254" s="24"/>
      <c r="GG254" s="24"/>
      <c r="GH254" s="24"/>
      <c r="GI254" s="24"/>
      <c r="GJ254" s="24"/>
      <c r="GK254" s="24"/>
      <c r="GL254" s="24"/>
      <c r="GM254" s="24"/>
      <c r="GN254" s="24"/>
      <c r="GO254" s="24"/>
      <c r="GP254" s="24"/>
      <c r="GQ254" s="24"/>
      <c r="GR254" s="24"/>
    </row>
    <row r="255" spans="1:200" s="23" customFormat="1" ht="14.25" customHeight="1">
      <c r="A255" s="20"/>
      <c r="B255" s="21"/>
      <c r="C255" s="22"/>
      <c r="D255" s="22"/>
      <c r="E255" s="22"/>
      <c r="G255" s="22"/>
      <c r="H255" s="22"/>
      <c r="I255" s="22"/>
      <c r="K255" s="22"/>
      <c r="L255" s="22"/>
      <c r="M255" s="22"/>
      <c r="O255" s="22"/>
      <c r="P255" s="22"/>
      <c r="Q255" s="22"/>
      <c r="S255" s="22"/>
      <c r="T255" s="22"/>
      <c r="U255" s="22"/>
      <c r="W255" s="22"/>
      <c r="X255" s="22"/>
      <c r="Y255" s="22"/>
      <c r="AA255" s="22"/>
      <c r="AB255" s="22"/>
      <c r="AC255" s="22"/>
      <c r="AE255" s="24"/>
      <c r="AF255" s="24"/>
      <c r="AG255" s="24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6"/>
      <c r="AW255" s="24"/>
      <c r="AX255" s="20"/>
      <c r="AY255" s="21"/>
      <c r="AZ255" s="22"/>
      <c r="BA255" s="22"/>
      <c r="BB255" s="22"/>
      <c r="BD255" s="22"/>
      <c r="BE255" s="22"/>
      <c r="BF255" s="22"/>
      <c r="BH255" s="22"/>
      <c r="BI255" s="22"/>
      <c r="BJ255" s="22"/>
      <c r="BL255" s="22"/>
      <c r="BM255" s="22"/>
      <c r="BN255" s="22"/>
      <c r="BP255" s="22"/>
      <c r="BQ255" s="22"/>
      <c r="BR255" s="22"/>
      <c r="BT255" s="22"/>
      <c r="BU255" s="22"/>
      <c r="BV255" s="22"/>
      <c r="BX255" s="22"/>
      <c r="BY255" s="22"/>
      <c r="BZ255" s="22"/>
      <c r="CB255" s="24"/>
      <c r="CC255" s="24"/>
      <c r="CD255" s="24"/>
      <c r="CE255" s="25"/>
      <c r="CF255" s="25"/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6"/>
      <c r="CT255" s="24"/>
      <c r="CU255" s="24"/>
      <c r="CV255" s="24"/>
      <c r="CW255" s="24"/>
      <c r="CX255" s="24"/>
      <c r="CY255" s="24"/>
      <c r="CZ255" s="24"/>
      <c r="DA255" s="24"/>
      <c r="DB255" s="24"/>
      <c r="DC255" s="24"/>
      <c r="DD255" s="24"/>
      <c r="DE255" s="24"/>
      <c r="DF255" s="24"/>
      <c r="DG255" s="24"/>
      <c r="DH255" s="24"/>
      <c r="DI255" s="24"/>
      <c r="DJ255" s="24"/>
      <c r="DK255" s="24"/>
      <c r="DL255" s="24"/>
      <c r="DM255" s="24"/>
      <c r="DN255" s="24"/>
      <c r="DO255" s="24"/>
      <c r="DP255" s="24"/>
      <c r="DQ255" s="24"/>
      <c r="DR255" s="24"/>
      <c r="DS255" s="24"/>
      <c r="DT255" s="24"/>
      <c r="DU255" s="24"/>
      <c r="DV255" s="24"/>
      <c r="DW255" s="24"/>
      <c r="DX255" s="24"/>
      <c r="DY255" s="24"/>
      <c r="DZ255" s="24"/>
      <c r="EA255" s="24"/>
      <c r="EB255" s="24"/>
      <c r="EC255" s="24"/>
      <c r="ED255" s="24"/>
      <c r="EE255" s="24"/>
      <c r="EF255" s="24"/>
      <c r="EG255" s="24"/>
      <c r="EH255" s="24"/>
      <c r="EI255" s="24"/>
      <c r="EJ255" s="24"/>
      <c r="EK255" s="24"/>
      <c r="EL255" s="24"/>
      <c r="EM255" s="24"/>
      <c r="EN255" s="24"/>
      <c r="EO255" s="24"/>
      <c r="EP255" s="24"/>
      <c r="EQ255" s="24"/>
      <c r="ER255" s="24"/>
      <c r="ES255" s="24"/>
      <c r="ET255" s="24"/>
      <c r="EU255" s="24"/>
      <c r="EV255" s="24"/>
      <c r="EW255" s="24"/>
      <c r="EX255" s="24"/>
      <c r="EY255" s="24"/>
      <c r="EZ255" s="24"/>
      <c r="FA255" s="24"/>
      <c r="FB255" s="24"/>
      <c r="FC255" s="24"/>
      <c r="FD255" s="24"/>
      <c r="FE255" s="24"/>
      <c r="FF255" s="24"/>
      <c r="FG255" s="24"/>
      <c r="FH255" s="24"/>
      <c r="FI255" s="24"/>
      <c r="FJ255" s="24"/>
      <c r="FK255" s="24"/>
      <c r="FL255" s="24"/>
      <c r="FM255" s="24"/>
      <c r="FN255" s="24"/>
      <c r="FO255" s="24"/>
      <c r="FP255" s="24"/>
      <c r="FQ255" s="24"/>
      <c r="FR255" s="24"/>
      <c r="FS255" s="24"/>
      <c r="FT255" s="24"/>
      <c r="FU255" s="24"/>
      <c r="FV255" s="24"/>
      <c r="FW255" s="24"/>
      <c r="FX255" s="24"/>
      <c r="FY255" s="24"/>
      <c r="FZ255" s="24"/>
      <c r="GA255" s="24"/>
      <c r="GB255" s="24"/>
      <c r="GC255" s="24"/>
      <c r="GD255" s="24"/>
      <c r="GE255" s="24"/>
      <c r="GF255" s="24"/>
      <c r="GG255" s="24"/>
      <c r="GH255" s="24"/>
      <c r="GI255" s="24"/>
      <c r="GJ255" s="24"/>
      <c r="GK255" s="24"/>
      <c r="GL255" s="24"/>
      <c r="GM255" s="24"/>
      <c r="GN255" s="24"/>
      <c r="GO255" s="24"/>
      <c r="GP255" s="24"/>
      <c r="GQ255" s="24"/>
      <c r="GR255" s="24"/>
    </row>
    <row r="256" spans="1:200" s="23" customFormat="1" ht="14.25" customHeight="1">
      <c r="A256" s="20"/>
      <c r="B256" s="21"/>
      <c r="C256" s="22"/>
      <c r="D256" s="22"/>
      <c r="E256" s="22"/>
      <c r="G256" s="22"/>
      <c r="H256" s="22"/>
      <c r="I256" s="22"/>
      <c r="K256" s="22"/>
      <c r="L256" s="22"/>
      <c r="M256" s="22"/>
      <c r="O256" s="22"/>
      <c r="P256" s="22"/>
      <c r="Q256" s="22"/>
      <c r="S256" s="22"/>
      <c r="T256" s="22"/>
      <c r="U256" s="22"/>
      <c r="W256" s="22"/>
      <c r="X256" s="22"/>
      <c r="Y256" s="22"/>
      <c r="AA256" s="22"/>
      <c r="AB256" s="22"/>
      <c r="AC256" s="22"/>
      <c r="AE256" s="24"/>
      <c r="AF256" s="24"/>
      <c r="AG256" s="24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6"/>
      <c r="AW256" s="24"/>
      <c r="AX256" s="20"/>
      <c r="AY256" s="21"/>
      <c r="AZ256" s="22"/>
      <c r="BA256" s="22"/>
      <c r="BB256" s="22"/>
      <c r="BD256" s="22"/>
      <c r="BE256" s="22"/>
      <c r="BF256" s="22"/>
      <c r="BH256" s="22"/>
      <c r="BI256" s="22"/>
      <c r="BJ256" s="22"/>
      <c r="BL256" s="22"/>
      <c r="BM256" s="22"/>
      <c r="BN256" s="22"/>
      <c r="BP256" s="22"/>
      <c r="BQ256" s="22"/>
      <c r="BR256" s="22"/>
      <c r="BT256" s="22"/>
      <c r="BU256" s="22"/>
      <c r="BV256" s="22"/>
      <c r="BX256" s="22"/>
      <c r="BY256" s="22"/>
      <c r="BZ256" s="22"/>
      <c r="CB256" s="24"/>
      <c r="CC256" s="24"/>
      <c r="CD256" s="24"/>
      <c r="CE256" s="25"/>
      <c r="CF256" s="25"/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6"/>
      <c r="CT256" s="24"/>
      <c r="CU256" s="24"/>
      <c r="CV256" s="24"/>
      <c r="CW256" s="24"/>
      <c r="CX256" s="24"/>
      <c r="CY256" s="24"/>
      <c r="CZ256" s="24"/>
      <c r="DA256" s="24"/>
      <c r="DB256" s="24"/>
      <c r="DC256" s="24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4"/>
      <c r="DP256" s="24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4"/>
      <c r="EC256" s="24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4"/>
      <c r="EP256" s="24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4"/>
      <c r="FC256" s="24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4"/>
      <c r="FP256" s="24"/>
      <c r="FQ256" s="24"/>
      <c r="FR256" s="24"/>
      <c r="FS256" s="24"/>
      <c r="FT256" s="24"/>
      <c r="FU256" s="24"/>
      <c r="FV256" s="24"/>
      <c r="FW256" s="24"/>
      <c r="FX256" s="24"/>
      <c r="FY256" s="24"/>
      <c r="FZ256" s="24"/>
      <c r="GA256" s="24"/>
      <c r="GB256" s="24"/>
      <c r="GC256" s="24"/>
      <c r="GD256" s="24"/>
      <c r="GE256" s="24"/>
      <c r="GF256" s="24"/>
      <c r="GG256" s="24"/>
      <c r="GH256" s="24"/>
      <c r="GI256" s="24"/>
      <c r="GJ256" s="24"/>
      <c r="GK256" s="24"/>
      <c r="GL256" s="24"/>
      <c r="GM256" s="24"/>
      <c r="GN256" s="24"/>
      <c r="GO256" s="24"/>
      <c r="GP256" s="24"/>
      <c r="GQ256" s="24"/>
      <c r="GR256" s="24"/>
    </row>
    <row r="257" spans="1:200" s="23" customFormat="1" ht="14.25" customHeight="1">
      <c r="A257" s="20"/>
      <c r="B257" s="21"/>
      <c r="C257" s="22"/>
      <c r="D257" s="22"/>
      <c r="E257" s="22"/>
      <c r="G257" s="22"/>
      <c r="H257" s="22"/>
      <c r="I257" s="22"/>
      <c r="K257" s="22"/>
      <c r="L257" s="22"/>
      <c r="M257" s="22"/>
      <c r="O257" s="22"/>
      <c r="P257" s="22"/>
      <c r="Q257" s="22"/>
      <c r="S257" s="22"/>
      <c r="T257" s="22"/>
      <c r="U257" s="22"/>
      <c r="W257" s="22"/>
      <c r="X257" s="22"/>
      <c r="Y257" s="22"/>
      <c r="AA257" s="22"/>
      <c r="AB257" s="22"/>
      <c r="AC257" s="22"/>
      <c r="AE257" s="24"/>
      <c r="AF257" s="24"/>
      <c r="AG257" s="24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6"/>
      <c r="AW257" s="24"/>
      <c r="AX257" s="20"/>
      <c r="AY257" s="21"/>
      <c r="AZ257" s="22"/>
      <c r="BA257" s="22"/>
      <c r="BB257" s="22"/>
      <c r="BD257" s="22"/>
      <c r="BE257" s="22"/>
      <c r="BF257" s="22"/>
      <c r="BH257" s="22"/>
      <c r="BI257" s="22"/>
      <c r="BJ257" s="22"/>
      <c r="BL257" s="22"/>
      <c r="BM257" s="22"/>
      <c r="BN257" s="22"/>
      <c r="BP257" s="22"/>
      <c r="BQ257" s="22"/>
      <c r="BR257" s="22"/>
      <c r="BT257" s="22"/>
      <c r="BU257" s="22"/>
      <c r="BV257" s="22"/>
      <c r="BX257" s="22"/>
      <c r="BY257" s="22"/>
      <c r="BZ257" s="22"/>
      <c r="CB257" s="24"/>
      <c r="CC257" s="24"/>
      <c r="CD257" s="24"/>
      <c r="CE257" s="25"/>
      <c r="CF257" s="25"/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6"/>
      <c r="CT257" s="24"/>
      <c r="CU257" s="24"/>
      <c r="CV257" s="24"/>
      <c r="CW257" s="24"/>
      <c r="CX257" s="24"/>
      <c r="CY257" s="24"/>
      <c r="CZ257" s="24"/>
      <c r="DA257" s="24"/>
      <c r="DB257" s="24"/>
      <c r="DC257" s="24"/>
      <c r="DD257" s="24"/>
      <c r="DE257" s="24"/>
      <c r="DF257" s="24"/>
      <c r="DG257" s="24"/>
      <c r="DH257" s="24"/>
      <c r="DI257" s="24"/>
      <c r="DJ257" s="24"/>
      <c r="DK257" s="24"/>
      <c r="DL257" s="24"/>
      <c r="DM257" s="24"/>
      <c r="DN257" s="24"/>
      <c r="DO257" s="24"/>
      <c r="DP257" s="24"/>
      <c r="DQ257" s="24"/>
      <c r="DR257" s="24"/>
      <c r="DS257" s="24"/>
      <c r="DT257" s="24"/>
      <c r="DU257" s="24"/>
      <c r="DV257" s="24"/>
      <c r="DW257" s="24"/>
      <c r="DX257" s="24"/>
      <c r="DY257" s="24"/>
      <c r="DZ257" s="24"/>
      <c r="EA257" s="24"/>
      <c r="EB257" s="24"/>
      <c r="EC257" s="24"/>
      <c r="ED257" s="24"/>
      <c r="EE257" s="24"/>
      <c r="EF257" s="24"/>
      <c r="EG257" s="24"/>
      <c r="EH257" s="24"/>
      <c r="EI257" s="24"/>
      <c r="EJ257" s="24"/>
      <c r="EK257" s="24"/>
      <c r="EL257" s="24"/>
      <c r="EM257" s="24"/>
      <c r="EN257" s="24"/>
      <c r="EO257" s="24"/>
      <c r="EP257" s="24"/>
      <c r="EQ257" s="24"/>
      <c r="ER257" s="24"/>
      <c r="ES257" s="24"/>
      <c r="ET257" s="24"/>
      <c r="EU257" s="24"/>
      <c r="EV257" s="24"/>
      <c r="EW257" s="24"/>
      <c r="EX257" s="24"/>
      <c r="EY257" s="24"/>
      <c r="EZ257" s="24"/>
      <c r="FA257" s="24"/>
      <c r="FB257" s="24"/>
      <c r="FC257" s="24"/>
      <c r="FD257" s="24"/>
      <c r="FE257" s="24"/>
      <c r="FF257" s="24"/>
      <c r="FG257" s="24"/>
      <c r="FH257" s="24"/>
      <c r="FI257" s="24"/>
      <c r="FJ257" s="24"/>
      <c r="FK257" s="24"/>
      <c r="FL257" s="24"/>
      <c r="FM257" s="24"/>
      <c r="FN257" s="24"/>
      <c r="FO257" s="24"/>
      <c r="FP257" s="24"/>
      <c r="FQ257" s="24"/>
      <c r="FR257" s="24"/>
      <c r="FS257" s="24"/>
      <c r="FT257" s="24"/>
      <c r="FU257" s="24"/>
      <c r="FV257" s="24"/>
      <c r="FW257" s="24"/>
      <c r="FX257" s="24"/>
      <c r="FY257" s="24"/>
      <c r="FZ257" s="24"/>
      <c r="GA257" s="24"/>
      <c r="GB257" s="24"/>
      <c r="GC257" s="24"/>
      <c r="GD257" s="24"/>
      <c r="GE257" s="24"/>
      <c r="GF257" s="24"/>
      <c r="GG257" s="24"/>
      <c r="GH257" s="24"/>
      <c r="GI257" s="24"/>
      <c r="GJ257" s="24"/>
      <c r="GK257" s="24"/>
      <c r="GL257" s="24"/>
      <c r="GM257" s="24"/>
      <c r="GN257" s="24"/>
      <c r="GO257" s="24"/>
      <c r="GP257" s="24"/>
      <c r="GQ257" s="24"/>
      <c r="GR257" s="24"/>
    </row>
    <row r="258" spans="1:200" s="23" customFormat="1" ht="14.25" customHeight="1">
      <c r="A258" s="20"/>
      <c r="B258" s="21"/>
      <c r="C258" s="22"/>
      <c r="D258" s="22"/>
      <c r="E258" s="22"/>
      <c r="G258" s="22"/>
      <c r="H258" s="22"/>
      <c r="I258" s="22"/>
      <c r="K258" s="22"/>
      <c r="L258" s="22"/>
      <c r="M258" s="22"/>
      <c r="O258" s="22"/>
      <c r="P258" s="22"/>
      <c r="Q258" s="22"/>
      <c r="S258" s="22"/>
      <c r="T258" s="22"/>
      <c r="U258" s="22"/>
      <c r="W258" s="22"/>
      <c r="X258" s="22"/>
      <c r="Y258" s="22"/>
      <c r="AA258" s="22"/>
      <c r="AB258" s="22"/>
      <c r="AC258" s="22"/>
      <c r="AE258" s="24"/>
      <c r="AF258" s="24"/>
      <c r="AG258" s="24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6"/>
      <c r="AW258" s="24"/>
      <c r="AX258" s="20"/>
      <c r="AY258" s="21"/>
      <c r="AZ258" s="22"/>
      <c r="BA258" s="22"/>
      <c r="BB258" s="22"/>
      <c r="BD258" s="22"/>
      <c r="BE258" s="22"/>
      <c r="BF258" s="22"/>
      <c r="BH258" s="22"/>
      <c r="BI258" s="22"/>
      <c r="BJ258" s="22"/>
      <c r="BL258" s="22"/>
      <c r="BM258" s="22"/>
      <c r="BN258" s="22"/>
      <c r="BP258" s="22"/>
      <c r="BQ258" s="22"/>
      <c r="BR258" s="22"/>
      <c r="BT258" s="22"/>
      <c r="BU258" s="22"/>
      <c r="BV258" s="22"/>
      <c r="BX258" s="22"/>
      <c r="BY258" s="22"/>
      <c r="BZ258" s="22"/>
      <c r="CB258" s="24"/>
      <c r="CC258" s="24"/>
      <c r="CD258" s="24"/>
      <c r="CE258" s="25"/>
      <c r="CF258" s="25"/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6"/>
      <c r="CT258" s="24"/>
      <c r="CU258" s="24"/>
      <c r="CV258" s="24"/>
      <c r="CW258" s="24"/>
      <c r="CX258" s="24"/>
      <c r="CY258" s="24"/>
      <c r="CZ258" s="24"/>
      <c r="DA258" s="24"/>
      <c r="DB258" s="24"/>
      <c r="DC258" s="24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4"/>
      <c r="DP258" s="24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4"/>
      <c r="EC258" s="24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4"/>
      <c r="EP258" s="24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4"/>
      <c r="FC258" s="24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4"/>
      <c r="FP258" s="24"/>
      <c r="FQ258" s="24"/>
      <c r="FR258" s="24"/>
      <c r="FS258" s="24"/>
      <c r="FT258" s="24"/>
      <c r="FU258" s="24"/>
      <c r="FV258" s="24"/>
      <c r="FW258" s="24"/>
      <c r="FX258" s="24"/>
      <c r="FY258" s="24"/>
      <c r="FZ258" s="24"/>
      <c r="GA258" s="24"/>
      <c r="GB258" s="24"/>
      <c r="GC258" s="24"/>
      <c r="GD258" s="24"/>
      <c r="GE258" s="24"/>
      <c r="GF258" s="24"/>
      <c r="GG258" s="24"/>
      <c r="GH258" s="24"/>
      <c r="GI258" s="24"/>
      <c r="GJ258" s="24"/>
      <c r="GK258" s="24"/>
      <c r="GL258" s="24"/>
      <c r="GM258" s="24"/>
      <c r="GN258" s="24"/>
      <c r="GO258" s="24"/>
      <c r="GP258" s="24"/>
      <c r="GQ258" s="24"/>
      <c r="GR258" s="24"/>
    </row>
    <row r="259" spans="1:200" s="23" customFormat="1" ht="14.25" customHeight="1">
      <c r="A259" s="20"/>
      <c r="B259" s="21"/>
      <c r="C259" s="22"/>
      <c r="D259" s="22"/>
      <c r="E259" s="22"/>
      <c r="G259" s="22"/>
      <c r="H259" s="22"/>
      <c r="I259" s="22"/>
      <c r="K259" s="22"/>
      <c r="L259" s="22"/>
      <c r="M259" s="22"/>
      <c r="O259" s="22"/>
      <c r="P259" s="22"/>
      <c r="Q259" s="22"/>
      <c r="S259" s="22"/>
      <c r="T259" s="22"/>
      <c r="U259" s="22"/>
      <c r="W259" s="22"/>
      <c r="X259" s="22"/>
      <c r="Y259" s="22"/>
      <c r="AA259" s="22"/>
      <c r="AB259" s="22"/>
      <c r="AC259" s="22"/>
      <c r="AE259" s="24"/>
      <c r="AF259" s="24"/>
      <c r="AG259" s="24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6"/>
      <c r="AW259" s="24"/>
      <c r="AX259" s="20"/>
      <c r="AY259" s="21"/>
      <c r="AZ259" s="22"/>
      <c r="BA259" s="22"/>
      <c r="BB259" s="22"/>
      <c r="BD259" s="22"/>
      <c r="BE259" s="22"/>
      <c r="BF259" s="22"/>
      <c r="BH259" s="22"/>
      <c r="BI259" s="22"/>
      <c r="BJ259" s="22"/>
      <c r="BL259" s="22"/>
      <c r="BM259" s="22"/>
      <c r="BN259" s="22"/>
      <c r="BP259" s="22"/>
      <c r="BQ259" s="22"/>
      <c r="BR259" s="22"/>
      <c r="BT259" s="22"/>
      <c r="BU259" s="22"/>
      <c r="BV259" s="22"/>
      <c r="BX259" s="22"/>
      <c r="BY259" s="22"/>
      <c r="BZ259" s="22"/>
      <c r="CB259" s="24"/>
      <c r="CC259" s="24"/>
      <c r="CD259" s="24"/>
      <c r="CE259" s="25"/>
      <c r="CF259" s="25"/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6"/>
      <c r="CT259" s="24"/>
      <c r="CU259" s="24"/>
      <c r="CV259" s="24"/>
      <c r="CW259" s="24"/>
      <c r="CX259" s="24"/>
      <c r="CY259" s="24"/>
      <c r="CZ259" s="24"/>
      <c r="DA259" s="24"/>
      <c r="DB259" s="24"/>
      <c r="DC259" s="24"/>
      <c r="DD259" s="24"/>
      <c r="DE259" s="24"/>
      <c r="DF259" s="24"/>
      <c r="DG259" s="24"/>
      <c r="DH259" s="24"/>
      <c r="DI259" s="24"/>
      <c r="DJ259" s="24"/>
      <c r="DK259" s="24"/>
      <c r="DL259" s="24"/>
      <c r="DM259" s="24"/>
      <c r="DN259" s="24"/>
      <c r="DO259" s="24"/>
      <c r="DP259" s="24"/>
      <c r="DQ259" s="24"/>
      <c r="DR259" s="24"/>
      <c r="DS259" s="24"/>
      <c r="DT259" s="24"/>
      <c r="DU259" s="24"/>
      <c r="DV259" s="24"/>
      <c r="DW259" s="24"/>
      <c r="DX259" s="24"/>
      <c r="DY259" s="24"/>
      <c r="DZ259" s="24"/>
      <c r="EA259" s="24"/>
      <c r="EB259" s="24"/>
      <c r="EC259" s="24"/>
      <c r="ED259" s="24"/>
      <c r="EE259" s="24"/>
      <c r="EF259" s="24"/>
      <c r="EG259" s="24"/>
      <c r="EH259" s="24"/>
      <c r="EI259" s="24"/>
      <c r="EJ259" s="24"/>
      <c r="EK259" s="24"/>
      <c r="EL259" s="24"/>
      <c r="EM259" s="24"/>
      <c r="EN259" s="24"/>
      <c r="EO259" s="24"/>
      <c r="EP259" s="24"/>
      <c r="EQ259" s="24"/>
      <c r="ER259" s="24"/>
      <c r="ES259" s="24"/>
      <c r="ET259" s="24"/>
      <c r="EU259" s="24"/>
      <c r="EV259" s="24"/>
      <c r="EW259" s="24"/>
      <c r="EX259" s="24"/>
      <c r="EY259" s="24"/>
      <c r="EZ259" s="24"/>
      <c r="FA259" s="24"/>
      <c r="FB259" s="24"/>
      <c r="FC259" s="24"/>
      <c r="FD259" s="24"/>
      <c r="FE259" s="24"/>
      <c r="FF259" s="24"/>
      <c r="FG259" s="24"/>
      <c r="FH259" s="24"/>
      <c r="FI259" s="24"/>
      <c r="FJ259" s="24"/>
      <c r="FK259" s="24"/>
      <c r="FL259" s="24"/>
      <c r="FM259" s="24"/>
      <c r="FN259" s="24"/>
      <c r="FO259" s="24"/>
      <c r="FP259" s="24"/>
      <c r="FQ259" s="24"/>
      <c r="FR259" s="24"/>
      <c r="FS259" s="24"/>
      <c r="FT259" s="24"/>
      <c r="FU259" s="24"/>
      <c r="FV259" s="24"/>
      <c r="FW259" s="24"/>
      <c r="FX259" s="24"/>
      <c r="FY259" s="24"/>
      <c r="FZ259" s="24"/>
      <c r="GA259" s="24"/>
      <c r="GB259" s="24"/>
      <c r="GC259" s="24"/>
      <c r="GD259" s="24"/>
      <c r="GE259" s="24"/>
      <c r="GF259" s="24"/>
      <c r="GG259" s="24"/>
      <c r="GH259" s="24"/>
      <c r="GI259" s="24"/>
      <c r="GJ259" s="24"/>
      <c r="GK259" s="24"/>
      <c r="GL259" s="24"/>
      <c r="GM259" s="24"/>
      <c r="GN259" s="24"/>
      <c r="GO259" s="24"/>
      <c r="GP259" s="24"/>
      <c r="GQ259" s="24"/>
      <c r="GR259" s="24"/>
    </row>
    <row r="260" spans="1:200" s="23" customFormat="1" ht="14.25" customHeight="1">
      <c r="A260" s="20"/>
      <c r="B260" s="21"/>
      <c r="C260" s="22"/>
      <c r="D260" s="22"/>
      <c r="E260" s="22"/>
      <c r="G260" s="22"/>
      <c r="H260" s="22"/>
      <c r="I260" s="22"/>
      <c r="K260" s="22"/>
      <c r="L260" s="22"/>
      <c r="M260" s="22"/>
      <c r="O260" s="22"/>
      <c r="P260" s="22"/>
      <c r="Q260" s="22"/>
      <c r="S260" s="22"/>
      <c r="T260" s="22"/>
      <c r="U260" s="22"/>
      <c r="W260" s="22"/>
      <c r="X260" s="22"/>
      <c r="Y260" s="22"/>
      <c r="AA260" s="22"/>
      <c r="AB260" s="22"/>
      <c r="AC260" s="22"/>
      <c r="AE260" s="24"/>
      <c r="AF260" s="24"/>
      <c r="AG260" s="24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6"/>
      <c r="AW260" s="24"/>
      <c r="AX260" s="20"/>
      <c r="AY260" s="21"/>
      <c r="AZ260" s="22"/>
      <c r="BA260" s="22"/>
      <c r="BB260" s="22"/>
      <c r="BD260" s="22"/>
      <c r="BE260" s="22"/>
      <c r="BF260" s="22"/>
      <c r="BH260" s="22"/>
      <c r="BI260" s="22"/>
      <c r="BJ260" s="22"/>
      <c r="BL260" s="22"/>
      <c r="BM260" s="22"/>
      <c r="BN260" s="22"/>
      <c r="BP260" s="22"/>
      <c r="BQ260" s="22"/>
      <c r="BR260" s="22"/>
      <c r="BT260" s="22"/>
      <c r="BU260" s="22"/>
      <c r="BV260" s="22"/>
      <c r="BX260" s="22"/>
      <c r="BY260" s="22"/>
      <c r="BZ260" s="22"/>
      <c r="CB260" s="24"/>
      <c r="CC260" s="24"/>
      <c r="CD260" s="24"/>
      <c r="CE260" s="25"/>
      <c r="CF260" s="25"/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6"/>
      <c r="CT260" s="24"/>
      <c r="CU260" s="24"/>
      <c r="CV260" s="24"/>
      <c r="CW260" s="24"/>
      <c r="CX260" s="24"/>
      <c r="CY260" s="24"/>
      <c r="CZ260" s="24"/>
      <c r="DA260" s="24"/>
      <c r="DB260" s="24"/>
      <c r="DC260" s="24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4"/>
      <c r="DP260" s="24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4"/>
      <c r="EC260" s="24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4"/>
      <c r="EP260" s="24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4"/>
      <c r="FC260" s="24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4"/>
      <c r="FP260" s="24"/>
      <c r="FQ260" s="24"/>
      <c r="FR260" s="24"/>
      <c r="FS260" s="24"/>
      <c r="FT260" s="24"/>
      <c r="FU260" s="24"/>
      <c r="FV260" s="24"/>
      <c r="FW260" s="24"/>
      <c r="FX260" s="24"/>
      <c r="FY260" s="24"/>
      <c r="FZ260" s="24"/>
      <c r="GA260" s="24"/>
      <c r="GB260" s="24"/>
      <c r="GC260" s="24"/>
      <c r="GD260" s="24"/>
      <c r="GE260" s="24"/>
      <c r="GF260" s="24"/>
      <c r="GG260" s="24"/>
      <c r="GH260" s="24"/>
      <c r="GI260" s="24"/>
      <c r="GJ260" s="24"/>
      <c r="GK260" s="24"/>
      <c r="GL260" s="24"/>
      <c r="GM260" s="24"/>
      <c r="GN260" s="24"/>
      <c r="GO260" s="24"/>
      <c r="GP260" s="24"/>
      <c r="GQ260" s="24"/>
      <c r="GR260" s="24"/>
    </row>
    <row r="261" spans="1:200" s="23" customFormat="1" ht="14.25" customHeight="1">
      <c r="A261" s="20"/>
      <c r="B261" s="21"/>
      <c r="C261" s="22"/>
      <c r="D261" s="22"/>
      <c r="E261" s="22"/>
      <c r="G261" s="22"/>
      <c r="H261" s="22"/>
      <c r="I261" s="22"/>
      <c r="K261" s="22"/>
      <c r="L261" s="22"/>
      <c r="M261" s="22"/>
      <c r="O261" s="22"/>
      <c r="P261" s="22"/>
      <c r="Q261" s="22"/>
      <c r="S261" s="22"/>
      <c r="T261" s="22"/>
      <c r="U261" s="22"/>
      <c r="W261" s="22"/>
      <c r="X261" s="22"/>
      <c r="Y261" s="22"/>
      <c r="AA261" s="22"/>
      <c r="AB261" s="22"/>
      <c r="AC261" s="22"/>
      <c r="AE261" s="24"/>
      <c r="AF261" s="24"/>
      <c r="AG261" s="24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6"/>
      <c r="AW261" s="24"/>
      <c r="AX261" s="20"/>
      <c r="AY261" s="21"/>
      <c r="AZ261" s="22"/>
      <c r="BA261" s="22"/>
      <c r="BB261" s="22"/>
      <c r="BD261" s="22"/>
      <c r="BE261" s="22"/>
      <c r="BF261" s="22"/>
      <c r="BH261" s="22"/>
      <c r="BI261" s="22"/>
      <c r="BJ261" s="22"/>
      <c r="BL261" s="22"/>
      <c r="BM261" s="22"/>
      <c r="BN261" s="22"/>
      <c r="BP261" s="22"/>
      <c r="BQ261" s="22"/>
      <c r="BR261" s="22"/>
      <c r="BT261" s="22"/>
      <c r="BU261" s="22"/>
      <c r="BV261" s="22"/>
      <c r="BX261" s="22"/>
      <c r="BY261" s="22"/>
      <c r="BZ261" s="22"/>
      <c r="CB261" s="24"/>
      <c r="CC261" s="24"/>
      <c r="CD261" s="24"/>
      <c r="CE261" s="25"/>
      <c r="CF261" s="25"/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6"/>
      <c r="CT261" s="24"/>
      <c r="CU261" s="24"/>
      <c r="CV261" s="24"/>
      <c r="CW261" s="24"/>
      <c r="CX261" s="24"/>
      <c r="CY261" s="24"/>
      <c r="CZ261" s="24"/>
      <c r="DA261" s="24"/>
      <c r="DB261" s="24"/>
      <c r="DC261" s="24"/>
      <c r="DD261" s="24"/>
      <c r="DE261" s="24"/>
      <c r="DF261" s="24"/>
      <c r="DG261" s="24"/>
      <c r="DH261" s="24"/>
      <c r="DI261" s="24"/>
      <c r="DJ261" s="24"/>
      <c r="DK261" s="24"/>
      <c r="DL261" s="24"/>
      <c r="DM261" s="24"/>
      <c r="DN261" s="24"/>
      <c r="DO261" s="24"/>
      <c r="DP261" s="24"/>
      <c r="DQ261" s="24"/>
      <c r="DR261" s="24"/>
      <c r="DS261" s="24"/>
      <c r="DT261" s="24"/>
      <c r="DU261" s="24"/>
      <c r="DV261" s="24"/>
      <c r="DW261" s="24"/>
      <c r="DX261" s="24"/>
      <c r="DY261" s="24"/>
      <c r="DZ261" s="24"/>
      <c r="EA261" s="24"/>
      <c r="EB261" s="24"/>
      <c r="EC261" s="24"/>
      <c r="ED261" s="24"/>
      <c r="EE261" s="24"/>
      <c r="EF261" s="24"/>
      <c r="EG261" s="24"/>
      <c r="EH261" s="24"/>
      <c r="EI261" s="24"/>
      <c r="EJ261" s="24"/>
      <c r="EK261" s="24"/>
      <c r="EL261" s="24"/>
      <c r="EM261" s="24"/>
      <c r="EN261" s="24"/>
      <c r="EO261" s="24"/>
      <c r="EP261" s="24"/>
      <c r="EQ261" s="24"/>
      <c r="ER261" s="24"/>
      <c r="ES261" s="24"/>
      <c r="ET261" s="24"/>
      <c r="EU261" s="24"/>
      <c r="EV261" s="24"/>
      <c r="EW261" s="24"/>
      <c r="EX261" s="24"/>
      <c r="EY261" s="24"/>
      <c r="EZ261" s="24"/>
      <c r="FA261" s="24"/>
      <c r="FB261" s="24"/>
      <c r="FC261" s="24"/>
      <c r="FD261" s="24"/>
      <c r="FE261" s="24"/>
      <c r="FF261" s="24"/>
      <c r="FG261" s="24"/>
      <c r="FH261" s="24"/>
      <c r="FI261" s="24"/>
      <c r="FJ261" s="24"/>
      <c r="FK261" s="24"/>
      <c r="FL261" s="24"/>
      <c r="FM261" s="24"/>
      <c r="FN261" s="24"/>
      <c r="FO261" s="24"/>
      <c r="FP261" s="24"/>
      <c r="FQ261" s="24"/>
      <c r="FR261" s="24"/>
      <c r="FS261" s="24"/>
      <c r="FT261" s="24"/>
      <c r="FU261" s="24"/>
      <c r="FV261" s="24"/>
      <c r="FW261" s="24"/>
      <c r="FX261" s="24"/>
      <c r="FY261" s="24"/>
      <c r="FZ261" s="24"/>
      <c r="GA261" s="24"/>
      <c r="GB261" s="24"/>
      <c r="GC261" s="24"/>
      <c r="GD261" s="24"/>
      <c r="GE261" s="24"/>
      <c r="GF261" s="24"/>
      <c r="GG261" s="24"/>
      <c r="GH261" s="24"/>
      <c r="GI261" s="24"/>
      <c r="GJ261" s="24"/>
      <c r="GK261" s="24"/>
      <c r="GL261" s="24"/>
      <c r="GM261" s="24"/>
      <c r="GN261" s="24"/>
      <c r="GO261" s="24"/>
      <c r="GP261" s="24"/>
      <c r="GQ261" s="24"/>
      <c r="GR261" s="24"/>
    </row>
    <row r="262" spans="1:200" s="23" customFormat="1" ht="14.25" customHeight="1">
      <c r="A262" s="20"/>
      <c r="B262" s="21"/>
      <c r="C262" s="22"/>
      <c r="D262" s="22"/>
      <c r="E262" s="22"/>
      <c r="G262" s="22"/>
      <c r="H262" s="22"/>
      <c r="I262" s="22"/>
      <c r="K262" s="22"/>
      <c r="L262" s="22"/>
      <c r="M262" s="22"/>
      <c r="O262" s="22"/>
      <c r="P262" s="22"/>
      <c r="Q262" s="22"/>
      <c r="S262" s="22"/>
      <c r="T262" s="22"/>
      <c r="U262" s="22"/>
      <c r="W262" s="22"/>
      <c r="X262" s="22"/>
      <c r="Y262" s="22"/>
      <c r="AA262" s="22"/>
      <c r="AB262" s="22"/>
      <c r="AC262" s="22"/>
      <c r="AE262" s="24"/>
      <c r="AF262" s="24"/>
      <c r="AG262" s="24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6"/>
      <c r="AW262" s="24"/>
      <c r="AX262" s="20"/>
      <c r="AY262" s="21"/>
      <c r="AZ262" s="22"/>
      <c r="BA262" s="22"/>
      <c r="BB262" s="22"/>
      <c r="BD262" s="22"/>
      <c r="BE262" s="22"/>
      <c r="BF262" s="22"/>
      <c r="BH262" s="22"/>
      <c r="BI262" s="22"/>
      <c r="BJ262" s="22"/>
      <c r="BL262" s="22"/>
      <c r="BM262" s="22"/>
      <c r="BN262" s="22"/>
      <c r="BP262" s="22"/>
      <c r="BQ262" s="22"/>
      <c r="BR262" s="22"/>
      <c r="BT262" s="22"/>
      <c r="BU262" s="22"/>
      <c r="BV262" s="22"/>
      <c r="BX262" s="22"/>
      <c r="BY262" s="22"/>
      <c r="BZ262" s="22"/>
      <c r="CB262" s="24"/>
      <c r="CC262" s="24"/>
      <c r="CD262" s="24"/>
      <c r="CE262" s="25"/>
      <c r="CF262" s="25"/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6"/>
      <c r="CT262" s="24"/>
      <c r="CU262" s="24"/>
      <c r="CV262" s="24"/>
      <c r="CW262" s="24"/>
      <c r="CX262" s="24"/>
      <c r="CY262" s="24"/>
      <c r="CZ262" s="24"/>
      <c r="DA262" s="24"/>
      <c r="DB262" s="24"/>
      <c r="DC262" s="24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4"/>
      <c r="DP262" s="24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4"/>
      <c r="EC262" s="24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4"/>
      <c r="EP262" s="24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4"/>
      <c r="FC262" s="24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4"/>
      <c r="FP262" s="24"/>
      <c r="FQ262" s="24"/>
      <c r="FR262" s="24"/>
      <c r="FS262" s="24"/>
      <c r="FT262" s="24"/>
      <c r="FU262" s="24"/>
      <c r="FV262" s="24"/>
      <c r="FW262" s="24"/>
      <c r="FX262" s="24"/>
      <c r="FY262" s="24"/>
      <c r="FZ262" s="24"/>
      <c r="GA262" s="24"/>
      <c r="GB262" s="24"/>
      <c r="GC262" s="24"/>
      <c r="GD262" s="24"/>
      <c r="GE262" s="24"/>
      <c r="GF262" s="24"/>
      <c r="GG262" s="24"/>
      <c r="GH262" s="24"/>
      <c r="GI262" s="24"/>
      <c r="GJ262" s="24"/>
      <c r="GK262" s="24"/>
      <c r="GL262" s="24"/>
      <c r="GM262" s="24"/>
      <c r="GN262" s="24"/>
      <c r="GO262" s="24"/>
      <c r="GP262" s="24"/>
      <c r="GQ262" s="24"/>
      <c r="GR262" s="24"/>
    </row>
    <row r="263" spans="1:200" s="23" customFormat="1" ht="14.25" customHeight="1">
      <c r="A263" s="20"/>
      <c r="B263" s="21"/>
      <c r="C263" s="22"/>
      <c r="D263" s="22"/>
      <c r="E263" s="22"/>
      <c r="G263" s="22"/>
      <c r="H263" s="22"/>
      <c r="I263" s="22"/>
      <c r="K263" s="22"/>
      <c r="L263" s="22"/>
      <c r="M263" s="22"/>
      <c r="O263" s="22"/>
      <c r="P263" s="22"/>
      <c r="Q263" s="22"/>
      <c r="S263" s="22"/>
      <c r="T263" s="22"/>
      <c r="U263" s="22"/>
      <c r="W263" s="22"/>
      <c r="X263" s="22"/>
      <c r="Y263" s="22"/>
      <c r="AA263" s="22"/>
      <c r="AB263" s="22"/>
      <c r="AC263" s="22"/>
      <c r="AE263" s="24"/>
      <c r="AF263" s="24"/>
      <c r="AG263" s="24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6"/>
      <c r="AW263" s="24"/>
      <c r="AX263" s="20"/>
      <c r="AY263" s="21"/>
      <c r="AZ263" s="22"/>
      <c r="BA263" s="22"/>
      <c r="BB263" s="22"/>
      <c r="BD263" s="22"/>
      <c r="BE263" s="22"/>
      <c r="BF263" s="22"/>
      <c r="BH263" s="22"/>
      <c r="BI263" s="22"/>
      <c r="BJ263" s="22"/>
      <c r="BL263" s="22"/>
      <c r="BM263" s="22"/>
      <c r="BN263" s="22"/>
      <c r="BP263" s="22"/>
      <c r="BQ263" s="22"/>
      <c r="BR263" s="22"/>
      <c r="BT263" s="22"/>
      <c r="BU263" s="22"/>
      <c r="BV263" s="22"/>
      <c r="BX263" s="22"/>
      <c r="BY263" s="22"/>
      <c r="BZ263" s="22"/>
      <c r="CB263" s="24"/>
      <c r="CC263" s="24"/>
      <c r="CD263" s="24"/>
      <c r="CE263" s="25"/>
      <c r="CF263" s="25"/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6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  <c r="DV263" s="24"/>
      <c r="DW263" s="24"/>
      <c r="DX263" s="24"/>
      <c r="DY263" s="24"/>
      <c r="DZ263" s="24"/>
      <c r="EA263" s="24"/>
      <c r="EB263" s="24"/>
      <c r="EC263" s="24"/>
      <c r="ED263" s="24"/>
      <c r="EE263" s="24"/>
      <c r="EF263" s="24"/>
      <c r="EG263" s="24"/>
      <c r="EH263" s="24"/>
      <c r="EI263" s="24"/>
      <c r="EJ263" s="24"/>
      <c r="EK263" s="24"/>
      <c r="EL263" s="24"/>
      <c r="EM263" s="24"/>
      <c r="EN263" s="24"/>
      <c r="EO263" s="24"/>
      <c r="EP263" s="24"/>
      <c r="EQ263" s="24"/>
      <c r="ER263" s="24"/>
      <c r="ES263" s="24"/>
      <c r="ET263" s="24"/>
      <c r="EU263" s="24"/>
      <c r="EV263" s="24"/>
      <c r="EW263" s="24"/>
      <c r="EX263" s="24"/>
      <c r="EY263" s="24"/>
      <c r="EZ263" s="24"/>
      <c r="FA263" s="24"/>
      <c r="FB263" s="24"/>
      <c r="FC263" s="24"/>
      <c r="FD263" s="24"/>
      <c r="FE263" s="24"/>
      <c r="FF263" s="24"/>
      <c r="FG263" s="24"/>
      <c r="FH263" s="24"/>
      <c r="FI263" s="24"/>
      <c r="FJ263" s="24"/>
      <c r="FK263" s="24"/>
      <c r="FL263" s="24"/>
      <c r="FM263" s="24"/>
      <c r="FN263" s="24"/>
      <c r="FO263" s="24"/>
      <c r="FP263" s="24"/>
      <c r="FQ263" s="24"/>
      <c r="FR263" s="24"/>
      <c r="FS263" s="24"/>
      <c r="FT263" s="24"/>
      <c r="FU263" s="24"/>
      <c r="FV263" s="24"/>
      <c r="FW263" s="24"/>
      <c r="FX263" s="24"/>
      <c r="FY263" s="24"/>
      <c r="FZ263" s="24"/>
      <c r="GA263" s="24"/>
      <c r="GB263" s="24"/>
      <c r="GC263" s="24"/>
      <c r="GD263" s="24"/>
      <c r="GE263" s="24"/>
      <c r="GF263" s="24"/>
      <c r="GG263" s="24"/>
      <c r="GH263" s="24"/>
      <c r="GI263" s="24"/>
      <c r="GJ263" s="24"/>
      <c r="GK263" s="24"/>
      <c r="GL263" s="24"/>
      <c r="GM263" s="24"/>
      <c r="GN263" s="24"/>
      <c r="GO263" s="24"/>
      <c r="GP263" s="24"/>
      <c r="GQ263" s="24"/>
      <c r="GR263" s="24"/>
    </row>
    <row r="264" spans="1:200" s="23" customFormat="1" ht="14.25" customHeight="1">
      <c r="A264" s="20"/>
      <c r="B264" s="21"/>
      <c r="C264" s="22"/>
      <c r="D264" s="22"/>
      <c r="E264" s="22"/>
      <c r="G264" s="22"/>
      <c r="H264" s="22"/>
      <c r="I264" s="22"/>
      <c r="K264" s="22"/>
      <c r="L264" s="22"/>
      <c r="M264" s="22"/>
      <c r="O264" s="22"/>
      <c r="P264" s="22"/>
      <c r="Q264" s="22"/>
      <c r="S264" s="22"/>
      <c r="T264" s="22"/>
      <c r="U264" s="22"/>
      <c r="W264" s="22"/>
      <c r="X264" s="22"/>
      <c r="Y264" s="22"/>
      <c r="AA264" s="22"/>
      <c r="AB264" s="22"/>
      <c r="AC264" s="22"/>
      <c r="AE264" s="24"/>
      <c r="AF264" s="24"/>
      <c r="AG264" s="24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6"/>
      <c r="AW264" s="24"/>
      <c r="AX264" s="20"/>
      <c r="AY264" s="21"/>
      <c r="AZ264" s="22"/>
      <c r="BA264" s="22"/>
      <c r="BB264" s="22"/>
      <c r="BD264" s="22"/>
      <c r="BE264" s="22"/>
      <c r="BF264" s="22"/>
      <c r="BH264" s="22"/>
      <c r="BI264" s="22"/>
      <c r="BJ264" s="22"/>
      <c r="BL264" s="22"/>
      <c r="BM264" s="22"/>
      <c r="BN264" s="22"/>
      <c r="BP264" s="22"/>
      <c r="BQ264" s="22"/>
      <c r="BR264" s="22"/>
      <c r="BT264" s="22"/>
      <c r="BU264" s="22"/>
      <c r="BV264" s="22"/>
      <c r="BX264" s="22"/>
      <c r="BY264" s="22"/>
      <c r="BZ264" s="22"/>
      <c r="CB264" s="24"/>
      <c r="CC264" s="24"/>
      <c r="CD264" s="24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6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4"/>
      <c r="EC264" s="24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4"/>
      <c r="EP264" s="24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4"/>
      <c r="FC264" s="24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4"/>
      <c r="FP264" s="24"/>
      <c r="FQ264" s="24"/>
      <c r="FR264" s="24"/>
      <c r="FS264" s="24"/>
      <c r="FT264" s="24"/>
      <c r="FU264" s="24"/>
      <c r="FV264" s="24"/>
      <c r="FW264" s="24"/>
      <c r="FX264" s="24"/>
      <c r="FY264" s="24"/>
      <c r="FZ264" s="24"/>
      <c r="GA264" s="24"/>
      <c r="GB264" s="24"/>
      <c r="GC264" s="24"/>
      <c r="GD264" s="24"/>
      <c r="GE264" s="24"/>
      <c r="GF264" s="24"/>
      <c r="GG264" s="24"/>
      <c r="GH264" s="24"/>
      <c r="GI264" s="24"/>
      <c r="GJ264" s="24"/>
      <c r="GK264" s="24"/>
      <c r="GL264" s="24"/>
      <c r="GM264" s="24"/>
      <c r="GN264" s="24"/>
      <c r="GO264" s="24"/>
      <c r="GP264" s="24"/>
      <c r="GQ264" s="24"/>
      <c r="GR264" s="24"/>
    </row>
    <row r="265" spans="1:200" s="23" customFormat="1" ht="14.25" customHeight="1">
      <c r="A265" s="20"/>
      <c r="B265" s="21"/>
      <c r="C265" s="22"/>
      <c r="D265" s="22"/>
      <c r="E265" s="22"/>
      <c r="G265" s="22"/>
      <c r="H265" s="22"/>
      <c r="I265" s="22"/>
      <c r="K265" s="22"/>
      <c r="L265" s="22"/>
      <c r="M265" s="22"/>
      <c r="O265" s="22"/>
      <c r="P265" s="22"/>
      <c r="Q265" s="22"/>
      <c r="S265" s="22"/>
      <c r="T265" s="22"/>
      <c r="U265" s="22"/>
      <c r="W265" s="22"/>
      <c r="X265" s="22"/>
      <c r="Y265" s="22"/>
      <c r="AA265" s="22"/>
      <c r="AB265" s="22"/>
      <c r="AC265" s="22"/>
      <c r="AE265" s="24"/>
      <c r="AF265" s="24"/>
      <c r="AG265" s="24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6"/>
      <c r="AW265" s="24"/>
      <c r="AX265" s="20"/>
      <c r="AY265" s="21"/>
      <c r="AZ265" s="22"/>
      <c r="BA265" s="22"/>
      <c r="BB265" s="22"/>
      <c r="BD265" s="22"/>
      <c r="BE265" s="22"/>
      <c r="BF265" s="22"/>
      <c r="BH265" s="22"/>
      <c r="BI265" s="22"/>
      <c r="BJ265" s="22"/>
      <c r="BL265" s="22"/>
      <c r="BM265" s="22"/>
      <c r="BN265" s="22"/>
      <c r="BP265" s="22"/>
      <c r="BQ265" s="22"/>
      <c r="BR265" s="22"/>
      <c r="BT265" s="22"/>
      <c r="BU265" s="22"/>
      <c r="BV265" s="22"/>
      <c r="BX265" s="22"/>
      <c r="BY265" s="22"/>
      <c r="BZ265" s="22"/>
      <c r="CB265" s="24"/>
      <c r="CC265" s="24"/>
      <c r="CD265" s="24"/>
      <c r="CE265" s="25"/>
      <c r="CF265" s="25"/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6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  <c r="DV265" s="24"/>
      <c r="DW265" s="24"/>
      <c r="DX265" s="24"/>
      <c r="DY265" s="24"/>
      <c r="DZ265" s="24"/>
      <c r="EA265" s="24"/>
      <c r="EB265" s="24"/>
      <c r="EC265" s="24"/>
      <c r="ED265" s="24"/>
      <c r="EE265" s="24"/>
      <c r="EF265" s="24"/>
      <c r="EG265" s="24"/>
      <c r="EH265" s="24"/>
      <c r="EI265" s="24"/>
      <c r="EJ265" s="24"/>
      <c r="EK265" s="24"/>
      <c r="EL265" s="24"/>
      <c r="EM265" s="24"/>
      <c r="EN265" s="24"/>
      <c r="EO265" s="24"/>
      <c r="EP265" s="24"/>
      <c r="EQ265" s="24"/>
      <c r="ER265" s="24"/>
      <c r="ES265" s="24"/>
      <c r="ET265" s="24"/>
      <c r="EU265" s="24"/>
      <c r="EV265" s="24"/>
      <c r="EW265" s="24"/>
      <c r="EX265" s="24"/>
      <c r="EY265" s="24"/>
      <c r="EZ265" s="24"/>
      <c r="FA265" s="24"/>
      <c r="FB265" s="24"/>
      <c r="FC265" s="24"/>
      <c r="FD265" s="24"/>
      <c r="FE265" s="24"/>
      <c r="FF265" s="24"/>
      <c r="FG265" s="24"/>
      <c r="FH265" s="24"/>
      <c r="FI265" s="24"/>
      <c r="FJ265" s="24"/>
      <c r="FK265" s="24"/>
      <c r="FL265" s="24"/>
      <c r="FM265" s="24"/>
      <c r="FN265" s="24"/>
      <c r="FO265" s="24"/>
      <c r="FP265" s="24"/>
      <c r="FQ265" s="24"/>
      <c r="FR265" s="24"/>
      <c r="FS265" s="24"/>
      <c r="FT265" s="24"/>
      <c r="FU265" s="24"/>
      <c r="FV265" s="24"/>
      <c r="FW265" s="24"/>
      <c r="FX265" s="24"/>
      <c r="FY265" s="24"/>
      <c r="FZ265" s="24"/>
      <c r="GA265" s="24"/>
      <c r="GB265" s="24"/>
      <c r="GC265" s="24"/>
      <c r="GD265" s="24"/>
      <c r="GE265" s="24"/>
      <c r="GF265" s="24"/>
      <c r="GG265" s="24"/>
      <c r="GH265" s="24"/>
      <c r="GI265" s="24"/>
      <c r="GJ265" s="24"/>
      <c r="GK265" s="24"/>
      <c r="GL265" s="24"/>
      <c r="GM265" s="24"/>
      <c r="GN265" s="24"/>
      <c r="GO265" s="24"/>
      <c r="GP265" s="24"/>
      <c r="GQ265" s="24"/>
      <c r="GR265" s="24"/>
    </row>
    <row r="266" spans="1:200" s="23" customFormat="1" ht="14.25" customHeight="1">
      <c r="A266" s="20"/>
      <c r="B266" s="21"/>
      <c r="C266" s="22"/>
      <c r="D266" s="22"/>
      <c r="E266" s="22"/>
      <c r="G266" s="22"/>
      <c r="H266" s="22"/>
      <c r="I266" s="22"/>
      <c r="K266" s="22"/>
      <c r="L266" s="22"/>
      <c r="M266" s="22"/>
      <c r="O266" s="22"/>
      <c r="P266" s="22"/>
      <c r="Q266" s="22"/>
      <c r="S266" s="22"/>
      <c r="T266" s="22"/>
      <c r="U266" s="22"/>
      <c r="W266" s="22"/>
      <c r="X266" s="22"/>
      <c r="Y266" s="22"/>
      <c r="AA266" s="22"/>
      <c r="AB266" s="22"/>
      <c r="AC266" s="22"/>
      <c r="AE266" s="24"/>
      <c r="AF266" s="24"/>
      <c r="AG266" s="24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6"/>
      <c r="AW266" s="24"/>
      <c r="AX266" s="20"/>
      <c r="AY266" s="21"/>
      <c r="AZ266" s="22"/>
      <c r="BA266" s="22"/>
      <c r="BB266" s="22"/>
      <c r="BD266" s="22"/>
      <c r="BE266" s="22"/>
      <c r="BF266" s="22"/>
      <c r="BH266" s="22"/>
      <c r="BI266" s="22"/>
      <c r="BJ266" s="22"/>
      <c r="BL266" s="22"/>
      <c r="BM266" s="22"/>
      <c r="BN266" s="22"/>
      <c r="BP266" s="22"/>
      <c r="BQ266" s="22"/>
      <c r="BR266" s="22"/>
      <c r="BT266" s="22"/>
      <c r="BU266" s="22"/>
      <c r="BV266" s="22"/>
      <c r="BX266" s="22"/>
      <c r="BY266" s="22"/>
      <c r="BZ266" s="22"/>
      <c r="CB266" s="24"/>
      <c r="CC266" s="24"/>
      <c r="CD266" s="24"/>
      <c r="CE266" s="25"/>
      <c r="CF266" s="25"/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6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4"/>
      <c r="EC266" s="24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4"/>
      <c r="EP266" s="24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4"/>
      <c r="FC266" s="24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4"/>
      <c r="FP266" s="24"/>
      <c r="FQ266" s="24"/>
      <c r="FR266" s="24"/>
      <c r="FS266" s="24"/>
      <c r="FT266" s="24"/>
      <c r="FU266" s="24"/>
      <c r="FV266" s="24"/>
      <c r="FW266" s="24"/>
      <c r="FX266" s="24"/>
      <c r="FY266" s="24"/>
      <c r="FZ266" s="24"/>
      <c r="GA266" s="24"/>
      <c r="GB266" s="24"/>
      <c r="GC266" s="24"/>
      <c r="GD266" s="24"/>
      <c r="GE266" s="24"/>
      <c r="GF266" s="24"/>
      <c r="GG266" s="24"/>
      <c r="GH266" s="24"/>
      <c r="GI266" s="24"/>
      <c r="GJ266" s="24"/>
      <c r="GK266" s="24"/>
      <c r="GL266" s="24"/>
      <c r="GM266" s="24"/>
      <c r="GN266" s="24"/>
      <c r="GO266" s="24"/>
      <c r="GP266" s="24"/>
      <c r="GQ266" s="24"/>
      <c r="GR266" s="24"/>
    </row>
    <row r="267" spans="1:200" s="23" customFormat="1" ht="14.25" customHeight="1">
      <c r="A267" s="20"/>
      <c r="B267" s="21"/>
      <c r="C267" s="22"/>
      <c r="D267" s="22"/>
      <c r="E267" s="22"/>
      <c r="G267" s="22"/>
      <c r="H267" s="22"/>
      <c r="I267" s="22"/>
      <c r="K267" s="22"/>
      <c r="L267" s="22"/>
      <c r="M267" s="22"/>
      <c r="O267" s="22"/>
      <c r="P267" s="22"/>
      <c r="Q267" s="22"/>
      <c r="S267" s="22"/>
      <c r="T267" s="22"/>
      <c r="U267" s="22"/>
      <c r="W267" s="22"/>
      <c r="X267" s="22"/>
      <c r="Y267" s="22"/>
      <c r="AA267" s="22"/>
      <c r="AB267" s="22"/>
      <c r="AC267" s="22"/>
      <c r="AE267" s="24"/>
      <c r="AF267" s="24"/>
      <c r="AG267" s="24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6"/>
      <c r="AW267" s="24"/>
      <c r="AX267" s="20"/>
      <c r="AY267" s="21"/>
      <c r="AZ267" s="22"/>
      <c r="BA267" s="22"/>
      <c r="BB267" s="22"/>
      <c r="BD267" s="22"/>
      <c r="BE267" s="22"/>
      <c r="BF267" s="22"/>
      <c r="BH267" s="22"/>
      <c r="BI267" s="22"/>
      <c r="BJ267" s="22"/>
      <c r="BL267" s="22"/>
      <c r="BM267" s="22"/>
      <c r="BN267" s="22"/>
      <c r="BP267" s="22"/>
      <c r="BQ267" s="22"/>
      <c r="BR267" s="22"/>
      <c r="BT267" s="22"/>
      <c r="BU267" s="22"/>
      <c r="BV267" s="22"/>
      <c r="BX267" s="22"/>
      <c r="BY267" s="22"/>
      <c r="BZ267" s="22"/>
      <c r="CB267" s="24"/>
      <c r="CC267" s="24"/>
      <c r="CD267" s="24"/>
      <c r="CE267" s="25"/>
      <c r="CF267" s="25"/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6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  <c r="DV267" s="24"/>
      <c r="DW267" s="24"/>
      <c r="DX267" s="24"/>
      <c r="DY267" s="24"/>
      <c r="DZ267" s="24"/>
      <c r="EA267" s="24"/>
      <c r="EB267" s="24"/>
      <c r="EC267" s="24"/>
      <c r="ED267" s="24"/>
      <c r="EE267" s="24"/>
      <c r="EF267" s="24"/>
      <c r="EG267" s="24"/>
      <c r="EH267" s="24"/>
      <c r="EI267" s="24"/>
      <c r="EJ267" s="24"/>
      <c r="EK267" s="24"/>
      <c r="EL267" s="24"/>
      <c r="EM267" s="24"/>
      <c r="EN267" s="24"/>
      <c r="EO267" s="24"/>
      <c r="EP267" s="24"/>
      <c r="EQ267" s="24"/>
      <c r="ER267" s="24"/>
      <c r="ES267" s="24"/>
      <c r="ET267" s="24"/>
      <c r="EU267" s="24"/>
      <c r="EV267" s="24"/>
      <c r="EW267" s="24"/>
      <c r="EX267" s="24"/>
      <c r="EY267" s="24"/>
      <c r="EZ267" s="24"/>
      <c r="FA267" s="24"/>
      <c r="FB267" s="24"/>
      <c r="FC267" s="24"/>
      <c r="FD267" s="24"/>
      <c r="FE267" s="24"/>
      <c r="FF267" s="24"/>
      <c r="FG267" s="24"/>
      <c r="FH267" s="24"/>
      <c r="FI267" s="24"/>
      <c r="FJ267" s="24"/>
      <c r="FK267" s="24"/>
      <c r="FL267" s="24"/>
      <c r="FM267" s="24"/>
      <c r="FN267" s="24"/>
      <c r="FO267" s="24"/>
      <c r="FP267" s="24"/>
      <c r="FQ267" s="24"/>
      <c r="FR267" s="24"/>
      <c r="FS267" s="24"/>
      <c r="FT267" s="24"/>
      <c r="FU267" s="24"/>
      <c r="FV267" s="24"/>
      <c r="FW267" s="24"/>
      <c r="FX267" s="24"/>
      <c r="FY267" s="24"/>
      <c r="FZ267" s="24"/>
      <c r="GA267" s="24"/>
      <c r="GB267" s="24"/>
      <c r="GC267" s="24"/>
      <c r="GD267" s="24"/>
      <c r="GE267" s="24"/>
      <c r="GF267" s="24"/>
      <c r="GG267" s="24"/>
      <c r="GH267" s="24"/>
      <c r="GI267" s="24"/>
      <c r="GJ267" s="24"/>
      <c r="GK267" s="24"/>
      <c r="GL267" s="24"/>
      <c r="GM267" s="24"/>
      <c r="GN267" s="24"/>
      <c r="GO267" s="24"/>
      <c r="GP267" s="24"/>
      <c r="GQ267" s="24"/>
      <c r="GR267" s="24"/>
    </row>
    <row r="268" spans="1:200" s="23" customFormat="1" ht="14.25" customHeight="1">
      <c r="A268" s="20"/>
      <c r="B268" s="21"/>
      <c r="C268" s="22"/>
      <c r="D268" s="22"/>
      <c r="E268" s="22"/>
      <c r="G268" s="22"/>
      <c r="H268" s="22"/>
      <c r="I268" s="22"/>
      <c r="K268" s="22"/>
      <c r="L268" s="22"/>
      <c r="M268" s="22"/>
      <c r="O268" s="22"/>
      <c r="P268" s="22"/>
      <c r="Q268" s="22"/>
      <c r="S268" s="22"/>
      <c r="T268" s="22"/>
      <c r="U268" s="22"/>
      <c r="W268" s="22"/>
      <c r="X268" s="22"/>
      <c r="Y268" s="22"/>
      <c r="AA268" s="22"/>
      <c r="AB268" s="22"/>
      <c r="AC268" s="22"/>
      <c r="AE268" s="24"/>
      <c r="AF268" s="24"/>
      <c r="AG268" s="24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6"/>
      <c r="AW268" s="24"/>
      <c r="AX268" s="20"/>
      <c r="AY268" s="21"/>
      <c r="AZ268" s="22"/>
      <c r="BA268" s="22"/>
      <c r="BB268" s="22"/>
      <c r="BD268" s="22"/>
      <c r="BE268" s="22"/>
      <c r="BF268" s="22"/>
      <c r="BH268" s="22"/>
      <c r="BI268" s="22"/>
      <c r="BJ268" s="22"/>
      <c r="BL268" s="22"/>
      <c r="BM268" s="22"/>
      <c r="BN268" s="22"/>
      <c r="BP268" s="22"/>
      <c r="BQ268" s="22"/>
      <c r="BR268" s="22"/>
      <c r="BT268" s="22"/>
      <c r="BU268" s="22"/>
      <c r="BV268" s="22"/>
      <c r="BX268" s="22"/>
      <c r="BY268" s="22"/>
      <c r="BZ268" s="22"/>
      <c r="CB268" s="24"/>
      <c r="CC268" s="24"/>
      <c r="CD268" s="24"/>
      <c r="CE268" s="25"/>
      <c r="CF268" s="25"/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6"/>
      <c r="CT268" s="24"/>
      <c r="CU268" s="24"/>
      <c r="CV268" s="24"/>
      <c r="CW268" s="24"/>
      <c r="CX268" s="24"/>
      <c r="CY268" s="24"/>
      <c r="CZ268" s="24"/>
      <c r="DA268" s="24"/>
      <c r="DB268" s="24"/>
      <c r="DC268" s="24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4"/>
      <c r="DP268" s="24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4"/>
      <c r="EC268" s="24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4"/>
      <c r="EP268" s="24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4"/>
      <c r="FC268" s="24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4"/>
      <c r="FP268" s="24"/>
      <c r="FQ268" s="24"/>
      <c r="FR268" s="24"/>
      <c r="FS268" s="24"/>
      <c r="FT268" s="24"/>
      <c r="FU268" s="24"/>
      <c r="FV268" s="24"/>
      <c r="FW268" s="24"/>
      <c r="FX268" s="24"/>
      <c r="FY268" s="24"/>
      <c r="FZ268" s="24"/>
      <c r="GA268" s="24"/>
      <c r="GB268" s="24"/>
      <c r="GC268" s="24"/>
      <c r="GD268" s="24"/>
      <c r="GE268" s="24"/>
      <c r="GF268" s="24"/>
      <c r="GG268" s="24"/>
      <c r="GH268" s="24"/>
      <c r="GI268" s="24"/>
      <c r="GJ268" s="24"/>
      <c r="GK268" s="24"/>
      <c r="GL268" s="24"/>
      <c r="GM268" s="24"/>
      <c r="GN268" s="24"/>
      <c r="GO268" s="24"/>
      <c r="GP268" s="24"/>
      <c r="GQ268" s="24"/>
      <c r="GR268" s="24"/>
    </row>
    <row r="269" spans="1:200" s="23" customFormat="1" ht="14.25" customHeight="1">
      <c r="A269" s="20"/>
      <c r="B269" s="21"/>
      <c r="C269" s="22"/>
      <c r="D269" s="22"/>
      <c r="E269" s="22"/>
      <c r="G269" s="22"/>
      <c r="H269" s="22"/>
      <c r="I269" s="22"/>
      <c r="K269" s="22"/>
      <c r="L269" s="22"/>
      <c r="M269" s="22"/>
      <c r="O269" s="22"/>
      <c r="P269" s="22"/>
      <c r="Q269" s="22"/>
      <c r="S269" s="22"/>
      <c r="T269" s="22"/>
      <c r="U269" s="22"/>
      <c r="W269" s="22"/>
      <c r="X269" s="22"/>
      <c r="Y269" s="22"/>
      <c r="AA269" s="22"/>
      <c r="AB269" s="22"/>
      <c r="AC269" s="22"/>
      <c r="AE269" s="24"/>
      <c r="AF269" s="24"/>
      <c r="AG269" s="24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6"/>
      <c r="AW269" s="24"/>
      <c r="AX269" s="20"/>
      <c r="AY269" s="21"/>
      <c r="AZ269" s="22"/>
      <c r="BA269" s="22"/>
      <c r="BB269" s="22"/>
      <c r="BD269" s="22"/>
      <c r="BE269" s="22"/>
      <c r="BF269" s="22"/>
      <c r="BH269" s="22"/>
      <c r="BI269" s="22"/>
      <c r="BJ269" s="22"/>
      <c r="BL269" s="22"/>
      <c r="BM269" s="22"/>
      <c r="BN269" s="22"/>
      <c r="BP269" s="22"/>
      <c r="BQ269" s="22"/>
      <c r="BR269" s="22"/>
      <c r="BT269" s="22"/>
      <c r="BU269" s="22"/>
      <c r="BV269" s="22"/>
      <c r="BX269" s="22"/>
      <c r="BY269" s="22"/>
      <c r="BZ269" s="22"/>
      <c r="CB269" s="24"/>
      <c r="CC269" s="24"/>
      <c r="CD269" s="24"/>
      <c r="CE269" s="25"/>
      <c r="CF269" s="25"/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6"/>
      <c r="CT269" s="24"/>
      <c r="CU269" s="24"/>
      <c r="CV269" s="24"/>
      <c r="CW269" s="24"/>
      <c r="CX269" s="24"/>
      <c r="CY269" s="24"/>
      <c r="CZ269" s="24"/>
      <c r="DA269" s="24"/>
      <c r="DB269" s="24"/>
      <c r="DC269" s="24"/>
      <c r="DD269" s="24"/>
      <c r="DE269" s="24"/>
      <c r="DF269" s="24"/>
      <c r="DG269" s="24"/>
      <c r="DH269" s="24"/>
      <c r="DI269" s="24"/>
      <c r="DJ269" s="24"/>
      <c r="DK269" s="24"/>
      <c r="DL269" s="24"/>
      <c r="DM269" s="24"/>
      <c r="DN269" s="24"/>
      <c r="DO269" s="24"/>
      <c r="DP269" s="24"/>
      <c r="DQ269" s="24"/>
      <c r="DR269" s="24"/>
      <c r="DS269" s="24"/>
      <c r="DT269" s="24"/>
      <c r="DU269" s="24"/>
      <c r="DV269" s="24"/>
      <c r="DW269" s="24"/>
      <c r="DX269" s="24"/>
      <c r="DY269" s="24"/>
      <c r="DZ269" s="24"/>
      <c r="EA269" s="24"/>
      <c r="EB269" s="24"/>
      <c r="EC269" s="24"/>
      <c r="ED269" s="24"/>
      <c r="EE269" s="24"/>
      <c r="EF269" s="24"/>
      <c r="EG269" s="24"/>
      <c r="EH269" s="24"/>
      <c r="EI269" s="24"/>
      <c r="EJ269" s="24"/>
      <c r="EK269" s="24"/>
      <c r="EL269" s="24"/>
      <c r="EM269" s="24"/>
      <c r="EN269" s="24"/>
      <c r="EO269" s="24"/>
      <c r="EP269" s="24"/>
      <c r="EQ269" s="24"/>
      <c r="ER269" s="24"/>
      <c r="ES269" s="24"/>
      <c r="ET269" s="24"/>
      <c r="EU269" s="24"/>
      <c r="EV269" s="24"/>
      <c r="EW269" s="24"/>
      <c r="EX269" s="24"/>
      <c r="EY269" s="24"/>
      <c r="EZ269" s="24"/>
      <c r="FA269" s="24"/>
      <c r="FB269" s="24"/>
      <c r="FC269" s="24"/>
      <c r="FD269" s="24"/>
      <c r="FE269" s="24"/>
      <c r="FF269" s="24"/>
      <c r="FG269" s="24"/>
      <c r="FH269" s="24"/>
      <c r="FI269" s="24"/>
      <c r="FJ269" s="24"/>
      <c r="FK269" s="24"/>
      <c r="FL269" s="24"/>
      <c r="FM269" s="24"/>
      <c r="FN269" s="24"/>
      <c r="FO269" s="24"/>
      <c r="FP269" s="24"/>
      <c r="FQ269" s="24"/>
      <c r="FR269" s="24"/>
      <c r="FS269" s="24"/>
      <c r="FT269" s="24"/>
      <c r="FU269" s="24"/>
      <c r="FV269" s="24"/>
      <c r="FW269" s="24"/>
      <c r="FX269" s="24"/>
      <c r="FY269" s="24"/>
      <c r="FZ269" s="24"/>
      <c r="GA269" s="24"/>
      <c r="GB269" s="24"/>
      <c r="GC269" s="24"/>
      <c r="GD269" s="24"/>
      <c r="GE269" s="24"/>
      <c r="GF269" s="24"/>
      <c r="GG269" s="24"/>
      <c r="GH269" s="24"/>
      <c r="GI269" s="24"/>
      <c r="GJ269" s="24"/>
      <c r="GK269" s="24"/>
      <c r="GL269" s="24"/>
      <c r="GM269" s="24"/>
      <c r="GN269" s="24"/>
      <c r="GO269" s="24"/>
      <c r="GP269" s="24"/>
      <c r="GQ269" s="24"/>
      <c r="GR269" s="24"/>
    </row>
    <row r="270" spans="1:200" s="23" customFormat="1" ht="14.25" customHeight="1">
      <c r="A270" s="20"/>
      <c r="B270" s="21"/>
      <c r="C270" s="22"/>
      <c r="D270" s="22"/>
      <c r="E270" s="22"/>
      <c r="G270" s="22"/>
      <c r="H270" s="22"/>
      <c r="I270" s="22"/>
      <c r="K270" s="22"/>
      <c r="L270" s="22"/>
      <c r="M270" s="22"/>
      <c r="O270" s="22"/>
      <c r="P270" s="22"/>
      <c r="Q270" s="22"/>
      <c r="S270" s="22"/>
      <c r="T270" s="22"/>
      <c r="U270" s="22"/>
      <c r="W270" s="22"/>
      <c r="X270" s="22"/>
      <c r="Y270" s="22"/>
      <c r="AA270" s="22"/>
      <c r="AB270" s="22"/>
      <c r="AC270" s="22"/>
      <c r="AE270" s="24"/>
      <c r="AF270" s="24"/>
      <c r="AG270" s="24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6"/>
      <c r="AW270" s="24"/>
      <c r="AX270" s="20"/>
      <c r="AY270" s="21"/>
      <c r="AZ270" s="22"/>
      <c r="BA270" s="22"/>
      <c r="BB270" s="22"/>
      <c r="BD270" s="22"/>
      <c r="BE270" s="22"/>
      <c r="BF270" s="22"/>
      <c r="BH270" s="22"/>
      <c r="BI270" s="22"/>
      <c r="BJ270" s="22"/>
      <c r="BL270" s="22"/>
      <c r="BM270" s="22"/>
      <c r="BN270" s="22"/>
      <c r="BP270" s="22"/>
      <c r="BQ270" s="22"/>
      <c r="BR270" s="22"/>
      <c r="BT270" s="22"/>
      <c r="BU270" s="22"/>
      <c r="BV270" s="22"/>
      <c r="BX270" s="22"/>
      <c r="BY270" s="22"/>
      <c r="BZ270" s="22"/>
      <c r="CB270" s="24"/>
      <c r="CC270" s="24"/>
      <c r="CD270" s="24"/>
      <c r="CE270" s="25"/>
      <c r="CF270" s="25"/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6"/>
      <c r="CT270" s="24"/>
      <c r="CU270" s="24"/>
      <c r="CV270" s="24"/>
      <c r="CW270" s="24"/>
      <c r="CX270" s="24"/>
      <c r="CY270" s="24"/>
      <c r="CZ270" s="24"/>
      <c r="DA270" s="24"/>
      <c r="DB270" s="24"/>
      <c r="DC270" s="24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4"/>
      <c r="DP270" s="24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4"/>
      <c r="EC270" s="24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4"/>
      <c r="EP270" s="24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4"/>
      <c r="FC270" s="24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4"/>
      <c r="FP270" s="24"/>
      <c r="FQ270" s="24"/>
      <c r="FR270" s="24"/>
      <c r="FS270" s="24"/>
      <c r="FT270" s="24"/>
      <c r="FU270" s="24"/>
      <c r="FV270" s="24"/>
      <c r="FW270" s="24"/>
      <c r="FX270" s="24"/>
      <c r="FY270" s="24"/>
      <c r="FZ270" s="24"/>
      <c r="GA270" s="24"/>
      <c r="GB270" s="24"/>
      <c r="GC270" s="24"/>
      <c r="GD270" s="24"/>
      <c r="GE270" s="24"/>
      <c r="GF270" s="24"/>
      <c r="GG270" s="24"/>
      <c r="GH270" s="24"/>
      <c r="GI270" s="24"/>
      <c r="GJ270" s="24"/>
      <c r="GK270" s="24"/>
      <c r="GL270" s="24"/>
      <c r="GM270" s="24"/>
      <c r="GN270" s="24"/>
      <c r="GO270" s="24"/>
      <c r="GP270" s="24"/>
      <c r="GQ270" s="24"/>
      <c r="GR270" s="24"/>
    </row>
    <row r="271" spans="1:200" s="23" customFormat="1" ht="14.25" customHeight="1">
      <c r="A271" s="20"/>
      <c r="B271" s="21"/>
      <c r="C271" s="22"/>
      <c r="D271" s="22"/>
      <c r="E271" s="22"/>
      <c r="G271" s="22"/>
      <c r="H271" s="22"/>
      <c r="I271" s="22"/>
      <c r="K271" s="22"/>
      <c r="L271" s="22"/>
      <c r="M271" s="22"/>
      <c r="O271" s="22"/>
      <c r="P271" s="22"/>
      <c r="Q271" s="22"/>
      <c r="S271" s="22"/>
      <c r="T271" s="22"/>
      <c r="U271" s="22"/>
      <c r="W271" s="22"/>
      <c r="X271" s="22"/>
      <c r="Y271" s="22"/>
      <c r="AA271" s="22"/>
      <c r="AB271" s="22"/>
      <c r="AC271" s="22"/>
      <c r="AE271" s="24"/>
      <c r="AF271" s="24"/>
      <c r="AG271" s="24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6"/>
      <c r="AW271" s="24"/>
      <c r="AX271" s="20"/>
      <c r="AY271" s="21"/>
      <c r="AZ271" s="22"/>
      <c r="BA271" s="22"/>
      <c r="BB271" s="22"/>
      <c r="BD271" s="22"/>
      <c r="BE271" s="22"/>
      <c r="BF271" s="22"/>
      <c r="BH271" s="22"/>
      <c r="BI271" s="22"/>
      <c r="BJ271" s="22"/>
      <c r="BL271" s="22"/>
      <c r="BM271" s="22"/>
      <c r="BN271" s="22"/>
      <c r="BP271" s="22"/>
      <c r="BQ271" s="22"/>
      <c r="BR271" s="22"/>
      <c r="BT271" s="22"/>
      <c r="BU271" s="22"/>
      <c r="BV271" s="22"/>
      <c r="BX271" s="22"/>
      <c r="BY271" s="22"/>
      <c r="BZ271" s="22"/>
      <c r="CB271" s="24"/>
      <c r="CC271" s="24"/>
      <c r="CD271" s="24"/>
      <c r="CE271" s="25"/>
      <c r="CF271" s="25"/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6"/>
      <c r="CT271" s="24"/>
      <c r="CU271" s="24"/>
      <c r="CV271" s="24"/>
      <c r="CW271" s="24"/>
      <c r="CX271" s="24"/>
      <c r="CY271" s="24"/>
      <c r="CZ271" s="24"/>
      <c r="DA271" s="24"/>
      <c r="DB271" s="24"/>
      <c r="DC271" s="24"/>
      <c r="DD271" s="24"/>
      <c r="DE271" s="24"/>
      <c r="DF271" s="24"/>
      <c r="DG271" s="24"/>
      <c r="DH271" s="24"/>
      <c r="DI271" s="24"/>
      <c r="DJ271" s="24"/>
      <c r="DK271" s="24"/>
      <c r="DL271" s="24"/>
      <c r="DM271" s="24"/>
      <c r="DN271" s="24"/>
      <c r="DO271" s="24"/>
      <c r="DP271" s="24"/>
      <c r="DQ271" s="24"/>
      <c r="DR271" s="24"/>
      <c r="DS271" s="24"/>
      <c r="DT271" s="24"/>
      <c r="DU271" s="24"/>
      <c r="DV271" s="24"/>
      <c r="DW271" s="24"/>
      <c r="DX271" s="24"/>
      <c r="DY271" s="24"/>
      <c r="DZ271" s="24"/>
      <c r="EA271" s="24"/>
      <c r="EB271" s="24"/>
      <c r="EC271" s="24"/>
      <c r="ED271" s="24"/>
      <c r="EE271" s="24"/>
      <c r="EF271" s="24"/>
      <c r="EG271" s="24"/>
      <c r="EH271" s="24"/>
      <c r="EI271" s="24"/>
      <c r="EJ271" s="24"/>
      <c r="EK271" s="24"/>
      <c r="EL271" s="24"/>
      <c r="EM271" s="24"/>
      <c r="EN271" s="24"/>
      <c r="EO271" s="24"/>
      <c r="EP271" s="24"/>
      <c r="EQ271" s="24"/>
      <c r="ER271" s="24"/>
      <c r="ES271" s="24"/>
      <c r="ET271" s="24"/>
      <c r="EU271" s="24"/>
      <c r="EV271" s="24"/>
      <c r="EW271" s="24"/>
      <c r="EX271" s="24"/>
      <c r="EY271" s="24"/>
      <c r="EZ271" s="24"/>
      <c r="FA271" s="24"/>
      <c r="FB271" s="24"/>
      <c r="FC271" s="24"/>
      <c r="FD271" s="24"/>
      <c r="FE271" s="24"/>
      <c r="FF271" s="24"/>
      <c r="FG271" s="24"/>
      <c r="FH271" s="24"/>
      <c r="FI271" s="24"/>
      <c r="FJ271" s="24"/>
      <c r="FK271" s="24"/>
      <c r="FL271" s="24"/>
      <c r="FM271" s="24"/>
      <c r="FN271" s="24"/>
      <c r="FO271" s="24"/>
      <c r="FP271" s="24"/>
      <c r="FQ271" s="24"/>
      <c r="FR271" s="24"/>
      <c r="FS271" s="24"/>
      <c r="FT271" s="24"/>
      <c r="FU271" s="24"/>
      <c r="FV271" s="24"/>
      <c r="FW271" s="24"/>
      <c r="FX271" s="24"/>
      <c r="FY271" s="24"/>
      <c r="FZ271" s="24"/>
      <c r="GA271" s="24"/>
      <c r="GB271" s="24"/>
      <c r="GC271" s="24"/>
      <c r="GD271" s="24"/>
      <c r="GE271" s="24"/>
      <c r="GF271" s="24"/>
      <c r="GG271" s="24"/>
      <c r="GH271" s="24"/>
      <c r="GI271" s="24"/>
      <c r="GJ271" s="24"/>
      <c r="GK271" s="24"/>
      <c r="GL271" s="24"/>
      <c r="GM271" s="24"/>
      <c r="GN271" s="24"/>
      <c r="GO271" s="24"/>
      <c r="GP271" s="24"/>
      <c r="GQ271" s="24"/>
      <c r="GR271" s="24"/>
    </row>
    <row r="272" spans="1:200" s="23" customFormat="1" ht="14.25" customHeight="1">
      <c r="A272" s="20"/>
      <c r="B272" s="21"/>
      <c r="C272" s="22"/>
      <c r="D272" s="22"/>
      <c r="E272" s="22"/>
      <c r="G272" s="22"/>
      <c r="H272" s="22"/>
      <c r="I272" s="22"/>
      <c r="K272" s="22"/>
      <c r="L272" s="22"/>
      <c r="M272" s="22"/>
      <c r="O272" s="22"/>
      <c r="P272" s="22"/>
      <c r="Q272" s="22"/>
      <c r="S272" s="22"/>
      <c r="T272" s="22"/>
      <c r="U272" s="22"/>
      <c r="W272" s="22"/>
      <c r="X272" s="22"/>
      <c r="Y272" s="22"/>
      <c r="AA272" s="22"/>
      <c r="AB272" s="22"/>
      <c r="AC272" s="22"/>
      <c r="AE272" s="24"/>
      <c r="AF272" s="24"/>
      <c r="AG272" s="24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6"/>
      <c r="AW272" s="24"/>
      <c r="AX272" s="20"/>
      <c r="AY272" s="21"/>
      <c r="AZ272" s="22"/>
      <c r="BA272" s="22"/>
      <c r="BB272" s="22"/>
      <c r="BD272" s="22"/>
      <c r="BE272" s="22"/>
      <c r="BF272" s="22"/>
      <c r="BH272" s="22"/>
      <c r="BI272" s="22"/>
      <c r="BJ272" s="22"/>
      <c r="BL272" s="22"/>
      <c r="BM272" s="22"/>
      <c r="BN272" s="22"/>
      <c r="BP272" s="22"/>
      <c r="BQ272" s="22"/>
      <c r="BR272" s="22"/>
      <c r="BT272" s="22"/>
      <c r="BU272" s="22"/>
      <c r="BV272" s="22"/>
      <c r="BX272" s="22"/>
      <c r="BY272" s="22"/>
      <c r="BZ272" s="22"/>
      <c r="CB272" s="24"/>
      <c r="CC272" s="24"/>
      <c r="CD272" s="24"/>
      <c r="CE272" s="25"/>
      <c r="CF272" s="25"/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6"/>
      <c r="CT272" s="24"/>
      <c r="CU272" s="24"/>
      <c r="CV272" s="24"/>
      <c r="CW272" s="24"/>
      <c r="CX272" s="24"/>
      <c r="CY272" s="24"/>
      <c r="CZ272" s="24"/>
      <c r="DA272" s="24"/>
      <c r="DB272" s="24"/>
      <c r="DC272" s="24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4"/>
      <c r="DP272" s="24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4"/>
      <c r="EC272" s="24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4"/>
      <c r="EP272" s="24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4"/>
      <c r="FC272" s="24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4"/>
      <c r="FP272" s="24"/>
      <c r="FQ272" s="24"/>
      <c r="FR272" s="24"/>
      <c r="FS272" s="24"/>
      <c r="FT272" s="24"/>
      <c r="FU272" s="24"/>
      <c r="FV272" s="24"/>
      <c r="FW272" s="24"/>
      <c r="FX272" s="24"/>
      <c r="FY272" s="24"/>
      <c r="FZ272" s="24"/>
      <c r="GA272" s="24"/>
      <c r="GB272" s="24"/>
      <c r="GC272" s="24"/>
      <c r="GD272" s="24"/>
      <c r="GE272" s="24"/>
      <c r="GF272" s="24"/>
      <c r="GG272" s="24"/>
      <c r="GH272" s="24"/>
      <c r="GI272" s="24"/>
      <c r="GJ272" s="24"/>
      <c r="GK272" s="24"/>
      <c r="GL272" s="24"/>
      <c r="GM272" s="24"/>
      <c r="GN272" s="24"/>
      <c r="GO272" s="24"/>
      <c r="GP272" s="24"/>
      <c r="GQ272" s="24"/>
      <c r="GR272" s="24"/>
    </row>
    <row r="273" spans="1:200" s="23" customFormat="1" ht="14.25" customHeight="1">
      <c r="A273" s="20"/>
      <c r="B273" s="21"/>
      <c r="C273" s="22"/>
      <c r="D273" s="22"/>
      <c r="E273" s="22"/>
      <c r="G273" s="22"/>
      <c r="H273" s="22"/>
      <c r="I273" s="22"/>
      <c r="K273" s="22"/>
      <c r="L273" s="22"/>
      <c r="M273" s="22"/>
      <c r="O273" s="22"/>
      <c r="P273" s="22"/>
      <c r="Q273" s="22"/>
      <c r="S273" s="22"/>
      <c r="T273" s="22"/>
      <c r="U273" s="22"/>
      <c r="W273" s="22"/>
      <c r="X273" s="22"/>
      <c r="Y273" s="22"/>
      <c r="AA273" s="22"/>
      <c r="AB273" s="22"/>
      <c r="AC273" s="22"/>
      <c r="AE273" s="24"/>
      <c r="AF273" s="24"/>
      <c r="AG273" s="24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6"/>
      <c r="AW273" s="24"/>
      <c r="AX273" s="20"/>
      <c r="AY273" s="21"/>
      <c r="AZ273" s="22"/>
      <c r="BA273" s="22"/>
      <c r="BB273" s="22"/>
      <c r="BD273" s="22"/>
      <c r="BE273" s="22"/>
      <c r="BF273" s="22"/>
      <c r="BH273" s="22"/>
      <c r="BI273" s="22"/>
      <c r="BJ273" s="22"/>
      <c r="BL273" s="22"/>
      <c r="BM273" s="22"/>
      <c r="BN273" s="22"/>
      <c r="BP273" s="22"/>
      <c r="BQ273" s="22"/>
      <c r="BR273" s="22"/>
      <c r="BT273" s="22"/>
      <c r="BU273" s="22"/>
      <c r="BV273" s="22"/>
      <c r="BX273" s="22"/>
      <c r="BY273" s="22"/>
      <c r="BZ273" s="22"/>
      <c r="CB273" s="24"/>
      <c r="CC273" s="24"/>
      <c r="CD273" s="24"/>
      <c r="CE273" s="25"/>
      <c r="CF273" s="25"/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6"/>
      <c r="CT273" s="24"/>
      <c r="CU273" s="24"/>
      <c r="CV273" s="24"/>
      <c r="CW273" s="24"/>
      <c r="CX273" s="24"/>
      <c r="CY273" s="24"/>
      <c r="CZ273" s="24"/>
      <c r="DA273" s="24"/>
      <c r="DB273" s="24"/>
      <c r="DC273" s="24"/>
      <c r="DD273" s="24"/>
      <c r="DE273" s="24"/>
      <c r="DF273" s="24"/>
      <c r="DG273" s="24"/>
      <c r="DH273" s="24"/>
      <c r="DI273" s="24"/>
      <c r="DJ273" s="24"/>
      <c r="DK273" s="24"/>
      <c r="DL273" s="24"/>
      <c r="DM273" s="24"/>
      <c r="DN273" s="24"/>
      <c r="DO273" s="24"/>
      <c r="DP273" s="24"/>
      <c r="DQ273" s="24"/>
      <c r="DR273" s="24"/>
      <c r="DS273" s="24"/>
      <c r="DT273" s="24"/>
      <c r="DU273" s="24"/>
      <c r="DV273" s="24"/>
      <c r="DW273" s="24"/>
      <c r="DX273" s="24"/>
      <c r="DY273" s="24"/>
      <c r="DZ273" s="24"/>
      <c r="EA273" s="24"/>
      <c r="EB273" s="24"/>
      <c r="EC273" s="24"/>
      <c r="ED273" s="24"/>
      <c r="EE273" s="24"/>
      <c r="EF273" s="24"/>
      <c r="EG273" s="24"/>
      <c r="EH273" s="24"/>
      <c r="EI273" s="24"/>
      <c r="EJ273" s="24"/>
      <c r="EK273" s="24"/>
      <c r="EL273" s="24"/>
      <c r="EM273" s="24"/>
      <c r="EN273" s="24"/>
      <c r="EO273" s="24"/>
      <c r="EP273" s="24"/>
      <c r="EQ273" s="24"/>
      <c r="ER273" s="24"/>
      <c r="ES273" s="24"/>
      <c r="ET273" s="24"/>
      <c r="EU273" s="24"/>
      <c r="EV273" s="24"/>
      <c r="EW273" s="24"/>
      <c r="EX273" s="24"/>
      <c r="EY273" s="24"/>
      <c r="EZ273" s="24"/>
      <c r="FA273" s="24"/>
      <c r="FB273" s="24"/>
      <c r="FC273" s="24"/>
      <c r="FD273" s="24"/>
      <c r="FE273" s="24"/>
      <c r="FF273" s="24"/>
      <c r="FG273" s="24"/>
      <c r="FH273" s="24"/>
      <c r="FI273" s="24"/>
      <c r="FJ273" s="24"/>
      <c r="FK273" s="24"/>
      <c r="FL273" s="24"/>
      <c r="FM273" s="24"/>
      <c r="FN273" s="24"/>
      <c r="FO273" s="24"/>
      <c r="FP273" s="24"/>
      <c r="FQ273" s="24"/>
      <c r="FR273" s="24"/>
      <c r="FS273" s="24"/>
      <c r="FT273" s="24"/>
      <c r="FU273" s="24"/>
      <c r="FV273" s="24"/>
      <c r="FW273" s="24"/>
      <c r="FX273" s="24"/>
      <c r="FY273" s="24"/>
      <c r="FZ273" s="24"/>
      <c r="GA273" s="24"/>
      <c r="GB273" s="24"/>
      <c r="GC273" s="24"/>
      <c r="GD273" s="24"/>
      <c r="GE273" s="24"/>
      <c r="GF273" s="24"/>
      <c r="GG273" s="24"/>
      <c r="GH273" s="24"/>
      <c r="GI273" s="24"/>
      <c r="GJ273" s="24"/>
      <c r="GK273" s="24"/>
      <c r="GL273" s="24"/>
      <c r="GM273" s="24"/>
      <c r="GN273" s="24"/>
      <c r="GO273" s="24"/>
      <c r="GP273" s="24"/>
      <c r="GQ273" s="24"/>
      <c r="GR273" s="24"/>
    </row>
    <row r="274" spans="1:200" s="23" customFormat="1" ht="14.25" customHeight="1">
      <c r="A274" s="20"/>
      <c r="B274" s="21"/>
      <c r="C274" s="22"/>
      <c r="D274" s="22"/>
      <c r="E274" s="22"/>
      <c r="G274" s="22"/>
      <c r="H274" s="22"/>
      <c r="I274" s="22"/>
      <c r="K274" s="22"/>
      <c r="L274" s="22"/>
      <c r="M274" s="22"/>
      <c r="O274" s="22"/>
      <c r="P274" s="22"/>
      <c r="Q274" s="22"/>
      <c r="S274" s="22"/>
      <c r="T274" s="22"/>
      <c r="U274" s="22"/>
      <c r="W274" s="22"/>
      <c r="X274" s="22"/>
      <c r="Y274" s="22"/>
      <c r="AA274" s="22"/>
      <c r="AB274" s="22"/>
      <c r="AC274" s="22"/>
      <c r="AE274" s="24"/>
      <c r="AF274" s="24"/>
      <c r="AG274" s="24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6"/>
      <c r="AW274" s="24"/>
      <c r="AX274" s="20"/>
      <c r="AY274" s="21"/>
      <c r="AZ274" s="22"/>
      <c r="BA274" s="22"/>
      <c r="BB274" s="22"/>
      <c r="BD274" s="22"/>
      <c r="BE274" s="22"/>
      <c r="BF274" s="22"/>
      <c r="BH274" s="22"/>
      <c r="BI274" s="22"/>
      <c r="BJ274" s="22"/>
      <c r="BL274" s="22"/>
      <c r="BM274" s="22"/>
      <c r="BN274" s="22"/>
      <c r="BP274" s="22"/>
      <c r="BQ274" s="22"/>
      <c r="BR274" s="22"/>
      <c r="BT274" s="22"/>
      <c r="BU274" s="22"/>
      <c r="BV274" s="22"/>
      <c r="BX274" s="22"/>
      <c r="BY274" s="22"/>
      <c r="BZ274" s="22"/>
      <c r="CB274" s="24"/>
      <c r="CC274" s="24"/>
      <c r="CD274" s="24"/>
      <c r="CE274" s="25"/>
      <c r="CF274" s="25"/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6"/>
      <c r="CT274" s="24"/>
      <c r="CU274" s="24"/>
      <c r="CV274" s="24"/>
      <c r="CW274" s="24"/>
      <c r="CX274" s="24"/>
      <c r="CY274" s="24"/>
      <c r="CZ274" s="24"/>
      <c r="DA274" s="24"/>
      <c r="DB274" s="24"/>
      <c r="DC274" s="24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4"/>
      <c r="DP274" s="24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4"/>
      <c r="EC274" s="24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4"/>
      <c r="EP274" s="24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4"/>
      <c r="FC274" s="24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4"/>
      <c r="FP274" s="24"/>
      <c r="FQ274" s="24"/>
      <c r="FR274" s="24"/>
      <c r="FS274" s="24"/>
      <c r="FT274" s="24"/>
      <c r="FU274" s="24"/>
      <c r="FV274" s="24"/>
      <c r="FW274" s="24"/>
      <c r="FX274" s="24"/>
      <c r="FY274" s="24"/>
      <c r="FZ274" s="24"/>
      <c r="GA274" s="24"/>
      <c r="GB274" s="24"/>
      <c r="GC274" s="24"/>
      <c r="GD274" s="24"/>
      <c r="GE274" s="24"/>
      <c r="GF274" s="24"/>
      <c r="GG274" s="24"/>
      <c r="GH274" s="24"/>
      <c r="GI274" s="24"/>
      <c r="GJ274" s="24"/>
      <c r="GK274" s="24"/>
      <c r="GL274" s="24"/>
      <c r="GM274" s="24"/>
      <c r="GN274" s="24"/>
      <c r="GO274" s="24"/>
      <c r="GP274" s="24"/>
      <c r="GQ274" s="24"/>
      <c r="GR274" s="24"/>
    </row>
    <row r="275" spans="1:200" s="23" customFormat="1" ht="14.25" customHeight="1">
      <c r="A275" s="20"/>
      <c r="B275" s="21"/>
      <c r="C275" s="22"/>
      <c r="D275" s="22"/>
      <c r="E275" s="22"/>
      <c r="G275" s="22"/>
      <c r="H275" s="22"/>
      <c r="I275" s="22"/>
      <c r="K275" s="22"/>
      <c r="L275" s="22"/>
      <c r="M275" s="22"/>
      <c r="O275" s="22"/>
      <c r="P275" s="22"/>
      <c r="Q275" s="22"/>
      <c r="S275" s="22"/>
      <c r="T275" s="22"/>
      <c r="U275" s="22"/>
      <c r="W275" s="22"/>
      <c r="X275" s="22"/>
      <c r="Y275" s="22"/>
      <c r="AA275" s="22"/>
      <c r="AB275" s="22"/>
      <c r="AC275" s="22"/>
      <c r="AE275" s="24"/>
      <c r="AF275" s="24"/>
      <c r="AG275" s="24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6"/>
      <c r="AW275" s="24"/>
      <c r="AX275" s="20"/>
      <c r="AY275" s="21"/>
      <c r="AZ275" s="22"/>
      <c r="BA275" s="22"/>
      <c r="BB275" s="22"/>
      <c r="BD275" s="22"/>
      <c r="BE275" s="22"/>
      <c r="BF275" s="22"/>
      <c r="BH275" s="22"/>
      <c r="BI275" s="22"/>
      <c r="BJ275" s="22"/>
      <c r="BL275" s="22"/>
      <c r="BM275" s="22"/>
      <c r="BN275" s="22"/>
      <c r="BP275" s="22"/>
      <c r="BQ275" s="22"/>
      <c r="BR275" s="22"/>
      <c r="BT275" s="22"/>
      <c r="BU275" s="22"/>
      <c r="BV275" s="22"/>
      <c r="BX275" s="22"/>
      <c r="BY275" s="22"/>
      <c r="BZ275" s="22"/>
      <c r="CB275" s="24"/>
      <c r="CC275" s="24"/>
      <c r="CD275" s="24"/>
      <c r="CE275" s="25"/>
      <c r="CF275" s="25"/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6"/>
      <c r="CT275" s="24"/>
      <c r="CU275" s="24"/>
      <c r="CV275" s="24"/>
      <c r="CW275" s="24"/>
      <c r="CX275" s="24"/>
      <c r="CY275" s="24"/>
      <c r="CZ275" s="24"/>
      <c r="DA275" s="24"/>
      <c r="DB275" s="24"/>
      <c r="DC275" s="24"/>
      <c r="DD275" s="24"/>
      <c r="DE275" s="24"/>
      <c r="DF275" s="24"/>
      <c r="DG275" s="24"/>
      <c r="DH275" s="24"/>
      <c r="DI275" s="24"/>
      <c r="DJ275" s="24"/>
      <c r="DK275" s="24"/>
      <c r="DL275" s="24"/>
      <c r="DM275" s="24"/>
      <c r="DN275" s="24"/>
      <c r="DO275" s="24"/>
      <c r="DP275" s="24"/>
      <c r="DQ275" s="24"/>
      <c r="DR275" s="24"/>
      <c r="DS275" s="24"/>
      <c r="DT275" s="24"/>
      <c r="DU275" s="24"/>
      <c r="DV275" s="24"/>
      <c r="DW275" s="24"/>
      <c r="DX275" s="24"/>
      <c r="DY275" s="24"/>
      <c r="DZ275" s="24"/>
      <c r="EA275" s="24"/>
      <c r="EB275" s="24"/>
      <c r="EC275" s="24"/>
      <c r="ED275" s="24"/>
      <c r="EE275" s="24"/>
      <c r="EF275" s="24"/>
      <c r="EG275" s="24"/>
      <c r="EH275" s="24"/>
      <c r="EI275" s="24"/>
      <c r="EJ275" s="24"/>
      <c r="EK275" s="24"/>
      <c r="EL275" s="24"/>
      <c r="EM275" s="24"/>
      <c r="EN275" s="24"/>
      <c r="EO275" s="24"/>
      <c r="EP275" s="24"/>
      <c r="EQ275" s="24"/>
      <c r="ER275" s="24"/>
      <c r="ES275" s="24"/>
      <c r="ET275" s="24"/>
      <c r="EU275" s="24"/>
      <c r="EV275" s="24"/>
      <c r="EW275" s="24"/>
      <c r="EX275" s="24"/>
      <c r="EY275" s="24"/>
      <c r="EZ275" s="24"/>
      <c r="FA275" s="24"/>
      <c r="FB275" s="24"/>
      <c r="FC275" s="24"/>
      <c r="FD275" s="24"/>
      <c r="FE275" s="24"/>
      <c r="FF275" s="24"/>
      <c r="FG275" s="24"/>
      <c r="FH275" s="24"/>
      <c r="FI275" s="24"/>
      <c r="FJ275" s="24"/>
      <c r="FK275" s="24"/>
      <c r="FL275" s="24"/>
      <c r="FM275" s="24"/>
      <c r="FN275" s="24"/>
      <c r="FO275" s="24"/>
      <c r="FP275" s="24"/>
      <c r="FQ275" s="24"/>
      <c r="FR275" s="24"/>
      <c r="FS275" s="24"/>
      <c r="FT275" s="24"/>
      <c r="FU275" s="24"/>
      <c r="FV275" s="24"/>
      <c r="FW275" s="24"/>
      <c r="FX275" s="24"/>
      <c r="FY275" s="24"/>
      <c r="FZ275" s="24"/>
      <c r="GA275" s="24"/>
      <c r="GB275" s="24"/>
      <c r="GC275" s="24"/>
      <c r="GD275" s="24"/>
      <c r="GE275" s="24"/>
      <c r="GF275" s="24"/>
      <c r="GG275" s="24"/>
      <c r="GH275" s="24"/>
      <c r="GI275" s="24"/>
      <c r="GJ275" s="24"/>
      <c r="GK275" s="24"/>
      <c r="GL275" s="24"/>
      <c r="GM275" s="24"/>
      <c r="GN275" s="24"/>
      <c r="GO275" s="24"/>
      <c r="GP275" s="24"/>
      <c r="GQ275" s="24"/>
      <c r="GR275" s="24"/>
    </row>
    <row r="276" spans="1:200" s="23" customFormat="1" ht="14.25" customHeight="1">
      <c r="A276" s="20"/>
      <c r="B276" s="21"/>
      <c r="C276" s="22"/>
      <c r="D276" s="22"/>
      <c r="E276" s="22"/>
      <c r="G276" s="22"/>
      <c r="H276" s="22"/>
      <c r="I276" s="22"/>
      <c r="K276" s="22"/>
      <c r="L276" s="22"/>
      <c r="M276" s="22"/>
      <c r="O276" s="22"/>
      <c r="P276" s="22"/>
      <c r="Q276" s="22"/>
      <c r="S276" s="22"/>
      <c r="T276" s="22"/>
      <c r="U276" s="22"/>
      <c r="W276" s="22"/>
      <c r="X276" s="22"/>
      <c r="Y276" s="22"/>
      <c r="AA276" s="22"/>
      <c r="AB276" s="22"/>
      <c r="AC276" s="22"/>
      <c r="AE276" s="24"/>
      <c r="AF276" s="24"/>
      <c r="AG276" s="24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6"/>
      <c r="AW276" s="24"/>
      <c r="AX276" s="20"/>
      <c r="AY276" s="21"/>
      <c r="AZ276" s="22"/>
      <c r="BA276" s="22"/>
      <c r="BB276" s="22"/>
      <c r="BD276" s="22"/>
      <c r="BE276" s="22"/>
      <c r="BF276" s="22"/>
      <c r="BH276" s="22"/>
      <c r="BI276" s="22"/>
      <c r="BJ276" s="22"/>
      <c r="BL276" s="22"/>
      <c r="BM276" s="22"/>
      <c r="BN276" s="22"/>
      <c r="BP276" s="22"/>
      <c r="BQ276" s="22"/>
      <c r="BR276" s="22"/>
      <c r="BT276" s="22"/>
      <c r="BU276" s="22"/>
      <c r="BV276" s="22"/>
      <c r="BX276" s="22"/>
      <c r="BY276" s="22"/>
      <c r="BZ276" s="22"/>
      <c r="CB276" s="24"/>
      <c r="CC276" s="24"/>
      <c r="CD276" s="24"/>
      <c r="CE276" s="25"/>
      <c r="CF276" s="25"/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6"/>
      <c r="CT276" s="24"/>
      <c r="CU276" s="24"/>
      <c r="CV276" s="24"/>
      <c r="CW276" s="24"/>
      <c r="CX276" s="24"/>
      <c r="CY276" s="24"/>
      <c r="CZ276" s="24"/>
      <c r="DA276" s="24"/>
      <c r="DB276" s="24"/>
      <c r="DC276" s="24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4"/>
      <c r="DP276" s="24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4"/>
      <c r="EC276" s="24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4"/>
      <c r="EP276" s="24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4"/>
      <c r="FC276" s="24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4"/>
      <c r="FP276" s="24"/>
      <c r="FQ276" s="24"/>
      <c r="FR276" s="24"/>
      <c r="FS276" s="24"/>
      <c r="FT276" s="24"/>
      <c r="FU276" s="24"/>
      <c r="FV276" s="24"/>
      <c r="FW276" s="24"/>
      <c r="FX276" s="24"/>
      <c r="FY276" s="24"/>
      <c r="FZ276" s="24"/>
      <c r="GA276" s="24"/>
      <c r="GB276" s="24"/>
      <c r="GC276" s="24"/>
      <c r="GD276" s="24"/>
      <c r="GE276" s="24"/>
      <c r="GF276" s="24"/>
      <c r="GG276" s="24"/>
      <c r="GH276" s="24"/>
      <c r="GI276" s="24"/>
      <c r="GJ276" s="24"/>
      <c r="GK276" s="24"/>
      <c r="GL276" s="24"/>
      <c r="GM276" s="24"/>
      <c r="GN276" s="24"/>
      <c r="GO276" s="24"/>
      <c r="GP276" s="24"/>
      <c r="GQ276" s="24"/>
      <c r="GR276" s="24"/>
    </row>
    <row r="277" spans="1:200" s="23" customFormat="1" ht="14.25" customHeight="1">
      <c r="A277" s="20"/>
      <c r="B277" s="21"/>
      <c r="C277" s="22"/>
      <c r="D277" s="22"/>
      <c r="E277" s="22"/>
      <c r="G277" s="22"/>
      <c r="H277" s="22"/>
      <c r="I277" s="22"/>
      <c r="K277" s="22"/>
      <c r="L277" s="22"/>
      <c r="M277" s="22"/>
      <c r="O277" s="22"/>
      <c r="P277" s="22"/>
      <c r="Q277" s="22"/>
      <c r="S277" s="22"/>
      <c r="T277" s="22"/>
      <c r="U277" s="22"/>
      <c r="W277" s="22"/>
      <c r="X277" s="22"/>
      <c r="Y277" s="22"/>
      <c r="AA277" s="22"/>
      <c r="AB277" s="22"/>
      <c r="AC277" s="22"/>
      <c r="AE277" s="24"/>
      <c r="AF277" s="24"/>
      <c r="AG277" s="24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6"/>
      <c r="AW277" s="24"/>
      <c r="AX277" s="20"/>
      <c r="AY277" s="21"/>
      <c r="AZ277" s="22"/>
      <c r="BA277" s="22"/>
      <c r="BB277" s="22"/>
      <c r="BD277" s="22"/>
      <c r="BE277" s="22"/>
      <c r="BF277" s="22"/>
      <c r="BH277" s="22"/>
      <c r="BI277" s="22"/>
      <c r="BJ277" s="22"/>
      <c r="BL277" s="22"/>
      <c r="BM277" s="22"/>
      <c r="BN277" s="22"/>
      <c r="BP277" s="22"/>
      <c r="BQ277" s="22"/>
      <c r="BR277" s="22"/>
      <c r="BT277" s="22"/>
      <c r="BU277" s="22"/>
      <c r="BV277" s="22"/>
      <c r="BX277" s="22"/>
      <c r="BY277" s="22"/>
      <c r="BZ277" s="22"/>
      <c r="CB277" s="24"/>
      <c r="CC277" s="24"/>
      <c r="CD277" s="24"/>
      <c r="CE277" s="25"/>
      <c r="CF277" s="25"/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6"/>
      <c r="CT277" s="24"/>
      <c r="CU277" s="24"/>
      <c r="CV277" s="24"/>
      <c r="CW277" s="24"/>
      <c r="CX277" s="24"/>
      <c r="CY277" s="24"/>
      <c r="CZ277" s="24"/>
      <c r="DA277" s="24"/>
      <c r="DB277" s="24"/>
      <c r="DC277" s="24"/>
      <c r="DD277" s="24"/>
      <c r="DE277" s="24"/>
      <c r="DF277" s="24"/>
      <c r="DG277" s="24"/>
      <c r="DH277" s="24"/>
      <c r="DI277" s="24"/>
      <c r="DJ277" s="24"/>
      <c r="DK277" s="24"/>
      <c r="DL277" s="24"/>
      <c r="DM277" s="24"/>
      <c r="DN277" s="24"/>
      <c r="DO277" s="24"/>
      <c r="DP277" s="24"/>
      <c r="DQ277" s="24"/>
      <c r="DR277" s="24"/>
      <c r="DS277" s="24"/>
      <c r="DT277" s="24"/>
      <c r="DU277" s="24"/>
      <c r="DV277" s="24"/>
      <c r="DW277" s="24"/>
      <c r="DX277" s="24"/>
      <c r="DY277" s="24"/>
      <c r="DZ277" s="24"/>
      <c r="EA277" s="24"/>
      <c r="EB277" s="24"/>
      <c r="EC277" s="24"/>
      <c r="ED277" s="24"/>
      <c r="EE277" s="24"/>
      <c r="EF277" s="24"/>
      <c r="EG277" s="24"/>
      <c r="EH277" s="24"/>
      <c r="EI277" s="24"/>
      <c r="EJ277" s="24"/>
      <c r="EK277" s="24"/>
      <c r="EL277" s="24"/>
      <c r="EM277" s="24"/>
      <c r="EN277" s="24"/>
      <c r="EO277" s="24"/>
      <c r="EP277" s="24"/>
      <c r="EQ277" s="24"/>
      <c r="ER277" s="24"/>
      <c r="ES277" s="24"/>
      <c r="ET277" s="24"/>
      <c r="EU277" s="24"/>
      <c r="EV277" s="24"/>
      <c r="EW277" s="24"/>
      <c r="EX277" s="24"/>
      <c r="EY277" s="24"/>
      <c r="EZ277" s="24"/>
      <c r="FA277" s="24"/>
      <c r="FB277" s="24"/>
      <c r="FC277" s="24"/>
      <c r="FD277" s="24"/>
      <c r="FE277" s="24"/>
      <c r="FF277" s="24"/>
      <c r="FG277" s="24"/>
      <c r="FH277" s="24"/>
      <c r="FI277" s="24"/>
      <c r="FJ277" s="24"/>
      <c r="FK277" s="24"/>
      <c r="FL277" s="24"/>
      <c r="FM277" s="24"/>
      <c r="FN277" s="24"/>
      <c r="FO277" s="24"/>
      <c r="FP277" s="24"/>
      <c r="FQ277" s="24"/>
      <c r="FR277" s="24"/>
      <c r="FS277" s="24"/>
      <c r="FT277" s="24"/>
      <c r="FU277" s="24"/>
      <c r="FV277" s="24"/>
      <c r="FW277" s="24"/>
      <c r="FX277" s="24"/>
      <c r="FY277" s="24"/>
      <c r="FZ277" s="24"/>
      <c r="GA277" s="24"/>
      <c r="GB277" s="24"/>
      <c r="GC277" s="24"/>
      <c r="GD277" s="24"/>
      <c r="GE277" s="24"/>
      <c r="GF277" s="24"/>
      <c r="GG277" s="24"/>
      <c r="GH277" s="24"/>
      <c r="GI277" s="24"/>
      <c r="GJ277" s="24"/>
      <c r="GK277" s="24"/>
      <c r="GL277" s="24"/>
      <c r="GM277" s="24"/>
      <c r="GN277" s="24"/>
      <c r="GO277" s="24"/>
      <c r="GP277" s="24"/>
      <c r="GQ277" s="24"/>
      <c r="GR277" s="24"/>
    </row>
    <row r="278" spans="1:200" s="23" customFormat="1" ht="14.25" customHeight="1">
      <c r="A278" s="20"/>
      <c r="B278" s="21"/>
      <c r="C278" s="22"/>
      <c r="D278" s="22"/>
      <c r="E278" s="22"/>
      <c r="G278" s="22"/>
      <c r="H278" s="22"/>
      <c r="I278" s="22"/>
      <c r="K278" s="22"/>
      <c r="L278" s="22"/>
      <c r="M278" s="22"/>
      <c r="O278" s="22"/>
      <c r="P278" s="22"/>
      <c r="Q278" s="22"/>
      <c r="S278" s="22"/>
      <c r="T278" s="22"/>
      <c r="U278" s="22"/>
      <c r="W278" s="22"/>
      <c r="X278" s="22"/>
      <c r="Y278" s="22"/>
      <c r="AA278" s="22"/>
      <c r="AB278" s="22"/>
      <c r="AC278" s="22"/>
      <c r="AE278" s="24"/>
      <c r="AF278" s="24"/>
      <c r="AG278" s="24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6"/>
      <c r="AW278" s="24"/>
      <c r="AX278" s="20"/>
      <c r="AY278" s="21"/>
      <c r="AZ278" s="22"/>
      <c r="BA278" s="22"/>
      <c r="BB278" s="22"/>
      <c r="BD278" s="22"/>
      <c r="BE278" s="22"/>
      <c r="BF278" s="22"/>
      <c r="BH278" s="22"/>
      <c r="BI278" s="22"/>
      <c r="BJ278" s="22"/>
      <c r="BL278" s="22"/>
      <c r="BM278" s="22"/>
      <c r="BN278" s="22"/>
      <c r="BP278" s="22"/>
      <c r="BQ278" s="22"/>
      <c r="BR278" s="22"/>
      <c r="BT278" s="22"/>
      <c r="BU278" s="22"/>
      <c r="BV278" s="22"/>
      <c r="BX278" s="22"/>
      <c r="BY278" s="22"/>
      <c r="BZ278" s="22"/>
      <c r="CB278" s="24"/>
      <c r="CC278" s="24"/>
      <c r="CD278" s="24"/>
      <c r="CE278" s="25"/>
      <c r="CF278" s="25"/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6"/>
      <c r="CT278" s="24"/>
      <c r="CU278" s="24"/>
      <c r="CV278" s="24"/>
      <c r="CW278" s="24"/>
      <c r="CX278" s="24"/>
      <c r="CY278" s="24"/>
      <c r="CZ278" s="24"/>
      <c r="DA278" s="24"/>
      <c r="DB278" s="24"/>
      <c r="DC278" s="24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4"/>
      <c r="DP278" s="24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4"/>
      <c r="EC278" s="24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4"/>
      <c r="EP278" s="24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4"/>
      <c r="FC278" s="24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4"/>
      <c r="FP278" s="24"/>
      <c r="FQ278" s="24"/>
      <c r="FR278" s="24"/>
      <c r="FS278" s="24"/>
      <c r="FT278" s="24"/>
      <c r="FU278" s="24"/>
      <c r="FV278" s="24"/>
      <c r="FW278" s="24"/>
      <c r="FX278" s="24"/>
      <c r="FY278" s="24"/>
      <c r="FZ278" s="24"/>
      <c r="GA278" s="24"/>
      <c r="GB278" s="24"/>
      <c r="GC278" s="24"/>
      <c r="GD278" s="24"/>
      <c r="GE278" s="24"/>
      <c r="GF278" s="24"/>
      <c r="GG278" s="24"/>
      <c r="GH278" s="24"/>
      <c r="GI278" s="24"/>
      <c r="GJ278" s="24"/>
      <c r="GK278" s="24"/>
      <c r="GL278" s="24"/>
      <c r="GM278" s="24"/>
      <c r="GN278" s="24"/>
      <c r="GO278" s="24"/>
      <c r="GP278" s="24"/>
      <c r="GQ278" s="24"/>
      <c r="GR278" s="24"/>
    </row>
    <row r="279" spans="1:200" s="23" customFormat="1" ht="14.25" customHeight="1">
      <c r="A279" s="20"/>
      <c r="B279" s="21"/>
      <c r="C279" s="22"/>
      <c r="D279" s="22"/>
      <c r="E279" s="22"/>
      <c r="G279" s="22"/>
      <c r="H279" s="22"/>
      <c r="I279" s="22"/>
      <c r="K279" s="22"/>
      <c r="L279" s="22"/>
      <c r="M279" s="22"/>
      <c r="O279" s="22"/>
      <c r="P279" s="22"/>
      <c r="Q279" s="22"/>
      <c r="S279" s="22"/>
      <c r="T279" s="22"/>
      <c r="U279" s="22"/>
      <c r="W279" s="22"/>
      <c r="X279" s="22"/>
      <c r="Y279" s="22"/>
      <c r="AA279" s="22"/>
      <c r="AB279" s="22"/>
      <c r="AC279" s="22"/>
      <c r="AE279" s="24"/>
      <c r="AF279" s="24"/>
      <c r="AG279" s="24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6"/>
      <c r="AW279" s="24"/>
      <c r="AX279" s="20"/>
      <c r="AY279" s="21"/>
      <c r="AZ279" s="22"/>
      <c r="BA279" s="22"/>
      <c r="BB279" s="22"/>
      <c r="BD279" s="22"/>
      <c r="BE279" s="22"/>
      <c r="BF279" s="22"/>
      <c r="BH279" s="22"/>
      <c r="BI279" s="22"/>
      <c r="BJ279" s="22"/>
      <c r="BL279" s="22"/>
      <c r="BM279" s="22"/>
      <c r="BN279" s="22"/>
      <c r="BP279" s="22"/>
      <c r="BQ279" s="22"/>
      <c r="BR279" s="22"/>
      <c r="BT279" s="22"/>
      <c r="BU279" s="22"/>
      <c r="BV279" s="22"/>
      <c r="BX279" s="22"/>
      <c r="BY279" s="22"/>
      <c r="BZ279" s="22"/>
      <c r="CB279" s="24"/>
      <c r="CC279" s="24"/>
      <c r="CD279" s="24"/>
      <c r="CE279" s="25"/>
      <c r="CF279" s="25"/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6"/>
      <c r="CT279" s="24"/>
      <c r="CU279" s="24"/>
      <c r="CV279" s="24"/>
      <c r="CW279" s="24"/>
      <c r="CX279" s="24"/>
      <c r="CY279" s="24"/>
      <c r="CZ279" s="24"/>
      <c r="DA279" s="24"/>
      <c r="DB279" s="24"/>
      <c r="DC279" s="24"/>
      <c r="DD279" s="24"/>
      <c r="DE279" s="24"/>
      <c r="DF279" s="24"/>
      <c r="DG279" s="24"/>
      <c r="DH279" s="24"/>
      <c r="DI279" s="24"/>
      <c r="DJ279" s="24"/>
      <c r="DK279" s="24"/>
      <c r="DL279" s="24"/>
      <c r="DM279" s="24"/>
      <c r="DN279" s="24"/>
      <c r="DO279" s="24"/>
      <c r="DP279" s="24"/>
      <c r="DQ279" s="24"/>
      <c r="DR279" s="24"/>
      <c r="DS279" s="24"/>
      <c r="DT279" s="24"/>
      <c r="DU279" s="24"/>
      <c r="DV279" s="24"/>
      <c r="DW279" s="24"/>
      <c r="DX279" s="24"/>
      <c r="DY279" s="24"/>
      <c r="DZ279" s="24"/>
      <c r="EA279" s="24"/>
      <c r="EB279" s="24"/>
      <c r="EC279" s="24"/>
      <c r="ED279" s="24"/>
      <c r="EE279" s="24"/>
      <c r="EF279" s="24"/>
      <c r="EG279" s="24"/>
      <c r="EH279" s="24"/>
      <c r="EI279" s="24"/>
      <c r="EJ279" s="24"/>
      <c r="EK279" s="24"/>
      <c r="EL279" s="24"/>
      <c r="EM279" s="24"/>
      <c r="EN279" s="24"/>
      <c r="EO279" s="24"/>
      <c r="EP279" s="24"/>
      <c r="EQ279" s="24"/>
      <c r="ER279" s="24"/>
      <c r="ES279" s="24"/>
      <c r="ET279" s="24"/>
      <c r="EU279" s="24"/>
      <c r="EV279" s="24"/>
      <c r="EW279" s="24"/>
      <c r="EX279" s="24"/>
      <c r="EY279" s="24"/>
      <c r="EZ279" s="24"/>
      <c r="FA279" s="24"/>
      <c r="FB279" s="24"/>
      <c r="FC279" s="24"/>
      <c r="FD279" s="24"/>
      <c r="FE279" s="24"/>
      <c r="FF279" s="24"/>
      <c r="FG279" s="24"/>
      <c r="FH279" s="24"/>
      <c r="FI279" s="24"/>
      <c r="FJ279" s="24"/>
      <c r="FK279" s="24"/>
      <c r="FL279" s="24"/>
      <c r="FM279" s="24"/>
      <c r="FN279" s="24"/>
      <c r="FO279" s="24"/>
      <c r="FP279" s="24"/>
      <c r="FQ279" s="24"/>
      <c r="FR279" s="24"/>
      <c r="FS279" s="24"/>
      <c r="FT279" s="24"/>
      <c r="FU279" s="24"/>
      <c r="FV279" s="24"/>
      <c r="FW279" s="24"/>
      <c r="FX279" s="24"/>
      <c r="FY279" s="24"/>
      <c r="FZ279" s="24"/>
      <c r="GA279" s="24"/>
      <c r="GB279" s="24"/>
      <c r="GC279" s="24"/>
      <c r="GD279" s="24"/>
      <c r="GE279" s="24"/>
      <c r="GF279" s="24"/>
      <c r="GG279" s="24"/>
      <c r="GH279" s="24"/>
      <c r="GI279" s="24"/>
      <c r="GJ279" s="24"/>
      <c r="GK279" s="24"/>
      <c r="GL279" s="24"/>
      <c r="GM279" s="24"/>
      <c r="GN279" s="24"/>
      <c r="GO279" s="24"/>
      <c r="GP279" s="24"/>
      <c r="GQ279" s="24"/>
      <c r="GR279" s="24"/>
    </row>
    <row r="280" spans="1:200" s="23" customFormat="1" ht="14.25" customHeight="1">
      <c r="A280" s="20"/>
      <c r="B280" s="21"/>
      <c r="C280" s="22"/>
      <c r="D280" s="22"/>
      <c r="E280" s="22"/>
      <c r="G280" s="22"/>
      <c r="H280" s="22"/>
      <c r="I280" s="22"/>
      <c r="K280" s="22"/>
      <c r="L280" s="22"/>
      <c r="M280" s="22"/>
      <c r="O280" s="22"/>
      <c r="P280" s="22"/>
      <c r="Q280" s="22"/>
      <c r="S280" s="22"/>
      <c r="T280" s="22"/>
      <c r="U280" s="22"/>
      <c r="W280" s="22"/>
      <c r="X280" s="22"/>
      <c r="Y280" s="22"/>
      <c r="AA280" s="22"/>
      <c r="AB280" s="22"/>
      <c r="AC280" s="22"/>
      <c r="AE280" s="24"/>
      <c r="AF280" s="24"/>
      <c r="AG280" s="24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6"/>
      <c r="AW280" s="24"/>
      <c r="AX280" s="20"/>
      <c r="AY280" s="21"/>
      <c r="AZ280" s="22"/>
      <c r="BA280" s="22"/>
      <c r="BB280" s="22"/>
      <c r="BD280" s="22"/>
      <c r="BE280" s="22"/>
      <c r="BF280" s="22"/>
      <c r="BH280" s="22"/>
      <c r="BI280" s="22"/>
      <c r="BJ280" s="22"/>
      <c r="BL280" s="22"/>
      <c r="BM280" s="22"/>
      <c r="BN280" s="22"/>
      <c r="BP280" s="22"/>
      <c r="BQ280" s="22"/>
      <c r="BR280" s="22"/>
      <c r="BT280" s="22"/>
      <c r="BU280" s="22"/>
      <c r="BV280" s="22"/>
      <c r="BX280" s="22"/>
      <c r="BY280" s="22"/>
      <c r="BZ280" s="22"/>
      <c r="CB280" s="24"/>
      <c r="CC280" s="24"/>
      <c r="CD280" s="24"/>
      <c r="CE280" s="25"/>
      <c r="CF280" s="25"/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6"/>
      <c r="CT280" s="24"/>
      <c r="CU280" s="24"/>
      <c r="CV280" s="24"/>
      <c r="CW280" s="24"/>
      <c r="CX280" s="24"/>
      <c r="CY280" s="24"/>
      <c r="CZ280" s="24"/>
      <c r="DA280" s="24"/>
      <c r="DB280" s="24"/>
      <c r="DC280" s="24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4"/>
      <c r="DP280" s="24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4"/>
      <c r="EC280" s="24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4"/>
      <c r="EP280" s="24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4"/>
      <c r="FC280" s="24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4"/>
      <c r="FP280" s="24"/>
      <c r="FQ280" s="24"/>
      <c r="FR280" s="24"/>
      <c r="FS280" s="24"/>
      <c r="FT280" s="24"/>
      <c r="FU280" s="24"/>
      <c r="FV280" s="24"/>
      <c r="FW280" s="24"/>
      <c r="FX280" s="24"/>
      <c r="FY280" s="24"/>
      <c r="FZ280" s="24"/>
      <c r="GA280" s="24"/>
      <c r="GB280" s="24"/>
      <c r="GC280" s="24"/>
      <c r="GD280" s="24"/>
      <c r="GE280" s="24"/>
      <c r="GF280" s="24"/>
      <c r="GG280" s="24"/>
      <c r="GH280" s="24"/>
      <c r="GI280" s="24"/>
      <c r="GJ280" s="24"/>
      <c r="GK280" s="24"/>
      <c r="GL280" s="24"/>
      <c r="GM280" s="24"/>
      <c r="GN280" s="24"/>
      <c r="GO280" s="24"/>
      <c r="GP280" s="24"/>
      <c r="GQ280" s="24"/>
      <c r="GR280" s="24"/>
    </row>
    <row r="281" spans="1:200" s="23" customFormat="1" ht="14.25" customHeight="1">
      <c r="A281" s="20"/>
      <c r="B281" s="21"/>
      <c r="C281" s="22"/>
      <c r="D281" s="22"/>
      <c r="E281" s="22"/>
      <c r="G281" s="22"/>
      <c r="H281" s="22"/>
      <c r="I281" s="22"/>
      <c r="K281" s="22"/>
      <c r="L281" s="22"/>
      <c r="M281" s="22"/>
      <c r="O281" s="22"/>
      <c r="P281" s="22"/>
      <c r="Q281" s="22"/>
      <c r="S281" s="22"/>
      <c r="T281" s="22"/>
      <c r="U281" s="22"/>
      <c r="W281" s="22"/>
      <c r="X281" s="22"/>
      <c r="Y281" s="22"/>
      <c r="AA281" s="22"/>
      <c r="AB281" s="22"/>
      <c r="AC281" s="22"/>
      <c r="AE281" s="24"/>
      <c r="AF281" s="24"/>
      <c r="AG281" s="24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6"/>
      <c r="AW281" s="24"/>
      <c r="AX281" s="20"/>
      <c r="AY281" s="21"/>
      <c r="AZ281" s="22"/>
      <c r="BA281" s="22"/>
      <c r="BB281" s="22"/>
      <c r="BD281" s="22"/>
      <c r="BE281" s="22"/>
      <c r="BF281" s="22"/>
      <c r="BH281" s="22"/>
      <c r="BI281" s="22"/>
      <c r="BJ281" s="22"/>
      <c r="BL281" s="22"/>
      <c r="BM281" s="22"/>
      <c r="BN281" s="22"/>
      <c r="BP281" s="22"/>
      <c r="BQ281" s="22"/>
      <c r="BR281" s="22"/>
      <c r="BT281" s="22"/>
      <c r="BU281" s="22"/>
      <c r="BV281" s="22"/>
      <c r="BX281" s="22"/>
      <c r="BY281" s="22"/>
      <c r="BZ281" s="22"/>
      <c r="CB281" s="24"/>
      <c r="CC281" s="24"/>
      <c r="CD281" s="24"/>
      <c r="CE281" s="25"/>
      <c r="CF281" s="25"/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6"/>
      <c r="CT281" s="24"/>
      <c r="CU281" s="24"/>
      <c r="CV281" s="24"/>
      <c r="CW281" s="24"/>
      <c r="CX281" s="24"/>
      <c r="CY281" s="24"/>
      <c r="CZ281" s="24"/>
      <c r="DA281" s="24"/>
      <c r="DB281" s="24"/>
      <c r="DC281" s="24"/>
      <c r="DD281" s="24"/>
      <c r="DE281" s="24"/>
      <c r="DF281" s="24"/>
      <c r="DG281" s="24"/>
      <c r="DH281" s="24"/>
      <c r="DI281" s="24"/>
      <c r="DJ281" s="24"/>
      <c r="DK281" s="24"/>
      <c r="DL281" s="24"/>
      <c r="DM281" s="24"/>
      <c r="DN281" s="24"/>
      <c r="DO281" s="24"/>
      <c r="DP281" s="24"/>
      <c r="DQ281" s="24"/>
      <c r="DR281" s="24"/>
      <c r="DS281" s="24"/>
      <c r="DT281" s="24"/>
      <c r="DU281" s="24"/>
      <c r="DV281" s="24"/>
      <c r="DW281" s="24"/>
      <c r="DX281" s="24"/>
      <c r="DY281" s="24"/>
      <c r="DZ281" s="24"/>
      <c r="EA281" s="24"/>
      <c r="EB281" s="24"/>
      <c r="EC281" s="24"/>
      <c r="ED281" s="24"/>
      <c r="EE281" s="24"/>
      <c r="EF281" s="24"/>
      <c r="EG281" s="24"/>
      <c r="EH281" s="24"/>
      <c r="EI281" s="24"/>
      <c r="EJ281" s="24"/>
      <c r="EK281" s="24"/>
      <c r="EL281" s="24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  <c r="FZ281" s="24"/>
      <c r="GA281" s="24"/>
      <c r="GB281" s="24"/>
      <c r="GC281" s="24"/>
      <c r="GD281" s="24"/>
      <c r="GE281" s="24"/>
      <c r="GF281" s="24"/>
      <c r="GG281" s="24"/>
      <c r="GH281" s="24"/>
      <c r="GI281" s="24"/>
      <c r="GJ281" s="24"/>
      <c r="GK281" s="24"/>
      <c r="GL281" s="24"/>
      <c r="GM281" s="24"/>
      <c r="GN281" s="24"/>
      <c r="GO281" s="24"/>
      <c r="GP281" s="24"/>
      <c r="GQ281" s="24"/>
      <c r="GR281" s="24"/>
    </row>
    <row r="282" spans="1:200" s="23" customFormat="1" ht="14.25" customHeight="1">
      <c r="A282" s="20"/>
      <c r="B282" s="21"/>
      <c r="C282" s="22"/>
      <c r="D282" s="22"/>
      <c r="E282" s="22"/>
      <c r="G282" s="22"/>
      <c r="H282" s="22"/>
      <c r="I282" s="22"/>
      <c r="K282" s="22"/>
      <c r="L282" s="22"/>
      <c r="M282" s="22"/>
      <c r="O282" s="22"/>
      <c r="P282" s="22"/>
      <c r="Q282" s="22"/>
      <c r="S282" s="22"/>
      <c r="T282" s="22"/>
      <c r="U282" s="22"/>
      <c r="W282" s="22"/>
      <c r="X282" s="22"/>
      <c r="Y282" s="22"/>
      <c r="AA282" s="22"/>
      <c r="AB282" s="22"/>
      <c r="AC282" s="22"/>
      <c r="AE282" s="24"/>
      <c r="AF282" s="24"/>
      <c r="AG282" s="24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6"/>
      <c r="AW282" s="24"/>
      <c r="AX282" s="20"/>
      <c r="AY282" s="21"/>
      <c r="AZ282" s="22"/>
      <c r="BA282" s="22"/>
      <c r="BB282" s="22"/>
      <c r="BD282" s="22"/>
      <c r="BE282" s="22"/>
      <c r="BF282" s="22"/>
      <c r="BH282" s="22"/>
      <c r="BI282" s="22"/>
      <c r="BJ282" s="22"/>
      <c r="BL282" s="22"/>
      <c r="BM282" s="22"/>
      <c r="BN282" s="22"/>
      <c r="BP282" s="22"/>
      <c r="BQ282" s="22"/>
      <c r="BR282" s="22"/>
      <c r="BT282" s="22"/>
      <c r="BU282" s="22"/>
      <c r="BV282" s="22"/>
      <c r="BX282" s="22"/>
      <c r="BY282" s="22"/>
      <c r="BZ282" s="22"/>
      <c r="CB282" s="24"/>
      <c r="CC282" s="24"/>
      <c r="CD282" s="24"/>
      <c r="CE282" s="25"/>
      <c r="CF282" s="25"/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6"/>
      <c r="CT282" s="24"/>
      <c r="CU282" s="24"/>
      <c r="CV282" s="24"/>
      <c r="CW282" s="24"/>
      <c r="CX282" s="24"/>
      <c r="CY282" s="24"/>
      <c r="CZ282" s="24"/>
      <c r="DA282" s="24"/>
      <c r="DB282" s="24"/>
      <c r="DC282" s="24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4"/>
      <c r="DP282" s="24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4"/>
      <c r="EC282" s="24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4"/>
      <c r="EP282" s="24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4"/>
      <c r="FC282" s="24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4"/>
      <c r="FP282" s="24"/>
      <c r="FQ282" s="24"/>
      <c r="FR282" s="24"/>
      <c r="FS282" s="24"/>
      <c r="FT282" s="24"/>
      <c r="FU282" s="24"/>
      <c r="FV282" s="24"/>
      <c r="FW282" s="24"/>
      <c r="FX282" s="24"/>
      <c r="FY282" s="24"/>
      <c r="FZ282" s="24"/>
      <c r="GA282" s="24"/>
      <c r="GB282" s="24"/>
      <c r="GC282" s="24"/>
      <c r="GD282" s="24"/>
      <c r="GE282" s="24"/>
      <c r="GF282" s="24"/>
      <c r="GG282" s="24"/>
      <c r="GH282" s="24"/>
      <c r="GI282" s="24"/>
      <c r="GJ282" s="24"/>
      <c r="GK282" s="24"/>
      <c r="GL282" s="24"/>
      <c r="GM282" s="24"/>
      <c r="GN282" s="24"/>
      <c r="GO282" s="24"/>
      <c r="GP282" s="24"/>
      <c r="GQ282" s="24"/>
      <c r="GR282" s="24"/>
    </row>
    <row r="283" spans="1:200" s="23" customFormat="1" ht="14.25" customHeight="1">
      <c r="A283" s="20"/>
      <c r="B283" s="21"/>
      <c r="C283" s="22"/>
      <c r="D283" s="22"/>
      <c r="E283" s="22"/>
      <c r="G283" s="22"/>
      <c r="H283" s="22"/>
      <c r="I283" s="22"/>
      <c r="K283" s="22"/>
      <c r="L283" s="22"/>
      <c r="M283" s="22"/>
      <c r="O283" s="22"/>
      <c r="P283" s="22"/>
      <c r="Q283" s="22"/>
      <c r="S283" s="22"/>
      <c r="T283" s="22"/>
      <c r="U283" s="22"/>
      <c r="W283" s="22"/>
      <c r="X283" s="22"/>
      <c r="Y283" s="22"/>
      <c r="AA283" s="22"/>
      <c r="AB283" s="22"/>
      <c r="AC283" s="22"/>
      <c r="AE283" s="24"/>
      <c r="AF283" s="24"/>
      <c r="AG283" s="24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6"/>
      <c r="AW283" s="24"/>
      <c r="AX283" s="20"/>
      <c r="AY283" s="21"/>
      <c r="AZ283" s="22"/>
      <c r="BA283" s="22"/>
      <c r="BB283" s="22"/>
      <c r="BD283" s="22"/>
      <c r="BE283" s="22"/>
      <c r="BF283" s="22"/>
      <c r="BH283" s="22"/>
      <c r="BI283" s="22"/>
      <c r="BJ283" s="22"/>
      <c r="BL283" s="22"/>
      <c r="BM283" s="22"/>
      <c r="BN283" s="22"/>
      <c r="BP283" s="22"/>
      <c r="BQ283" s="22"/>
      <c r="BR283" s="22"/>
      <c r="BT283" s="22"/>
      <c r="BU283" s="22"/>
      <c r="BV283" s="22"/>
      <c r="BX283" s="22"/>
      <c r="BY283" s="22"/>
      <c r="BZ283" s="22"/>
      <c r="CB283" s="24"/>
      <c r="CC283" s="24"/>
      <c r="CD283" s="24"/>
      <c r="CE283" s="25"/>
      <c r="CF283" s="25"/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6"/>
      <c r="CT283" s="24"/>
      <c r="CU283" s="24"/>
      <c r="CV283" s="24"/>
      <c r="CW283" s="24"/>
      <c r="CX283" s="24"/>
      <c r="CY283" s="24"/>
      <c r="CZ283" s="24"/>
      <c r="DA283" s="24"/>
      <c r="DB283" s="24"/>
      <c r="DC283" s="24"/>
      <c r="DD283" s="24"/>
      <c r="DE283" s="24"/>
      <c r="DF283" s="24"/>
      <c r="DG283" s="24"/>
      <c r="DH283" s="24"/>
      <c r="DI283" s="24"/>
      <c r="DJ283" s="24"/>
      <c r="DK283" s="24"/>
      <c r="DL283" s="24"/>
      <c r="DM283" s="24"/>
      <c r="DN283" s="24"/>
      <c r="DO283" s="24"/>
      <c r="DP283" s="24"/>
      <c r="DQ283" s="24"/>
      <c r="DR283" s="24"/>
      <c r="DS283" s="24"/>
      <c r="DT283" s="24"/>
      <c r="DU283" s="24"/>
      <c r="DV283" s="24"/>
      <c r="DW283" s="24"/>
      <c r="DX283" s="24"/>
      <c r="DY283" s="24"/>
      <c r="DZ283" s="24"/>
      <c r="EA283" s="24"/>
      <c r="EB283" s="24"/>
      <c r="EC283" s="24"/>
      <c r="ED283" s="24"/>
      <c r="EE283" s="24"/>
      <c r="EF283" s="24"/>
      <c r="EG283" s="24"/>
      <c r="EH283" s="24"/>
      <c r="EI283" s="24"/>
      <c r="EJ283" s="24"/>
      <c r="EK283" s="24"/>
      <c r="EL283" s="24"/>
      <c r="EM283" s="24"/>
      <c r="EN283" s="24"/>
      <c r="EO283" s="24"/>
      <c r="EP283" s="24"/>
      <c r="EQ283" s="24"/>
      <c r="ER283" s="24"/>
      <c r="ES283" s="24"/>
      <c r="ET283" s="24"/>
      <c r="EU283" s="24"/>
      <c r="EV283" s="24"/>
      <c r="EW283" s="24"/>
      <c r="EX283" s="24"/>
      <c r="EY283" s="24"/>
      <c r="EZ283" s="24"/>
      <c r="FA283" s="24"/>
      <c r="FB283" s="24"/>
      <c r="FC283" s="24"/>
      <c r="FD283" s="24"/>
      <c r="FE283" s="24"/>
      <c r="FF283" s="24"/>
      <c r="FG283" s="24"/>
      <c r="FH283" s="24"/>
      <c r="FI283" s="24"/>
      <c r="FJ283" s="24"/>
      <c r="FK283" s="24"/>
      <c r="FL283" s="24"/>
      <c r="FM283" s="24"/>
      <c r="FN283" s="24"/>
      <c r="FO283" s="24"/>
      <c r="FP283" s="24"/>
      <c r="FQ283" s="24"/>
      <c r="FR283" s="24"/>
      <c r="FS283" s="24"/>
      <c r="FT283" s="24"/>
      <c r="FU283" s="24"/>
      <c r="FV283" s="24"/>
      <c r="FW283" s="24"/>
      <c r="FX283" s="24"/>
      <c r="FY283" s="24"/>
      <c r="FZ283" s="24"/>
      <c r="GA283" s="24"/>
      <c r="GB283" s="24"/>
      <c r="GC283" s="24"/>
      <c r="GD283" s="24"/>
      <c r="GE283" s="24"/>
      <c r="GF283" s="24"/>
      <c r="GG283" s="24"/>
      <c r="GH283" s="24"/>
      <c r="GI283" s="24"/>
      <c r="GJ283" s="24"/>
      <c r="GK283" s="24"/>
      <c r="GL283" s="24"/>
      <c r="GM283" s="24"/>
      <c r="GN283" s="24"/>
      <c r="GO283" s="24"/>
      <c r="GP283" s="24"/>
      <c r="GQ283" s="24"/>
      <c r="GR283" s="24"/>
    </row>
    <row r="284" spans="1:200" s="23" customFormat="1" ht="14.25" customHeight="1">
      <c r="A284" s="20"/>
      <c r="B284" s="21"/>
      <c r="C284" s="22"/>
      <c r="D284" s="22"/>
      <c r="E284" s="22"/>
      <c r="G284" s="22"/>
      <c r="H284" s="22"/>
      <c r="I284" s="22"/>
      <c r="K284" s="22"/>
      <c r="L284" s="22"/>
      <c r="M284" s="22"/>
      <c r="O284" s="22"/>
      <c r="P284" s="22"/>
      <c r="Q284" s="22"/>
      <c r="S284" s="22"/>
      <c r="T284" s="22"/>
      <c r="U284" s="22"/>
      <c r="W284" s="22"/>
      <c r="X284" s="22"/>
      <c r="Y284" s="22"/>
      <c r="AA284" s="22"/>
      <c r="AB284" s="22"/>
      <c r="AC284" s="22"/>
      <c r="AE284" s="24"/>
      <c r="AF284" s="24"/>
      <c r="AG284" s="24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6"/>
      <c r="AW284" s="24"/>
      <c r="AX284" s="20"/>
      <c r="AY284" s="21"/>
      <c r="AZ284" s="22"/>
      <c r="BA284" s="22"/>
      <c r="BB284" s="22"/>
      <c r="BD284" s="22"/>
      <c r="BE284" s="22"/>
      <c r="BF284" s="22"/>
      <c r="BH284" s="22"/>
      <c r="BI284" s="22"/>
      <c r="BJ284" s="22"/>
      <c r="BL284" s="22"/>
      <c r="BM284" s="22"/>
      <c r="BN284" s="22"/>
      <c r="BP284" s="22"/>
      <c r="BQ284" s="22"/>
      <c r="BR284" s="22"/>
      <c r="BT284" s="22"/>
      <c r="BU284" s="22"/>
      <c r="BV284" s="22"/>
      <c r="BX284" s="22"/>
      <c r="BY284" s="22"/>
      <c r="BZ284" s="22"/>
      <c r="CB284" s="24"/>
      <c r="CC284" s="24"/>
      <c r="CD284" s="24"/>
      <c r="CE284" s="25"/>
      <c r="CF284" s="25"/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6"/>
      <c r="CT284" s="24"/>
      <c r="CU284" s="24"/>
      <c r="CV284" s="24"/>
      <c r="CW284" s="24"/>
      <c r="CX284" s="24"/>
      <c r="CY284" s="24"/>
      <c r="CZ284" s="24"/>
      <c r="DA284" s="24"/>
      <c r="DB284" s="24"/>
      <c r="DC284" s="24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4"/>
      <c r="DP284" s="24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4"/>
      <c r="EC284" s="24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4"/>
      <c r="EP284" s="24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4"/>
      <c r="FC284" s="24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4"/>
      <c r="FP284" s="24"/>
      <c r="FQ284" s="24"/>
      <c r="FR284" s="24"/>
      <c r="FS284" s="24"/>
      <c r="FT284" s="24"/>
      <c r="FU284" s="24"/>
      <c r="FV284" s="24"/>
      <c r="FW284" s="24"/>
      <c r="FX284" s="24"/>
      <c r="FY284" s="24"/>
      <c r="FZ284" s="24"/>
      <c r="GA284" s="24"/>
      <c r="GB284" s="24"/>
      <c r="GC284" s="24"/>
      <c r="GD284" s="24"/>
      <c r="GE284" s="24"/>
      <c r="GF284" s="24"/>
      <c r="GG284" s="24"/>
      <c r="GH284" s="24"/>
      <c r="GI284" s="24"/>
      <c r="GJ284" s="24"/>
      <c r="GK284" s="24"/>
      <c r="GL284" s="24"/>
      <c r="GM284" s="24"/>
      <c r="GN284" s="24"/>
      <c r="GO284" s="24"/>
      <c r="GP284" s="24"/>
      <c r="GQ284" s="24"/>
      <c r="GR284" s="24"/>
    </row>
    <row r="285" spans="1:200" s="23" customFormat="1" ht="14.25" customHeight="1">
      <c r="A285" s="20"/>
      <c r="B285" s="21"/>
      <c r="C285" s="22"/>
      <c r="D285" s="22"/>
      <c r="E285" s="22"/>
      <c r="G285" s="22"/>
      <c r="H285" s="22"/>
      <c r="I285" s="22"/>
      <c r="K285" s="22"/>
      <c r="L285" s="22"/>
      <c r="M285" s="22"/>
      <c r="O285" s="22"/>
      <c r="P285" s="22"/>
      <c r="Q285" s="22"/>
      <c r="S285" s="22"/>
      <c r="T285" s="22"/>
      <c r="U285" s="22"/>
      <c r="W285" s="22"/>
      <c r="X285" s="22"/>
      <c r="Y285" s="22"/>
      <c r="AA285" s="22"/>
      <c r="AB285" s="22"/>
      <c r="AC285" s="22"/>
      <c r="AE285" s="24"/>
      <c r="AF285" s="24"/>
      <c r="AG285" s="24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6"/>
      <c r="AW285" s="24"/>
      <c r="AX285" s="20"/>
      <c r="AY285" s="21"/>
      <c r="AZ285" s="22"/>
      <c r="BA285" s="22"/>
      <c r="BB285" s="22"/>
      <c r="BD285" s="22"/>
      <c r="BE285" s="22"/>
      <c r="BF285" s="22"/>
      <c r="BH285" s="22"/>
      <c r="BI285" s="22"/>
      <c r="BJ285" s="22"/>
      <c r="BL285" s="22"/>
      <c r="BM285" s="22"/>
      <c r="BN285" s="22"/>
      <c r="BP285" s="22"/>
      <c r="BQ285" s="22"/>
      <c r="BR285" s="22"/>
      <c r="BT285" s="22"/>
      <c r="BU285" s="22"/>
      <c r="BV285" s="22"/>
      <c r="BX285" s="22"/>
      <c r="BY285" s="22"/>
      <c r="BZ285" s="22"/>
      <c r="CB285" s="24"/>
      <c r="CC285" s="24"/>
      <c r="CD285" s="24"/>
      <c r="CE285" s="25"/>
      <c r="CF285" s="25"/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6"/>
      <c r="CT285" s="24"/>
      <c r="CU285" s="24"/>
      <c r="CV285" s="24"/>
      <c r="CW285" s="24"/>
      <c r="CX285" s="24"/>
      <c r="CY285" s="24"/>
      <c r="CZ285" s="24"/>
      <c r="DA285" s="24"/>
      <c r="DB285" s="24"/>
      <c r="DC285" s="24"/>
      <c r="DD285" s="24"/>
      <c r="DE285" s="24"/>
      <c r="DF285" s="24"/>
      <c r="DG285" s="24"/>
      <c r="DH285" s="24"/>
      <c r="DI285" s="24"/>
      <c r="DJ285" s="24"/>
      <c r="DK285" s="24"/>
      <c r="DL285" s="24"/>
      <c r="DM285" s="24"/>
      <c r="DN285" s="24"/>
      <c r="DO285" s="24"/>
      <c r="DP285" s="24"/>
      <c r="DQ285" s="24"/>
      <c r="DR285" s="24"/>
      <c r="DS285" s="24"/>
      <c r="DT285" s="24"/>
      <c r="DU285" s="24"/>
      <c r="DV285" s="24"/>
      <c r="DW285" s="24"/>
      <c r="DX285" s="24"/>
      <c r="DY285" s="24"/>
      <c r="DZ285" s="24"/>
      <c r="EA285" s="24"/>
      <c r="EB285" s="24"/>
      <c r="EC285" s="24"/>
      <c r="ED285" s="24"/>
      <c r="EE285" s="24"/>
      <c r="EF285" s="24"/>
      <c r="EG285" s="24"/>
      <c r="EH285" s="24"/>
      <c r="EI285" s="24"/>
      <c r="EJ285" s="24"/>
      <c r="EK285" s="24"/>
      <c r="EL285" s="24"/>
      <c r="EM285" s="24"/>
      <c r="EN285" s="24"/>
      <c r="EO285" s="24"/>
      <c r="EP285" s="24"/>
      <c r="EQ285" s="24"/>
      <c r="ER285" s="24"/>
      <c r="ES285" s="24"/>
      <c r="ET285" s="24"/>
      <c r="EU285" s="24"/>
      <c r="EV285" s="24"/>
      <c r="EW285" s="24"/>
      <c r="EX285" s="24"/>
      <c r="EY285" s="24"/>
      <c r="EZ285" s="24"/>
      <c r="FA285" s="24"/>
      <c r="FB285" s="24"/>
      <c r="FC285" s="24"/>
      <c r="FD285" s="24"/>
      <c r="FE285" s="24"/>
      <c r="FF285" s="24"/>
      <c r="FG285" s="24"/>
      <c r="FH285" s="24"/>
      <c r="FI285" s="24"/>
      <c r="FJ285" s="24"/>
      <c r="FK285" s="24"/>
      <c r="FL285" s="24"/>
      <c r="FM285" s="24"/>
      <c r="FN285" s="24"/>
      <c r="FO285" s="24"/>
      <c r="FP285" s="24"/>
      <c r="FQ285" s="24"/>
      <c r="FR285" s="24"/>
      <c r="FS285" s="24"/>
      <c r="FT285" s="24"/>
      <c r="FU285" s="24"/>
      <c r="FV285" s="24"/>
      <c r="FW285" s="24"/>
      <c r="FX285" s="24"/>
      <c r="FY285" s="24"/>
      <c r="FZ285" s="24"/>
      <c r="GA285" s="24"/>
      <c r="GB285" s="24"/>
      <c r="GC285" s="24"/>
      <c r="GD285" s="24"/>
      <c r="GE285" s="24"/>
      <c r="GF285" s="24"/>
      <c r="GG285" s="24"/>
      <c r="GH285" s="24"/>
      <c r="GI285" s="24"/>
      <c r="GJ285" s="24"/>
      <c r="GK285" s="24"/>
      <c r="GL285" s="24"/>
      <c r="GM285" s="24"/>
      <c r="GN285" s="24"/>
      <c r="GO285" s="24"/>
      <c r="GP285" s="24"/>
      <c r="GQ285" s="24"/>
      <c r="GR285" s="24"/>
    </row>
    <row r="286" spans="1:200" s="23" customFormat="1" ht="14.25" customHeight="1">
      <c r="A286" s="20"/>
      <c r="B286" s="21"/>
      <c r="C286" s="22"/>
      <c r="D286" s="22"/>
      <c r="E286" s="22"/>
      <c r="G286" s="22"/>
      <c r="H286" s="22"/>
      <c r="I286" s="22"/>
      <c r="K286" s="22"/>
      <c r="L286" s="22"/>
      <c r="M286" s="22"/>
      <c r="O286" s="22"/>
      <c r="P286" s="22"/>
      <c r="Q286" s="22"/>
      <c r="S286" s="22"/>
      <c r="T286" s="22"/>
      <c r="U286" s="22"/>
      <c r="W286" s="22"/>
      <c r="X286" s="22"/>
      <c r="Y286" s="22"/>
      <c r="AA286" s="22"/>
      <c r="AB286" s="22"/>
      <c r="AC286" s="22"/>
      <c r="AE286" s="24"/>
      <c r="AF286" s="24"/>
      <c r="AG286" s="24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6"/>
      <c r="AW286" s="24"/>
      <c r="AX286" s="20"/>
      <c r="AY286" s="21"/>
      <c r="AZ286" s="22"/>
      <c r="BA286" s="22"/>
      <c r="BB286" s="22"/>
      <c r="BD286" s="22"/>
      <c r="BE286" s="22"/>
      <c r="BF286" s="22"/>
      <c r="BH286" s="22"/>
      <c r="BI286" s="22"/>
      <c r="BJ286" s="22"/>
      <c r="BL286" s="22"/>
      <c r="BM286" s="22"/>
      <c r="BN286" s="22"/>
      <c r="BP286" s="22"/>
      <c r="BQ286" s="22"/>
      <c r="BR286" s="22"/>
      <c r="BT286" s="22"/>
      <c r="BU286" s="22"/>
      <c r="BV286" s="22"/>
      <c r="BX286" s="22"/>
      <c r="BY286" s="22"/>
      <c r="BZ286" s="22"/>
      <c r="CB286" s="24"/>
      <c r="CC286" s="24"/>
      <c r="CD286" s="24"/>
      <c r="CE286" s="25"/>
      <c r="CF286" s="25"/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6"/>
      <c r="CT286" s="24"/>
      <c r="CU286" s="24"/>
      <c r="CV286" s="24"/>
      <c r="CW286" s="24"/>
      <c r="CX286" s="24"/>
      <c r="CY286" s="24"/>
      <c r="CZ286" s="24"/>
      <c r="DA286" s="24"/>
      <c r="DB286" s="24"/>
      <c r="DC286" s="24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4"/>
      <c r="DP286" s="24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4"/>
      <c r="EC286" s="24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4"/>
      <c r="EP286" s="24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4"/>
      <c r="FC286" s="24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4"/>
      <c r="FP286" s="24"/>
      <c r="FQ286" s="24"/>
      <c r="FR286" s="24"/>
      <c r="FS286" s="24"/>
      <c r="FT286" s="24"/>
      <c r="FU286" s="24"/>
      <c r="FV286" s="24"/>
      <c r="FW286" s="24"/>
      <c r="FX286" s="24"/>
      <c r="FY286" s="24"/>
      <c r="FZ286" s="24"/>
      <c r="GA286" s="24"/>
      <c r="GB286" s="24"/>
      <c r="GC286" s="24"/>
      <c r="GD286" s="24"/>
      <c r="GE286" s="24"/>
      <c r="GF286" s="24"/>
      <c r="GG286" s="24"/>
      <c r="GH286" s="24"/>
      <c r="GI286" s="24"/>
      <c r="GJ286" s="24"/>
      <c r="GK286" s="24"/>
      <c r="GL286" s="24"/>
      <c r="GM286" s="24"/>
      <c r="GN286" s="24"/>
      <c r="GO286" s="24"/>
      <c r="GP286" s="24"/>
      <c r="GQ286" s="24"/>
      <c r="GR286" s="24"/>
    </row>
    <row r="287" spans="1:200" s="23" customFormat="1" ht="14.25" customHeight="1">
      <c r="A287" s="20"/>
      <c r="B287" s="21"/>
      <c r="C287" s="22"/>
      <c r="D287" s="22"/>
      <c r="E287" s="22"/>
      <c r="G287" s="22"/>
      <c r="H287" s="22"/>
      <c r="I287" s="22"/>
      <c r="K287" s="22"/>
      <c r="L287" s="22"/>
      <c r="M287" s="22"/>
      <c r="O287" s="22"/>
      <c r="P287" s="22"/>
      <c r="Q287" s="22"/>
      <c r="S287" s="22"/>
      <c r="T287" s="22"/>
      <c r="U287" s="22"/>
      <c r="W287" s="22"/>
      <c r="X287" s="22"/>
      <c r="Y287" s="22"/>
      <c r="AA287" s="22"/>
      <c r="AB287" s="22"/>
      <c r="AC287" s="22"/>
      <c r="AE287" s="24"/>
      <c r="AF287" s="24"/>
      <c r="AG287" s="24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6"/>
      <c r="AW287" s="24"/>
      <c r="AX287" s="20"/>
      <c r="AY287" s="21"/>
      <c r="AZ287" s="22"/>
      <c r="BA287" s="22"/>
      <c r="BB287" s="22"/>
      <c r="BD287" s="22"/>
      <c r="BE287" s="22"/>
      <c r="BF287" s="22"/>
      <c r="BH287" s="22"/>
      <c r="BI287" s="22"/>
      <c r="BJ287" s="22"/>
      <c r="BL287" s="22"/>
      <c r="BM287" s="22"/>
      <c r="BN287" s="22"/>
      <c r="BP287" s="22"/>
      <c r="BQ287" s="22"/>
      <c r="BR287" s="22"/>
      <c r="BT287" s="22"/>
      <c r="BU287" s="22"/>
      <c r="BV287" s="22"/>
      <c r="BX287" s="22"/>
      <c r="BY287" s="22"/>
      <c r="BZ287" s="22"/>
      <c r="CB287" s="24"/>
      <c r="CC287" s="24"/>
      <c r="CD287" s="24"/>
      <c r="CE287" s="25"/>
      <c r="CF287" s="25"/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6"/>
      <c r="CT287" s="24"/>
      <c r="CU287" s="24"/>
      <c r="CV287" s="24"/>
      <c r="CW287" s="24"/>
      <c r="CX287" s="24"/>
      <c r="CY287" s="24"/>
      <c r="CZ287" s="24"/>
      <c r="DA287" s="24"/>
      <c r="DB287" s="24"/>
      <c r="DC287" s="24"/>
      <c r="DD287" s="24"/>
      <c r="DE287" s="24"/>
      <c r="DF287" s="24"/>
      <c r="DG287" s="24"/>
      <c r="DH287" s="24"/>
      <c r="DI287" s="24"/>
      <c r="DJ287" s="24"/>
      <c r="DK287" s="24"/>
      <c r="DL287" s="24"/>
      <c r="DM287" s="24"/>
      <c r="DN287" s="24"/>
      <c r="DO287" s="24"/>
      <c r="DP287" s="24"/>
      <c r="DQ287" s="24"/>
      <c r="DR287" s="24"/>
      <c r="DS287" s="24"/>
      <c r="DT287" s="24"/>
      <c r="DU287" s="24"/>
      <c r="DV287" s="24"/>
      <c r="DW287" s="24"/>
      <c r="DX287" s="24"/>
      <c r="DY287" s="24"/>
      <c r="DZ287" s="24"/>
      <c r="EA287" s="24"/>
      <c r="EB287" s="24"/>
      <c r="EC287" s="24"/>
      <c r="ED287" s="24"/>
      <c r="EE287" s="24"/>
      <c r="EF287" s="24"/>
      <c r="EG287" s="24"/>
      <c r="EH287" s="24"/>
      <c r="EI287" s="24"/>
      <c r="EJ287" s="24"/>
      <c r="EK287" s="24"/>
      <c r="EL287" s="24"/>
      <c r="EM287" s="24"/>
      <c r="EN287" s="24"/>
      <c r="EO287" s="24"/>
      <c r="EP287" s="24"/>
      <c r="EQ287" s="24"/>
      <c r="ER287" s="24"/>
      <c r="ES287" s="24"/>
      <c r="ET287" s="24"/>
      <c r="EU287" s="24"/>
      <c r="EV287" s="24"/>
      <c r="EW287" s="24"/>
      <c r="EX287" s="24"/>
      <c r="EY287" s="24"/>
      <c r="EZ287" s="24"/>
      <c r="FA287" s="24"/>
      <c r="FB287" s="24"/>
      <c r="FC287" s="24"/>
      <c r="FD287" s="24"/>
      <c r="FE287" s="24"/>
      <c r="FF287" s="24"/>
      <c r="FG287" s="24"/>
      <c r="FH287" s="24"/>
      <c r="FI287" s="24"/>
      <c r="FJ287" s="24"/>
      <c r="FK287" s="24"/>
      <c r="FL287" s="24"/>
      <c r="FM287" s="24"/>
      <c r="FN287" s="24"/>
      <c r="FO287" s="24"/>
      <c r="FP287" s="24"/>
      <c r="FQ287" s="24"/>
      <c r="FR287" s="24"/>
      <c r="FS287" s="24"/>
      <c r="FT287" s="24"/>
      <c r="FU287" s="24"/>
      <c r="FV287" s="24"/>
      <c r="FW287" s="24"/>
      <c r="FX287" s="24"/>
      <c r="FY287" s="24"/>
      <c r="FZ287" s="24"/>
      <c r="GA287" s="24"/>
      <c r="GB287" s="24"/>
      <c r="GC287" s="24"/>
      <c r="GD287" s="24"/>
      <c r="GE287" s="24"/>
      <c r="GF287" s="24"/>
      <c r="GG287" s="24"/>
      <c r="GH287" s="24"/>
      <c r="GI287" s="24"/>
      <c r="GJ287" s="24"/>
      <c r="GK287" s="24"/>
      <c r="GL287" s="24"/>
      <c r="GM287" s="24"/>
      <c r="GN287" s="24"/>
      <c r="GO287" s="24"/>
      <c r="GP287" s="24"/>
      <c r="GQ287" s="24"/>
      <c r="GR287" s="24"/>
    </row>
    <row r="288" spans="1:200" s="23" customFormat="1" ht="14.25" customHeight="1">
      <c r="A288" s="20"/>
      <c r="B288" s="21"/>
      <c r="C288" s="22"/>
      <c r="D288" s="22"/>
      <c r="E288" s="22"/>
      <c r="G288" s="22"/>
      <c r="H288" s="22"/>
      <c r="I288" s="22"/>
      <c r="K288" s="22"/>
      <c r="L288" s="22"/>
      <c r="M288" s="22"/>
      <c r="O288" s="22"/>
      <c r="P288" s="22"/>
      <c r="Q288" s="22"/>
      <c r="S288" s="22"/>
      <c r="T288" s="22"/>
      <c r="U288" s="22"/>
      <c r="W288" s="22"/>
      <c r="X288" s="22"/>
      <c r="Y288" s="22"/>
      <c r="AA288" s="22"/>
      <c r="AB288" s="22"/>
      <c r="AC288" s="22"/>
      <c r="AE288" s="24"/>
      <c r="AF288" s="24"/>
      <c r="AG288" s="24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6"/>
      <c r="AW288" s="24"/>
      <c r="AX288" s="20"/>
      <c r="AY288" s="21"/>
      <c r="AZ288" s="22"/>
      <c r="BA288" s="22"/>
      <c r="BB288" s="22"/>
      <c r="BD288" s="22"/>
      <c r="BE288" s="22"/>
      <c r="BF288" s="22"/>
      <c r="BH288" s="22"/>
      <c r="BI288" s="22"/>
      <c r="BJ288" s="22"/>
      <c r="BL288" s="22"/>
      <c r="BM288" s="22"/>
      <c r="BN288" s="22"/>
      <c r="BP288" s="22"/>
      <c r="BQ288" s="22"/>
      <c r="BR288" s="22"/>
      <c r="BT288" s="22"/>
      <c r="BU288" s="22"/>
      <c r="BV288" s="22"/>
      <c r="BX288" s="22"/>
      <c r="BY288" s="22"/>
      <c r="BZ288" s="22"/>
      <c r="CB288" s="24"/>
      <c r="CC288" s="24"/>
      <c r="CD288" s="24"/>
      <c r="CE288" s="25"/>
      <c r="CF288" s="25"/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6"/>
      <c r="CT288" s="24"/>
      <c r="CU288" s="24"/>
      <c r="CV288" s="24"/>
      <c r="CW288" s="24"/>
      <c r="CX288" s="24"/>
      <c r="CY288" s="24"/>
      <c r="CZ288" s="24"/>
      <c r="DA288" s="24"/>
      <c r="DB288" s="24"/>
      <c r="DC288" s="24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4"/>
      <c r="DP288" s="24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4"/>
      <c r="EC288" s="24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4"/>
      <c r="EP288" s="24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4"/>
      <c r="FC288" s="24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4"/>
      <c r="FP288" s="24"/>
      <c r="FQ288" s="24"/>
      <c r="FR288" s="24"/>
      <c r="FS288" s="24"/>
      <c r="FT288" s="24"/>
      <c r="FU288" s="24"/>
      <c r="FV288" s="24"/>
      <c r="FW288" s="24"/>
      <c r="FX288" s="24"/>
      <c r="FY288" s="24"/>
      <c r="FZ288" s="24"/>
      <c r="GA288" s="24"/>
      <c r="GB288" s="24"/>
      <c r="GC288" s="24"/>
      <c r="GD288" s="24"/>
      <c r="GE288" s="24"/>
      <c r="GF288" s="24"/>
      <c r="GG288" s="24"/>
      <c r="GH288" s="24"/>
      <c r="GI288" s="24"/>
      <c r="GJ288" s="24"/>
      <c r="GK288" s="24"/>
      <c r="GL288" s="24"/>
      <c r="GM288" s="24"/>
      <c r="GN288" s="24"/>
      <c r="GO288" s="24"/>
      <c r="GP288" s="24"/>
      <c r="GQ288" s="24"/>
      <c r="GR288" s="24"/>
    </row>
    <row r="289" spans="1:200" s="23" customFormat="1" ht="14.25" customHeight="1">
      <c r="A289" s="20"/>
      <c r="B289" s="21"/>
      <c r="C289" s="22"/>
      <c r="D289" s="22"/>
      <c r="E289" s="22"/>
      <c r="G289" s="22"/>
      <c r="H289" s="22"/>
      <c r="I289" s="22"/>
      <c r="K289" s="22"/>
      <c r="L289" s="22"/>
      <c r="M289" s="22"/>
      <c r="O289" s="22"/>
      <c r="P289" s="22"/>
      <c r="Q289" s="22"/>
      <c r="S289" s="22"/>
      <c r="T289" s="22"/>
      <c r="U289" s="22"/>
      <c r="W289" s="22"/>
      <c r="X289" s="22"/>
      <c r="Y289" s="22"/>
      <c r="AA289" s="22"/>
      <c r="AB289" s="22"/>
      <c r="AC289" s="22"/>
      <c r="AE289" s="24"/>
      <c r="AF289" s="24"/>
      <c r="AG289" s="24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6"/>
      <c r="AW289" s="24"/>
      <c r="AX289" s="20"/>
      <c r="AY289" s="21"/>
      <c r="AZ289" s="22"/>
      <c r="BA289" s="22"/>
      <c r="BB289" s="22"/>
      <c r="BD289" s="22"/>
      <c r="BE289" s="22"/>
      <c r="BF289" s="22"/>
      <c r="BH289" s="22"/>
      <c r="BI289" s="22"/>
      <c r="BJ289" s="22"/>
      <c r="BL289" s="22"/>
      <c r="BM289" s="22"/>
      <c r="BN289" s="22"/>
      <c r="BP289" s="22"/>
      <c r="BQ289" s="22"/>
      <c r="BR289" s="22"/>
      <c r="BT289" s="22"/>
      <c r="BU289" s="22"/>
      <c r="BV289" s="22"/>
      <c r="BX289" s="22"/>
      <c r="BY289" s="22"/>
      <c r="BZ289" s="22"/>
      <c r="CB289" s="24"/>
      <c r="CC289" s="24"/>
      <c r="CD289" s="24"/>
      <c r="CE289" s="25"/>
      <c r="CF289" s="25"/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6"/>
      <c r="CT289" s="24"/>
      <c r="CU289" s="24"/>
      <c r="CV289" s="24"/>
      <c r="CW289" s="24"/>
      <c r="CX289" s="24"/>
      <c r="CY289" s="24"/>
      <c r="CZ289" s="24"/>
      <c r="DA289" s="24"/>
      <c r="DB289" s="24"/>
      <c r="DC289" s="24"/>
      <c r="DD289" s="24"/>
      <c r="DE289" s="24"/>
      <c r="DF289" s="24"/>
      <c r="DG289" s="24"/>
      <c r="DH289" s="24"/>
      <c r="DI289" s="24"/>
      <c r="DJ289" s="24"/>
      <c r="DK289" s="24"/>
      <c r="DL289" s="24"/>
      <c r="DM289" s="24"/>
      <c r="DN289" s="24"/>
      <c r="DO289" s="24"/>
      <c r="DP289" s="24"/>
      <c r="DQ289" s="24"/>
      <c r="DR289" s="24"/>
      <c r="DS289" s="24"/>
      <c r="DT289" s="24"/>
      <c r="DU289" s="24"/>
      <c r="DV289" s="24"/>
      <c r="DW289" s="24"/>
      <c r="DX289" s="24"/>
      <c r="DY289" s="24"/>
      <c r="DZ289" s="24"/>
      <c r="EA289" s="24"/>
      <c r="EB289" s="24"/>
      <c r="EC289" s="24"/>
      <c r="ED289" s="24"/>
      <c r="EE289" s="24"/>
      <c r="EF289" s="24"/>
      <c r="EG289" s="24"/>
      <c r="EH289" s="24"/>
      <c r="EI289" s="24"/>
      <c r="EJ289" s="24"/>
      <c r="EK289" s="24"/>
      <c r="EL289" s="24"/>
      <c r="EM289" s="24"/>
      <c r="EN289" s="24"/>
      <c r="EO289" s="24"/>
      <c r="EP289" s="24"/>
      <c r="EQ289" s="24"/>
      <c r="ER289" s="24"/>
      <c r="ES289" s="24"/>
      <c r="ET289" s="24"/>
      <c r="EU289" s="24"/>
      <c r="EV289" s="24"/>
      <c r="EW289" s="24"/>
      <c r="EX289" s="24"/>
      <c r="EY289" s="24"/>
      <c r="EZ289" s="24"/>
      <c r="FA289" s="24"/>
      <c r="FB289" s="24"/>
      <c r="FC289" s="24"/>
      <c r="FD289" s="24"/>
      <c r="FE289" s="24"/>
      <c r="FF289" s="24"/>
      <c r="FG289" s="24"/>
      <c r="FH289" s="24"/>
      <c r="FI289" s="24"/>
      <c r="FJ289" s="24"/>
      <c r="FK289" s="24"/>
      <c r="FL289" s="24"/>
      <c r="FM289" s="24"/>
      <c r="FN289" s="24"/>
      <c r="FO289" s="24"/>
      <c r="FP289" s="24"/>
      <c r="FQ289" s="24"/>
      <c r="FR289" s="24"/>
      <c r="FS289" s="24"/>
      <c r="FT289" s="24"/>
      <c r="FU289" s="24"/>
      <c r="FV289" s="24"/>
      <c r="FW289" s="24"/>
      <c r="FX289" s="24"/>
      <c r="FY289" s="24"/>
      <c r="FZ289" s="24"/>
      <c r="GA289" s="24"/>
      <c r="GB289" s="24"/>
      <c r="GC289" s="24"/>
      <c r="GD289" s="24"/>
      <c r="GE289" s="24"/>
      <c r="GF289" s="24"/>
      <c r="GG289" s="24"/>
      <c r="GH289" s="24"/>
      <c r="GI289" s="24"/>
      <c r="GJ289" s="24"/>
      <c r="GK289" s="24"/>
      <c r="GL289" s="24"/>
      <c r="GM289" s="24"/>
      <c r="GN289" s="24"/>
      <c r="GO289" s="24"/>
      <c r="GP289" s="24"/>
      <c r="GQ289" s="24"/>
      <c r="GR289" s="24"/>
    </row>
    <row r="290" spans="1:200" s="23" customFormat="1" ht="14.25" customHeight="1">
      <c r="A290" s="20"/>
      <c r="B290" s="21"/>
      <c r="C290" s="22"/>
      <c r="D290" s="22"/>
      <c r="E290" s="22"/>
      <c r="G290" s="22"/>
      <c r="H290" s="22"/>
      <c r="I290" s="22"/>
      <c r="K290" s="22"/>
      <c r="L290" s="22"/>
      <c r="M290" s="22"/>
      <c r="O290" s="22"/>
      <c r="P290" s="22"/>
      <c r="Q290" s="22"/>
      <c r="S290" s="22"/>
      <c r="T290" s="22"/>
      <c r="U290" s="22"/>
      <c r="W290" s="22"/>
      <c r="X290" s="22"/>
      <c r="Y290" s="22"/>
      <c r="AA290" s="22"/>
      <c r="AB290" s="22"/>
      <c r="AC290" s="22"/>
      <c r="AE290" s="24"/>
      <c r="AF290" s="24"/>
      <c r="AG290" s="24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6"/>
      <c r="AW290" s="24"/>
      <c r="AX290" s="20"/>
      <c r="AY290" s="21"/>
      <c r="AZ290" s="22"/>
      <c r="BA290" s="22"/>
      <c r="BB290" s="22"/>
      <c r="BD290" s="22"/>
      <c r="BE290" s="22"/>
      <c r="BF290" s="22"/>
      <c r="BH290" s="22"/>
      <c r="BI290" s="22"/>
      <c r="BJ290" s="22"/>
      <c r="BL290" s="22"/>
      <c r="BM290" s="22"/>
      <c r="BN290" s="22"/>
      <c r="BP290" s="22"/>
      <c r="BQ290" s="22"/>
      <c r="BR290" s="22"/>
      <c r="BT290" s="22"/>
      <c r="BU290" s="22"/>
      <c r="BV290" s="22"/>
      <c r="BX290" s="22"/>
      <c r="BY290" s="22"/>
      <c r="BZ290" s="22"/>
      <c r="CB290" s="24"/>
      <c r="CC290" s="24"/>
      <c r="CD290" s="24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6"/>
      <c r="CT290" s="24"/>
      <c r="CU290" s="24"/>
      <c r="CV290" s="24"/>
      <c r="CW290" s="24"/>
      <c r="CX290" s="24"/>
      <c r="CY290" s="24"/>
      <c r="CZ290" s="24"/>
      <c r="DA290" s="24"/>
      <c r="DB290" s="24"/>
      <c r="DC290" s="24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4"/>
      <c r="DP290" s="24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4"/>
      <c r="EC290" s="24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4"/>
      <c r="EP290" s="24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4"/>
      <c r="FC290" s="24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4"/>
      <c r="FP290" s="24"/>
      <c r="FQ290" s="24"/>
      <c r="FR290" s="24"/>
      <c r="FS290" s="24"/>
      <c r="FT290" s="24"/>
      <c r="FU290" s="24"/>
      <c r="FV290" s="24"/>
      <c r="FW290" s="24"/>
      <c r="FX290" s="24"/>
      <c r="FY290" s="24"/>
      <c r="FZ290" s="24"/>
      <c r="GA290" s="24"/>
      <c r="GB290" s="24"/>
      <c r="GC290" s="24"/>
      <c r="GD290" s="24"/>
      <c r="GE290" s="24"/>
      <c r="GF290" s="24"/>
      <c r="GG290" s="24"/>
      <c r="GH290" s="24"/>
      <c r="GI290" s="24"/>
      <c r="GJ290" s="24"/>
      <c r="GK290" s="24"/>
      <c r="GL290" s="24"/>
      <c r="GM290" s="24"/>
      <c r="GN290" s="24"/>
      <c r="GO290" s="24"/>
      <c r="GP290" s="24"/>
      <c r="GQ290" s="24"/>
      <c r="GR290" s="24"/>
    </row>
    <row r="291" spans="1:200" s="23" customFormat="1" ht="14.25" customHeight="1">
      <c r="A291" s="20"/>
      <c r="B291" s="21"/>
      <c r="C291" s="22"/>
      <c r="D291" s="22"/>
      <c r="E291" s="22"/>
      <c r="G291" s="22"/>
      <c r="H291" s="22"/>
      <c r="I291" s="22"/>
      <c r="K291" s="22"/>
      <c r="L291" s="22"/>
      <c r="M291" s="22"/>
      <c r="O291" s="22"/>
      <c r="P291" s="22"/>
      <c r="Q291" s="22"/>
      <c r="S291" s="22"/>
      <c r="T291" s="22"/>
      <c r="U291" s="22"/>
      <c r="W291" s="22"/>
      <c r="X291" s="22"/>
      <c r="Y291" s="22"/>
      <c r="AA291" s="22"/>
      <c r="AB291" s="22"/>
      <c r="AC291" s="22"/>
      <c r="AE291" s="24"/>
      <c r="AF291" s="24"/>
      <c r="AG291" s="24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6"/>
      <c r="AW291" s="24"/>
      <c r="AX291" s="20"/>
      <c r="AY291" s="21"/>
      <c r="AZ291" s="22"/>
      <c r="BA291" s="22"/>
      <c r="BB291" s="22"/>
      <c r="BD291" s="22"/>
      <c r="BE291" s="22"/>
      <c r="BF291" s="22"/>
      <c r="BH291" s="22"/>
      <c r="BI291" s="22"/>
      <c r="BJ291" s="22"/>
      <c r="BL291" s="22"/>
      <c r="BM291" s="22"/>
      <c r="BN291" s="22"/>
      <c r="BP291" s="22"/>
      <c r="BQ291" s="22"/>
      <c r="BR291" s="22"/>
      <c r="BT291" s="22"/>
      <c r="BU291" s="22"/>
      <c r="BV291" s="22"/>
      <c r="BX291" s="22"/>
      <c r="BY291" s="22"/>
      <c r="BZ291" s="22"/>
      <c r="CB291" s="24"/>
      <c r="CC291" s="24"/>
      <c r="CD291" s="24"/>
      <c r="CE291" s="25"/>
      <c r="CF291" s="25"/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6"/>
      <c r="CT291" s="24"/>
      <c r="CU291" s="24"/>
      <c r="CV291" s="24"/>
      <c r="CW291" s="24"/>
      <c r="CX291" s="24"/>
      <c r="CY291" s="24"/>
      <c r="CZ291" s="24"/>
      <c r="DA291" s="24"/>
      <c r="DB291" s="24"/>
      <c r="DC291" s="24"/>
      <c r="DD291" s="24"/>
      <c r="DE291" s="24"/>
      <c r="DF291" s="24"/>
      <c r="DG291" s="24"/>
      <c r="DH291" s="24"/>
      <c r="DI291" s="24"/>
      <c r="DJ291" s="24"/>
      <c r="DK291" s="24"/>
      <c r="DL291" s="24"/>
      <c r="DM291" s="24"/>
      <c r="DN291" s="24"/>
      <c r="DO291" s="24"/>
      <c r="DP291" s="24"/>
      <c r="DQ291" s="24"/>
      <c r="DR291" s="24"/>
      <c r="DS291" s="24"/>
      <c r="DT291" s="24"/>
      <c r="DU291" s="24"/>
      <c r="DV291" s="24"/>
      <c r="DW291" s="24"/>
      <c r="DX291" s="24"/>
      <c r="DY291" s="24"/>
      <c r="DZ291" s="24"/>
      <c r="EA291" s="24"/>
      <c r="EB291" s="24"/>
      <c r="EC291" s="24"/>
      <c r="ED291" s="24"/>
      <c r="EE291" s="24"/>
      <c r="EF291" s="24"/>
      <c r="EG291" s="24"/>
      <c r="EH291" s="24"/>
      <c r="EI291" s="24"/>
      <c r="EJ291" s="24"/>
      <c r="EK291" s="24"/>
      <c r="EL291" s="24"/>
      <c r="EM291" s="24"/>
      <c r="EN291" s="24"/>
      <c r="EO291" s="24"/>
      <c r="EP291" s="24"/>
      <c r="EQ291" s="24"/>
      <c r="ER291" s="24"/>
      <c r="ES291" s="24"/>
      <c r="ET291" s="24"/>
      <c r="EU291" s="24"/>
      <c r="EV291" s="24"/>
      <c r="EW291" s="24"/>
      <c r="EX291" s="24"/>
      <c r="EY291" s="24"/>
      <c r="EZ291" s="24"/>
      <c r="FA291" s="24"/>
      <c r="FB291" s="24"/>
      <c r="FC291" s="24"/>
      <c r="FD291" s="24"/>
      <c r="FE291" s="24"/>
      <c r="FF291" s="24"/>
      <c r="FG291" s="24"/>
      <c r="FH291" s="24"/>
      <c r="FI291" s="24"/>
      <c r="FJ291" s="24"/>
      <c r="FK291" s="24"/>
      <c r="FL291" s="24"/>
      <c r="FM291" s="24"/>
      <c r="FN291" s="24"/>
      <c r="FO291" s="24"/>
      <c r="FP291" s="24"/>
      <c r="FQ291" s="24"/>
      <c r="FR291" s="24"/>
      <c r="FS291" s="24"/>
      <c r="FT291" s="24"/>
      <c r="FU291" s="24"/>
      <c r="FV291" s="24"/>
      <c r="FW291" s="24"/>
      <c r="FX291" s="24"/>
      <c r="FY291" s="24"/>
      <c r="FZ291" s="24"/>
      <c r="GA291" s="24"/>
      <c r="GB291" s="24"/>
      <c r="GC291" s="24"/>
      <c r="GD291" s="24"/>
      <c r="GE291" s="24"/>
      <c r="GF291" s="24"/>
      <c r="GG291" s="24"/>
      <c r="GH291" s="24"/>
      <c r="GI291" s="24"/>
      <c r="GJ291" s="24"/>
      <c r="GK291" s="24"/>
      <c r="GL291" s="24"/>
      <c r="GM291" s="24"/>
      <c r="GN291" s="24"/>
      <c r="GO291" s="24"/>
      <c r="GP291" s="24"/>
      <c r="GQ291" s="24"/>
      <c r="GR291" s="24"/>
    </row>
    <row r="292" spans="1:200" s="23" customFormat="1" ht="14.25" customHeight="1">
      <c r="A292" s="20"/>
      <c r="B292" s="21"/>
      <c r="C292" s="22"/>
      <c r="D292" s="22"/>
      <c r="E292" s="22"/>
      <c r="G292" s="22"/>
      <c r="H292" s="22"/>
      <c r="I292" s="22"/>
      <c r="K292" s="22"/>
      <c r="L292" s="22"/>
      <c r="M292" s="22"/>
      <c r="O292" s="22"/>
      <c r="P292" s="22"/>
      <c r="Q292" s="22"/>
      <c r="S292" s="22"/>
      <c r="T292" s="22"/>
      <c r="U292" s="22"/>
      <c r="W292" s="22"/>
      <c r="X292" s="22"/>
      <c r="Y292" s="22"/>
      <c r="AA292" s="22"/>
      <c r="AB292" s="22"/>
      <c r="AC292" s="22"/>
      <c r="AE292" s="24"/>
      <c r="AF292" s="24"/>
      <c r="AG292" s="24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6"/>
      <c r="AW292" s="24"/>
      <c r="AX292" s="20"/>
      <c r="AY292" s="21"/>
      <c r="AZ292" s="22"/>
      <c r="BA292" s="22"/>
      <c r="BB292" s="22"/>
      <c r="BD292" s="22"/>
      <c r="BE292" s="22"/>
      <c r="BF292" s="22"/>
      <c r="BH292" s="22"/>
      <c r="BI292" s="22"/>
      <c r="BJ292" s="22"/>
      <c r="BL292" s="22"/>
      <c r="BM292" s="22"/>
      <c r="BN292" s="22"/>
      <c r="BP292" s="22"/>
      <c r="BQ292" s="22"/>
      <c r="BR292" s="22"/>
      <c r="BT292" s="22"/>
      <c r="BU292" s="22"/>
      <c r="BV292" s="22"/>
      <c r="BX292" s="22"/>
      <c r="BY292" s="22"/>
      <c r="BZ292" s="22"/>
      <c r="CB292" s="24"/>
      <c r="CC292" s="24"/>
      <c r="CD292" s="24"/>
      <c r="CE292" s="25"/>
      <c r="CF292" s="25"/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6"/>
      <c r="CT292" s="24"/>
      <c r="CU292" s="24"/>
      <c r="CV292" s="24"/>
      <c r="CW292" s="24"/>
      <c r="CX292" s="24"/>
      <c r="CY292" s="24"/>
      <c r="CZ292" s="24"/>
      <c r="DA292" s="24"/>
      <c r="DB292" s="24"/>
      <c r="DC292" s="24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4"/>
      <c r="DP292" s="24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4"/>
      <c r="EC292" s="24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4"/>
      <c r="EP292" s="24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4"/>
      <c r="FC292" s="24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4"/>
      <c r="FP292" s="24"/>
      <c r="FQ292" s="24"/>
      <c r="FR292" s="24"/>
      <c r="FS292" s="24"/>
      <c r="FT292" s="24"/>
      <c r="FU292" s="24"/>
      <c r="FV292" s="24"/>
      <c r="FW292" s="24"/>
      <c r="FX292" s="24"/>
      <c r="FY292" s="24"/>
      <c r="FZ292" s="24"/>
      <c r="GA292" s="24"/>
      <c r="GB292" s="24"/>
      <c r="GC292" s="24"/>
      <c r="GD292" s="24"/>
      <c r="GE292" s="24"/>
      <c r="GF292" s="24"/>
      <c r="GG292" s="24"/>
      <c r="GH292" s="24"/>
      <c r="GI292" s="24"/>
      <c r="GJ292" s="24"/>
      <c r="GK292" s="24"/>
      <c r="GL292" s="24"/>
      <c r="GM292" s="24"/>
      <c r="GN292" s="24"/>
      <c r="GO292" s="24"/>
      <c r="GP292" s="24"/>
      <c r="GQ292" s="24"/>
      <c r="GR292" s="24"/>
    </row>
    <row r="293" spans="1:200" s="23" customFormat="1" ht="14.25" customHeight="1">
      <c r="A293" s="20"/>
      <c r="B293" s="21"/>
      <c r="C293" s="22"/>
      <c r="D293" s="22"/>
      <c r="E293" s="22"/>
      <c r="G293" s="22"/>
      <c r="H293" s="22"/>
      <c r="I293" s="22"/>
      <c r="K293" s="22"/>
      <c r="L293" s="22"/>
      <c r="M293" s="22"/>
      <c r="O293" s="22"/>
      <c r="P293" s="22"/>
      <c r="Q293" s="22"/>
      <c r="S293" s="22"/>
      <c r="T293" s="22"/>
      <c r="U293" s="22"/>
      <c r="W293" s="22"/>
      <c r="X293" s="22"/>
      <c r="Y293" s="22"/>
      <c r="AA293" s="22"/>
      <c r="AB293" s="22"/>
      <c r="AC293" s="22"/>
      <c r="AE293" s="24"/>
      <c r="AF293" s="24"/>
      <c r="AG293" s="24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6"/>
      <c r="AW293" s="24"/>
      <c r="AX293" s="20"/>
      <c r="AY293" s="21"/>
      <c r="AZ293" s="22"/>
      <c r="BA293" s="22"/>
      <c r="BB293" s="22"/>
      <c r="BD293" s="22"/>
      <c r="BE293" s="22"/>
      <c r="BF293" s="22"/>
      <c r="BH293" s="22"/>
      <c r="BI293" s="22"/>
      <c r="BJ293" s="22"/>
      <c r="BL293" s="22"/>
      <c r="BM293" s="22"/>
      <c r="BN293" s="22"/>
      <c r="BP293" s="22"/>
      <c r="BQ293" s="22"/>
      <c r="BR293" s="22"/>
      <c r="BT293" s="22"/>
      <c r="BU293" s="22"/>
      <c r="BV293" s="22"/>
      <c r="BX293" s="22"/>
      <c r="BY293" s="22"/>
      <c r="BZ293" s="22"/>
      <c r="CB293" s="24"/>
      <c r="CC293" s="24"/>
      <c r="CD293" s="24"/>
      <c r="CE293" s="25"/>
      <c r="CF293" s="25"/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6"/>
      <c r="CT293" s="24"/>
      <c r="CU293" s="24"/>
      <c r="CV293" s="24"/>
      <c r="CW293" s="24"/>
      <c r="CX293" s="24"/>
      <c r="CY293" s="24"/>
      <c r="CZ293" s="24"/>
      <c r="DA293" s="24"/>
      <c r="DB293" s="24"/>
      <c r="DC293" s="24"/>
      <c r="DD293" s="24"/>
      <c r="DE293" s="24"/>
      <c r="DF293" s="24"/>
      <c r="DG293" s="24"/>
      <c r="DH293" s="24"/>
      <c r="DI293" s="24"/>
      <c r="DJ293" s="24"/>
      <c r="DK293" s="24"/>
      <c r="DL293" s="24"/>
      <c r="DM293" s="24"/>
      <c r="DN293" s="24"/>
      <c r="DO293" s="24"/>
      <c r="DP293" s="24"/>
      <c r="DQ293" s="24"/>
      <c r="DR293" s="24"/>
      <c r="DS293" s="24"/>
      <c r="DT293" s="24"/>
      <c r="DU293" s="24"/>
      <c r="DV293" s="24"/>
      <c r="DW293" s="24"/>
      <c r="DX293" s="24"/>
      <c r="DY293" s="24"/>
      <c r="DZ293" s="24"/>
      <c r="EA293" s="24"/>
      <c r="EB293" s="24"/>
      <c r="EC293" s="24"/>
      <c r="ED293" s="24"/>
      <c r="EE293" s="24"/>
      <c r="EF293" s="24"/>
      <c r="EG293" s="24"/>
      <c r="EH293" s="24"/>
      <c r="EI293" s="24"/>
      <c r="EJ293" s="24"/>
      <c r="EK293" s="24"/>
      <c r="EL293" s="24"/>
      <c r="EM293" s="24"/>
      <c r="EN293" s="24"/>
      <c r="EO293" s="24"/>
      <c r="EP293" s="24"/>
      <c r="EQ293" s="24"/>
      <c r="ER293" s="24"/>
      <c r="ES293" s="24"/>
      <c r="ET293" s="24"/>
      <c r="EU293" s="24"/>
      <c r="EV293" s="24"/>
      <c r="EW293" s="24"/>
      <c r="EX293" s="24"/>
      <c r="EY293" s="24"/>
      <c r="EZ293" s="24"/>
      <c r="FA293" s="24"/>
      <c r="FB293" s="24"/>
      <c r="FC293" s="24"/>
      <c r="FD293" s="24"/>
      <c r="FE293" s="24"/>
      <c r="FF293" s="24"/>
      <c r="FG293" s="24"/>
      <c r="FH293" s="24"/>
      <c r="FI293" s="24"/>
      <c r="FJ293" s="24"/>
      <c r="FK293" s="24"/>
      <c r="FL293" s="24"/>
      <c r="FM293" s="24"/>
      <c r="FN293" s="24"/>
      <c r="FO293" s="24"/>
      <c r="FP293" s="24"/>
      <c r="FQ293" s="24"/>
      <c r="FR293" s="24"/>
      <c r="FS293" s="24"/>
      <c r="FT293" s="24"/>
      <c r="FU293" s="24"/>
      <c r="FV293" s="24"/>
      <c r="FW293" s="24"/>
      <c r="FX293" s="24"/>
      <c r="FY293" s="24"/>
      <c r="FZ293" s="24"/>
      <c r="GA293" s="24"/>
      <c r="GB293" s="24"/>
      <c r="GC293" s="24"/>
      <c r="GD293" s="24"/>
      <c r="GE293" s="24"/>
      <c r="GF293" s="24"/>
      <c r="GG293" s="24"/>
      <c r="GH293" s="24"/>
      <c r="GI293" s="24"/>
      <c r="GJ293" s="24"/>
      <c r="GK293" s="24"/>
      <c r="GL293" s="24"/>
      <c r="GM293" s="24"/>
      <c r="GN293" s="24"/>
      <c r="GO293" s="24"/>
      <c r="GP293" s="24"/>
      <c r="GQ293" s="24"/>
      <c r="GR293" s="24"/>
    </row>
    <row r="294" spans="1:200" s="23" customFormat="1" ht="14.25" customHeight="1">
      <c r="A294" s="20"/>
      <c r="B294" s="21"/>
      <c r="C294" s="22"/>
      <c r="D294" s="22"/>
      <c r="E294" s="22"/>
      <c r="G294" s="22"/>
      <c r="H294" s="22"/>
      <c r="I294" s="22"/>
      <c r="K294" s="22"/>
      <c r="L294" s="22"/>
      <c r="M294" s="22"/>
      <c r="O294" s="22"/>
      <c r="P294" s="22"/>
      <c r="Q294" s="22"/>
      <c r="S294" s="22"/>
      <c r="T294" s="22"/>
      <c r="U294" s="22"/>
      <c r="W294" s="22"/>
      <c r="X294" s="22"/>
      <c r="Y294" s="22"/>
      <c r="AA294" s="22"/>
      <c r="AB294" s="22"/>
      <c r="AC294" s="22"/>
      <c r="AE294" s="24"/>
      <c r="AF294" s="24"/>
      <c r="AG294" s="24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6"/>
      <c r="AW294" s="24"/>
      <c r="AX294" s="20"/>
      <c r="AY294" s="21"/>
      <c r="AZ294" s="22"/>
      <c r="BA294" s="22"/>
      <c r="BB294" s="22"/>
      <c r="BD294" s="22"/>
      <c r="BE294" s="22"/>
      <c r="BF294" s="22"/>
      <c r="BH294" s="22"/>
      <c r="BI294" s="22"/>
      <c r="BJ294" s="22"/>
      <c r="BL294" s="22"/>
      <c r="BM294" s="22"/>
      <c r="BN294" s="22"/>
      <c r="BP294" s="22"/>
      <c r="BQ294" s="22"/>
      <c r="BR294" s="22"/>
      <c r="BT294" s="22"/>
      <c r="BU294" s="22"/>
      <c r="BV294" s="22"/>
      <c r="BX294" s="22"/>
      <c r="BY294" s="22"/>
      <c r="BZ294" s="22"/>
      <c r="CB294" s="24"/>
      <c r="CC294" s="24"/>
      <c r="CD294" s="24"/>
      <c r="CE294" s="25"/>
      <c r="CF294" s="25"/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6"/>
      <c r="CT294" s="24"/>
      <c r="CU294" s="24"/>
      <c r="CV294" s="24"/>
      <c r="CW294" s="24"/>
      <c r="CX294" s="24"/>
      <c r="CY294" s="24"/>
      <c r="CZ294" s="24"/>
      <c r="DA294" s="24"/>
      <c r="DB294" s="24"/>
      <c r="DC294" s="24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4"/>
      <c r="DP294" s="24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4"/>
      <c r="EC294" s="24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4"/>
      <c r="EP294" s="24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4"/>
      <c r="FC294" s="24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4"/>
      <c r="FP294" s="24"/>
      <c r="FQ294" s="24"/>
      <c r="FR294" s="24"/>
      <c r="FS294" s="24"/>
      <c r="FT294" s="24"/>
      <c r="FU294" s="24"/>
      <c r="FV294" s="24"/>
      <c r="FW294" s="24"/>
      <c r="FX294" s="24"/>
      <c r="FY294" s="24"/>
      <c r="FZ294" s="24"/>
      <c r="GA294" s="24"/>
      <c r="GB294" s="24"/>
      <c r="GC294" s="24"/>
      <c r="GD294" s="24"/>
      <c r="GE294" s="24"/>
      <c r="GF294" s="24"/>
      <c r="GG294" s="24"/>
      <c r="GH294" s="24"/>
      <c r="GI294" s="24"/>
      <c r="GJ294" s="24"/>
      <c r="GK294" s="24"/>
      <c r="GL294" s="24"/>
      <c r="GM294" s="24"/>
      <c r="GN294" s="24"/>
      <c r="GO294" s="24"/>
      <c r="GP294" s="24"/>
      <c r="GQ294" s="24"/>
      <c r="GR294" s="24"/>
    </row>
    <row r="295" spans="1:200" s="23" customFormat="1" ht="14.25" customHeight="1">
      <c r="A295" s="20"/>
      <c r="B295" s="21"/>
      <c r="C295" s="22"/>
      <c r="D295" s="22"/>
      <c r="E295" s="22"/>
      <c r="G295" s="22"/>
      <c r="H295" s="22"/>
      <c r="I295" s="22"/>
      <c r="K295" s="22"/>
      <c r="L295" s="22"/>
      <c r="M295" s="22"/>
      <c r="O295" s="22"/>
      <c r="P295" s="22"/>
      <c r="Q295" s="22"/>
      <c r="S295" s="22"/>
      <c r="T295" s="22"/>
      <c r="U295" s="22"/>
      <c r="W295" s="22"/>
      <c r="X295" s="22"/>
      <c r="Y295" s="22"/>
      <c r="AA295" s="22"/>
      <c r="AB295" s="22"/>
      <c r="AC295" s="22"/>
      <c r="AE295" s="24"/>
      <c r="AF295" s="24"/>
      <c r="AG295" s="24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6"/>
      <c r="AW295" s="24"/>
      <c r="AX295" s="20"/>
      <c r="AY295" s="21"/>
      <c r="AZ295" s="22"/>
      <c r="BA295" s="22"/>
      <c r="BB295" s="22"/>
      <c r="BD295" s="22"/>
      <c r="BE295" s="22"/>
      <c r="BF295" s="22"/>
      <c r="BH295" s="22"/>
      <c r="BI295" s="22"/>
      <c r="BJ295" s="22"/>
      <c r="BL295" s="22"/>
      <c r="BM295" s="22"/>
      <c r="BN295" s="22"/>
      <c r="BP295" s="22"/>
      <c r="BQ295" s="22"/>
      <c r="BR295" s="22"/>
      <c r="BT295" s="22"/>
      <c r="BU295" s="22"/>
      <c r="BV295" s="22"/>
      <c r="BX295" s="22"/>
      <c r="BY295" s="22"/>
      <c r="BZ295" s="22"/>
      <c r="CB295" s="24"/>
      <c r="CC295" s="24"/>
      <c r="CD295" s="24"/>
      <c r="CE295" s="25"/>
      <c r="CF295" s="25"/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6"/>
      <c r="CT295" s="24"/>
      <c r="CU295" s="24"/>
      <c r="CV295" s="24"/>
      <c r="CW295" s="24"/>
      <c r="CX295" s="24"/>
      <c r="CY295" s="24"/>
      <c r="CZ295" s="24"/>
      <c r="DA295" s="24"/>
      <c r="DB295" s="24"/>
      <c r="DC295" s="24"/>
      <c r="DD295" s="24"/>
      <c r="DE295" s="24"/>
      <c r="DF295" s="24"/>
      <c r="DG295" s="24"/>
      <c r="DH295" s="24"/>
      <c r="DI295" s="24"/>
      <c r="DJ295" s="24"/>
      <c r="DK295" s="24"/>
      <c r="DL295" s="24"/>
      <c r="DM295" s="24"/>
      <c r="DN295" s="24"/>
      <c r="DO295" s="24"/>
      <c r="DP295" s="24"/>
      <c r="DQ295" s="24"/>
      <c r="DR295" s="24"/>
      <c r="DS295" s="24"/>
      <c r="DT295" s="24"/>
      <c r="DU295" s="24"/>
      <c r="DV295" s="24"/>
      <c r="DW295" s="24"/>
      <c r="DX295" s="24"/>
      <c r="DY295" s="24"/>
      <c r="DZ295" s="24"/>
      <c r="EA295" s="24"/>
      <c r="EB295" s="24"/>
      <c r="EC295" s="24"/>
      <c r="ED295" s="24"/>
      <c r="EE295" s="24"/>
      <c r="EF295" s="24"/>
      <c r="EG295" s="24"/>
      <c r="EH295" s="24"/>
      <c r="EI295" s="24"/>
      <c r="EJ295" s="24"/>
      <c r="EK295" s="24"/>
      <c r="EL295" s="24"/>
      <c r="EM295" s="24"/>
      <c r="EN295" s="24"/>
      <c r="EO295" s="24"/>
      <c r="EP295" s="24"/>
      <c r="EQ295" s="24"/>
      <c r="ER295" s="24"/>
      <c r="ES295" s="24"/>
      <c r="ET295" s="24"/>
      <c r="EU295" s="24"/>
      <c r="EV295" s="24"/>
      <c r="EW295" s="24"/>
      <c r="EX295" s="24"/>
      <c r="EY295" s="24"/>
      <c r="EZ295" s="24"/>
      <c r="FA295" s="24"/>
      <c r="FB295" s="24"/>
      <c r="FC295" s="24"/>
      <c r="FD295" s="24"/>
      <c r="FE295" s="24"/>
      <c r="FF295" s="24"/>
      <c r="FG295" s="24"/>
      <c r="FH295" s="24"/>
      <c r="FI295" s="24"/>
      <c r="FJ295" s="24"/>
      <c r="FK295" s="24"/>
      <c r="FL295" s="24"/>
      <c r="FM295" s="24"/>
      <c r="FN295" s="24"/>
      <c r="FO295" s="24"/>
      <c r="FP295" s="24"/>
      <c r="FQ295" s="24"/>
      <c r="FR295" s="24"/>
      <c r="FS295" s="24"/>
      <c r="FT295" s="24"/>
      <c r="FU295" s="24"/>
      <c r="FV295" s="24"/>
      <c r="FW295" s="24"/>
      <c r="FX295" s="24"/>
      <c r="FY295" s="24"/>
      <c r="FZ295" s="24"/>
      <c r="GA295" s="24"/>
      <c r="GB295" s="24"/>
      <c r="GC295" s="24"/>
      <c r="GD295" s="24"/>
      <c r="GE295" s="24"/>
      <c r="GF295" s="24"/>
      <c r="GG295" s="24"/>
      <c r="GH295" s="24"/>
      <c r="GI295" s="24"/>
      <c r="GJ295" s="24"/>
      <c r="GK295" s="24"/>
      <c r="GL295" s="24"/>
      <c r="GM295" s="24"/>
      <c r="GN295" s="24"/>
      <c r="GO295" s="24"/>
      <c r="GP295" s="24"/>
      <c r="GQ295" s="24"/>
      <c r="GR295" s="24"/>
    </row>
    <row r="296" spans="1:200" s="23" customFormat="1" ht="14.25" customHeight="1">
      <c r="A296" s="20"/>
      <c r="B296" s="21"/>
      <c r="C296" s="22"/>
      <c r="D296" s="22"/>
      <c r="E296" s="22"/>
      <c r="G296" s="22"/>
      <c r="H296" s="22"/>
      <c r="I296" s="22"/>
      <c r="K296" s="22"/>
      <c r="L296" s="22"/>
      <c r="M296" s="22"/>
      <c r="O296" s="22"/>
      <c r="P296" s="22"/>
      <c r="Q296" s="22"/>
      <c r="S296" s="22"/>
      <c r="T296" s="22"/>
      <c r="U296" s="22"/>
      <c r="W296" s="22"/>
      <c r="X296" s="22"/>
      <c r="Y296" s="22"/>
      <c r="AA296" s="22"/>
      <c r="AB296" s="22"/>
      <c r="AC296" s="22"/>
      <c r="AE296" s="24"/>
      <c r="AF296" s="24"/>
      <c r="AG296" s="24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6"/>
      <c r="AW296" s="24"/>
      <c r="AX296" s="20"/>
      <c r="AY296" s="21"/>
      <c r="AZ296" s="22"/>
      <c r="BA296" s="22"/>
      <c r="BB296" s="22"/>
      <c r="BD296" s="22"/>
      <c r="BE296" s="22"/>
      <c r="BF296" s="22"/>
      <c r="BH296" s="22"/>
      <c r="BI296" s="22"/>
      <c r="BJ296" s="22"/>
      <c r="BL296" s="22"/>
      <c r="BM296" s="22"/>
      <c r="BN296" s="22"/>
      <c r="BP296" s="22"/>
      <c r="BQ296" s="22"/>
      <c r="BR296" s="22"/>
      <c r="BT296" s="22"/>
      <c r="BU296" s="22"/>
      <c r="BV296" s="22"/>
      <c r="BX296" s="22"/>
      <c r="BY296" s="22"/>
      <c r="BZ296" s="22"/>
      <c r="CB296" s="24"/>
      <c r="CC296" s="24"/>
      <c r="CD296" s="24"/>
      <c r="CE296" s="25"/>
      <c r="CF296" s="25"/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6"/>
      <c r="CT296" s="24"/>
      <c r="CU296" s="24"/>
      <c r="CV296" s="24"/>
      <c r="CW296" s="24"/>
      <c r="CX296" s="24"/>
      <c r="CY296" s="24"/>
      <c r="CZ296" s="24"/>
      <c r="DA296" s="24"/>
      <c r="DB296" s="24"/>
      <c r="DC296" s="24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4"/>
      <c r="DP296" s="24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4"/>
      <c r="EC296" s="24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4"/>
      <c r="EP296" s="24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4"/>
      <c r="FC296" s="24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4"/>
      <c r="FP296" s="24"/>
      <c r="FQ296" s="24"/>
      <c r="FR296" s="24"/>
      <c r="FS296" s="24"/>
      <c r="FT296" s="24"/>
      <c r="FU296" s="24"/>
      <c r="FV296" s="24"/>
      <c r="FW296" s="24"/>
      <c r="FX296" s="24"/>
      <c r="FY296" s="24"/>
      <c r="FZ296" s="24"/>
      <c r="GA296" s="24"/>
      <c r="GB296" s="24"/>
      <c r="GC296" s="24"/>
      <c r="GD296" s="24"/>
      <c r="GE296" s="24"/>
      <c r="GF296" s="24"/>
      <c r="GG296" s="24"/>
      <c r="GH296" s="24"/>
      <c r="GI296" s="24"/>
      <c r="GJ296" s="24"/>
      <c r="GK296" s="24"/>
      <c r="GL296" s="24"/>
      <c r="GM296" s="24"/>
      <c r="GN296" s="24"/>
      <c r="GO296" s="24"/>
      <c r="GP296" s="24"/>
      <c r="GQ296" s="24"/>
      <c r="GR296" s="24"/>
    </row>
    <row r="297" spans="1:200" s="23" customFormat="1" ht="14.25" customHeight="1">
      <c r="A297" s="20"/>
      <c r="B297" s="21"/>
      <c r="C297" s="22"/>
      <c r="D297" s="22"/>
      <c r="E297" s="22"/>
      <c r="G297" s="22"/>
      <c r="H297" s="22"/>
      <c r="I297" s="22"/>
      <c r="K297" s="22"/>
      <c r="L297" s="22"/>
      <c r="M297" s="22"/>
      <c r="O297" s="22"/>
      <c r="P297" s="22"/>
      <c r="Q297" s="22"/>
      <c r="S297" s="22"/>
      <c r="T297" s="22"/>
      <c r="U297" s="22"/>
      <c r="W297" s="22"/>
      <c r="X297" s="22"/>
      <c r="Y297" s="22"/>
      <c r="AA297" s="22"/>
      <c r="AB297" s="22"/>
      <c r="AC297" s="22"/>
      <c r="AE297" s="24"/>
      <c r="AF297" s="24"/>
      <c r="AG297" s="24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6"/>
      <c r="AW297" s="24"/>
      <c r="AX297" s="20"/>
      <c r="AY297" s="21"/>
      <c r="AZ297" s="22"/>
      <c r="BA297" s="22"/>
      <c r="BB297" s="22"/>
      <c r="BD297" s="22"/>
      <c r="BE297" s="22"/>
      <c r="BF297" s="22"/>
      <c r="BH297" s="22"/>
      <c r="BI297" s="22"/>
      <c r="BJ297" s="22"/>
      <c r="BL297" s="22"/>
      <c r="BM297" s="22"/>
      <c r="BN297" s="22"/>
      <c r="BP297" s="22"/>
      <c r="BQ297" s="22"/>
      <c r="BR297" s="22"/>
      <c r="BT297" s="22"/>
      <c r="BU297" s="22"/>
      <c r="BV297" s="22"/>
      <c r="BX297" s="22"/>
      <c r="BY297" s="22"/>
      <c r="BZ297" s="22"/>
      <c r="CB297" s="24"/>
      <c r="CC297" s="24"/>
      <c r="CD297" s="24"/>
      <c r="CE297" s="25"/>
      <c r="CF297" s="25"/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6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  <c r="DV297" s="24"/>
      <c r="DW297" s="24"/>
      <c r="DX297" s="24"/>
      <c r="DY297" s="24"/>
      <c r="DZ297" s="24"/>
      <c r="EA297" s="24"/>
      <c r="EB297" s="24"/>
      <c r="EC297" s="24"/>
      <c r="ED297" s="24"/>
      <c r="EE297" s="24"/>
      <c r="EF297" s="24"/>
      <c r="EG297" s="24"/>
      <c r="EH297" s="24"/>
      <c r="EI297" s="24"/>
      <c r="EJ297" s="24"/>
      <c r="EK297" s="24"/>
      <c r="EL297" s="24"/>
      <c r="EM297" s="24"/>
      <c r="EN297" s="24"/>
      <c r="EO297" s="24"/>
      <c r="EP297" s="24"/>
      <c r="EQ297" s="24"/>
      <c r="ER297" s="24"/>
      <c r="ES297" s="24"/>
      <c r="ET297" s="24"/>
      <c r="EU297" s="24"/>
      <c r="EV297" s="24"/>
      <c r="EW297" s="24"/>
      <c r="EX297" s="24"/>
      <c r="EY297" s="24"/>
      <c r="EZ297" s="24"/>
      <c r="FA297" s="24"/>
      <c r="FB297" s="24"/>
      <c r="FC297" s="24"/>
      <c r="FD297" s="24"/>
      <c r="FE297" s="24"/>
      <c r="FF297" s="24"/>
      <c r="FG297" s="24"/>
      <c r="FH297" s="24"/>
      <c r="FI297" s="24"/>
      <c r="FJ297" s="24"/>
      <c r="FK297" s="24"/>
      <c r="FL297" s="24"/>
      <c r="FM297" s="24"/>
      <c r="FN297" s="24"/>
      <c r="FO297" s="24"/>
      <c r="FP297" s="24"/>
      <c r="FQ297" s="24"/>
      <c r="FR297" s="24"/>
      <c r="FS297" s="24"/>
      <c r="FT297" s="24"/>
      <c r="FU297" s="24"/>
      <c r="FV297" s="24"/>
      <c r="FW297" s="24"/>
      <c r="FX297" s="24"/>
      <c r="FY297" s="24"/>
      <c r="FZ297" s="24"/>
      <c r="GA297" s="24"/>
      <c r="GB297" s="24"/>
      <c r="GC297" s="24"/>
      <c r="GD297" s="24"/>
      <c r="GE297" s="24"/>
      <c r="GF297" s="24"/>
      <c r="GG297" s="24"/>
      <c r="GH297" s="24"/>
      <c r="GI297" s="24"/>
      <c r="GJ297" s="24"/>
      <c r="GK297" s="24"/>
      <c r="GL297" s="24"/>
      <c r="GM297" s="24"/>
      <c r="GN297" s="24"/>
      <c r="GO297" s="24"/>
      <c r="GP297" s="24"/>
      <c r="GQ297" s="24"/>
      <c r="GR297" s="24"/>
    </row>
    <row r="298" spans="1:200" s="23" customFormat="1" ht="14.25" customHeight="1">
      <c r="A298" s="20"/>
      <c r="B298" s="21"/>
      <c r="C298" s="22"/>
      <c r="D298" s="22"/>
      <c r="E298" s="22"/>
      <c r="G298" s="22"/>
      <c r="H298" s="22"/>
      <c r="I298" s="22"/>
      <c r="K298" s="22"/>
      <c r="L298" s="22"/>
      <c r="M298" s="22"/>
      <c r="O298" s="22"/>
      <c r="P298" s="22"/>
      <c r="Q298" s="22"/>
      <c r="S298" s="22"/>
      <c r="T298" s="22"/>
      <c r="U298" s="22"/>
      <c r="W298" s="22"/>
      <c r="X298" s="22"/>
      <c r="Y298" s="22"/>
      <c r="AA298" s="22"/>
      <c r="AB298" s="22"/>
      <c r="AC298" s="22"/>
      <c r="AE298" s="24"/>
      <c r="AF298" s="24"/>
      <c r="AG298" s="24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6"/>
      <c r="AW298" s="24"/>
      <c r="AX298" s="20"/>
      <c r="AY298" s="21"/>
      <c r="AZ298" s="22"/>
      <c r="BA298" s="22"/>
      <c r="BB298" s="22"/>
      <c r="BD298" s="22"/>
      <c r="BE298" s="22"/>
      <c r="BF298" s="22"/>
      <c r="BH298" s="22"/>
      <c r="BI298" s="22"/>
      <c r="BJ298" s="22"/>
      <c r="BL298" s="22"/>
      <c r="BM298" s="22"/>
      <c r="BN298" s="22"/>
      <c r="BP298" s="22"/>
      <c r="BQ298" s="22"/>
      <c r="BR298" s="22"/>
      <c r="BT298" s="22"/>
      <c r="BU298" s="22"/>
      <c r="BV298" s="22"/>
      <c r="BX298" s="22"/>
      <c r="BY298" s="22"/>
      <c r="BZ298" s="22"/>
      <c r="CB298" s="24"/>
      <c r="CC298" s="24"/>
      <c r="CD298" s="24"/>
      <c r="CE298" s="25"/>
      <c r="CF298" s="25"/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6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4"/>
      <c r="EC298" s="24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4"/>
      <c r="EP298" s="24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4"/>
      <c r="FC298" s="24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4"/>
      <c r="FP298" s="24"/>
      <c r="FQ298" s="24"/>
      <c r="FR298" s="24"/>
      <c r="FS298" s="24"/>
      <c r="FT298" s="24"/>
      <c r="FU298" s="24"/>
      <c r="FV298" s="24"/>
      <c r="FW298" s="24"/>
      <c r="FX298" s="24"/>
      <c r="FY298" s="24"/>
      <c r="FZ298" s="24"/>
      <c r="GA298" s="24"/>
      <c r="GB298" s="24"/>
      <c r="GC298" s="24"/>
      <c r="GD298" s="24"/>
      <c r="GE298" s="24"/>
      <c r="GF298" s="24"/>
      <c r="GG298" s="24"/>
      <c r="GH298" s="24"/>
      <c r="GI298" s="24"/>
      <c r="GJ298" s="24"/>
      <c r="GK298" s="24"/>
      <c r="GL298" s="24"/>
      <c r="GM298" s="24"/>
      <c r="GN298" s="24"/>
      <c r="GO298" s="24"/>
      <c r="GP298" s="24"/>
      <c r="GQ298" s="24"/>
      <c r="GR298" s="24"/>
    </row>
    <row r="299" spans="1:200" s="23" customFormat="1" ht="14.25" customHeight="1">
      <c r="A299" s="20"/>
      <c r="B299" s="21"/>
      <c r="C299" s="22"/>
      <c r="D299" s="22"/>
      <c r="E299" s="22"/>
      <c r="G299" s="22"/>
      <c r="H299" s="22"/>
      <c r="I299" s="22"/>
      <c r="K299" s="22"/>
      <c r="L299" s="22"/>
      <c r="M299" s="22"/>
      <c r="O299" s="22"/>
      <c r="P299" s="22"/>
      <c r="Q299" s="22"/>
      <c r="S299" s="22"/>
      <c r="T299" s="22"/>
      <c r="U299" s="22"/>
      <c r="W299" s="22"/>
      <c r="X299" s="22"/>
      <c r="Y299" s="22"/>
      <c r="AA299" s="22"/>
      <c r="AB299" s="22"/>
      <c r="AC299" s="22"/>
      <c r="AE299" s="24"/>
      <c r="AF299" s="24"/>
      <c r="AG299" s="24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6"/>
      <c r="AW299" s="24"/>
      <c r="AX299" s="20"/>
      <c r="AY299" s="21"/>
      <c r="AZ299" s="22"/>
      <c r="BA299" s="22"/>
      <c r="BB299" s="22"/>
      <c r="BD299" s="22"/>
      <c r="BE299" s="22"/>
      <c r="BF299" s="22"/>
      <c r="BH299" s="22"/>
      <c r="BI299" s="22"/>
      <c r="BJ299" s="22"/>
      <c r="BL299" s="22"/>
      <c r="BM299" s="22"/>
      <c r="BN299" s="22"/>
      <c r="BP299" s="22"/>
      <c r="BQ299" s="22"/>
      <c r="BR299" s="22"/>
      <c r="BT299" s="22"/>
      <c r="BU299" s="22"/>
      <c r="BV299" s="22"/>
      <c r="BX299" s="22"/>
      <c r="BY299" s="22"/>
      <c r="BZ299" s="22"/>
      <c r="CB299" s="24"/>
      <c r="CC299" s="24"/>
      <c r="CD299" s="24"/>
      <c r="CE299" s="25"/>
      <c r="CF299" s="25"/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6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  <c r="DV299" s="24"/>
      <c r="DW299" s="24"/>
      <c r="DX299" s="24"/>
      <c r="DY299" s="24"/>
      <c r="DZ299" s="24"/>
      <c r="EA299" s="24"/>
      <c r="EB299" s="24"/>
      <c r="EC299" s="24"/>
      <c r="ED299" s="24"/>
      <c r="EE299" s="24"/>
      <c r="EF299" s="24"/>
      <c r="EG299" s="24"/>
      <c r="EH299" s="24"/>
      <c r="EI299" s="24"/>
      <c r="EJ299" s="24"/>
      <c r="EK299" s="24"/>
      <c r="EL299" s="24"/>
      <c r="EM299" s="24"/>
      <c r="EN299" s="24"/>
      <c r="EO299" s="24"/>
      <c r="EP299" s="24"/>
      <c r="EQ299" s="24"/>
      <c r="ER299" s="24"/>
      <c r="ES299" s="24"/>
      <c r="ET299" s="24"/>
      <c r="EU299" s="24"/>
      <c r="EV299" s="24"/>
      <c r="EW299" s="24"/>
      <c r="EX299" s="24"/>
      <c r="EY299" s="24"/>
      <c r="EZ299" s="24"/>
      <c r="FA299" s="24"/>
      <c r="FB299" s="24"/>
      <c r="FC299" s="24"/>
      <c r="FD299" s="24"/>
      <c r="FE299" s="24"/>
      <c r="FF299" s="24"/>
      <c r="FG299" s="24"/>
      <c r="FH299" s="24"/>
      <c r="FI299" s="24"/>
      <c r="FJ299" s="24"/>
      <c r="FK299" s="24"/>
      <c r="FL299" s="24"/>
      <c r="FM299" s="24"/>
      <c r="FN299" s="24"/>
      <c r="FO299" s="24"/>
      <c r="FP299" s="24"/>
      <c r="FQ299" s="24"/>
      <c r="FR299" s="24"/>
      <c r="FS299" s="24"/>
      <c r="FT299" s="24"/>
      <c r="FU299" s="24"/>
      <c r="FV299" s="24"/>
      <c r="FW299" s="24"/>
      <c r="FX299" s="24"/>
      <c r="FY299" s="24"/>
      <c r="FZ299" s="24"/>
      <c r="GA299" s="24"/>
      <c r="GB299" s="24"/>
      <c r="GC299" s="24"/>
      <c r="GD299" s="24"/>
      <c r="GE299" s="24"/>
      <c r="GF299" s="24"/>
      <c r="GG299" s="24"/>
      <c r="GH299" s="24"/>
      <c r="GI299" s="24"/>
      <c r="GJ299" s="24"/>
      <c r="GK299" s="24"/>
      <c r="GL299" s="24"/>
      <c r="GM299" s="24"/>
      <c r="GN299" s="24"/>
      <c r="GO299" s="24"/>
      <c r="GP299" s="24"/>
      <c r="GQ299" s="24"/>
      <c r="GR299" s="24"/>
    </row>
    <row r="300" spans="1:200" s="23" customFormat="1" ht="14.25" customHeight="1">
      <c r="A300" s="20"/>
      <c r="B300" s="21"/>
      <c r="C300" s="22"/>
      <c r="D300" s="22"/>
      <c r="E300" s="22"/>
      <c r="G300" s="22"/>
      <c r="H300" s="22"/>
      <c r="I300" s="22"/>
      <c r="K300" s="22"/>
      <c r="L300" s="22"/>
      <c r="M300" s="22"/>
      <c r="O300" s="22"/>
      <c r="P300" s="22"/>
      <c r="Q300" s="22"/>
      <c r="S300" s="22"/>
      <c r="T300" s="22"/>
      <c r="U300" s="22"/>
      <c r="W300" s="22"/>
      <c r="X300" s="22"/>
      <c r="Y300" s="22"/>
      <c r="AA300" s="22"/>
      <c r="AB300" s="22"/>
      <c r="AC300" s="22"/>
      <c r="AE300" s="24"/>
      <c r="AF300" s="24"/>
      <c r="AG300" s="24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6"/>
      <c r="AW300" s="24"/>
      <c r="AX300" s="20"/>
      <c r="AY300" s="21"/>
      <c r="AZ300" s="22"/>
      <c r="BA300" s="22"/>
      <c r="BB300" s="22"/>
      <c r="BD300" s="22"/>
      <c r="BE300" s="22"/>
      <c r="BF300" s="22"/>
      <c r="BH300" s="22"/>
      <c r="BI300" s="22"/>
      <c r="BJ300" s="22"/>
      <c r="BL300" s="22"/>
      <c r="BM300" s="22"/>
      <c r="BN300" s="22"/>
      <c r="BP300" s="22"/>
      <c r="BQ300" s="22"/>
      <c r="BR300" s="22"/>
      <c r="BT300" s="22"/>
      <c r="BU300" s="22"/>
      <c r="BV300" s="22"/>
      <c r="BX300" s="22"/>
      <c r="BY300" s="22"/>
      <c r="BZ300" s="22"/>
      <c r="CB300" s="24"/>
      <c r="CC300" s="24"/>
      <c r="CD300" s="24"/>
      <c r="CE300" s="25"/>
      <c r="CF300" s="25"/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6"/>
      <c r="CT300" s="24"/>
      <c r="CU300" s="24"/>
      <c r="CV300" s="24"/>
      <c r="CW300" s="24"/>
      <c r="CX300" s="24"/>
      <c r="CY300" s="24"/>
      <c r="CZ300" s="24"/>
      <c r="DA300" s="24"/>
      <c r="DB300" s="24"/>
      <c r="DC300" s="24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4"/>
      <c r="DP300" s="24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4"/>
      <c r="EC300" s="24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4"/>
      <c r="EP300" s="24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4"/>
      <c r="FC300" s="24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4"/>
      <c r="FP300" s="24"/>
      <c r="FQ300" s="24"/>
      <c r="FR300" s="24"/>
      <c r="FS300" s="24"/>
      <c r="FT300" s="24"/>
      <c r="FU300" s="24"/>
      <c r="FV300" s="24"/>
      <c r="FW300" s="24"/>
      <c r="FX300" s="24"/>
      <c r="FY300" s="24"/>
      <c r="FZ300" s="24"/>
      <c r="GA300" s="24"/>
      <c r="GB300" s="24"/>
      <c r="GC300" s="24"/>
      <c r="GD300" s="24"/>
      <c r="GE300" s="24"/>
      <c r="GF300" s="24"/>
      <c r="GG300" s="24"/>
      <c r="GH300" s="24"/>
      <c r="GI300" s="24"/>
      <c r="GJ300" s="24"/>
      <c r="GK300" s="24"/>
      <c r="GL300" s="24"/>
      <c r="GM300" s="24"/>
      <c r="GN300" s="24"/>
      <c r="GO300" s="24"/>
      <c r="GP300" s="24"/>
      <c r="GQ300" s="24"/>
      <c r="GR300" s="24"/>
    </row>
    <row r="301" spans="1:200" s="23" customFormat="1" ht="14.25" customHeight="1">
      <c r="A301" s="20"/>
      <c r="B301" s="21"/>
      <c r="C301" s="22"/>
      <c r="D301" s="22"/>
      <c r="E301" s="22"/>
      <c r="G301" s="22"/>
      <c r="H301" s="22"/>
      <c r="I301" s="22"/>
      <c r="K301" s="22"/>
      <c r="L301" s="22"/>
      <c r="M301" s="22"/>
      <c r="O301" s="22"/>
      <c r="P301" s="22"/>
      <c r="Q301" s="22"/>
      <c r="S301" s="22"/>
      <c r="T301" s="22"/>
      <c r="U301" s="22"/>
      <c r="W301" s="22"/>
      <c r="X301" s="22"/>
      <c r="Y301" s="22"/>
      <c r="AA301" s="22"/>
      <c r="AB301" s="22"/>
      <c r="AC301" s="22"/>
      <c r="AE301" s="24"/>
      <c r="AF301" s="24"/>
      <c r="AG301" s="24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6"/>
      <c r="AW301" s="24"/>
      <c r="AX301" s="20"/>
      <c r="AY301" s="21"/>
      <c r="AZ301" s="22"/>
      <c r="BA301" s="22"/>
      <c r="BB301" s="22"/>
      <c r="BD301" s="22"/>
      <c r="BE301" s="22"/>
      <c r="BF301" s="22"/>
      <c r="BH301" s="22"/>
      <c r="BI301" s="22"/>
      <c r="BJ301" s="22"/>
      <c r="BL301" s="22"/>
      <c r="BM301" s="22"/>
      <c r="BN301" s="22"/>
      <c r="BP301" s="22"/>
      <c r="BQ301" s="22"/>
      <c r="BR301" s="22"/>
      <c r="BT301" s="22"/>
      <c r="BU301" s="22"/>
      <c r="BV301" s="22"/>
      <c r="BX301" s="22"/>
      <c r="BY301" s="22"/>
      <c r="BZ301" s="22"/>
      <c r="CB301" s="24"/>
      <c r="CC301" s="24"/>
      <c r="CD301" s="24"/>
      <c r="CE301" s="25"/>
      <c r="CF301" s="25"/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6"/>
      <c r="CT301" s="24"/>
      <c r="CU301" s="24"/>
      <c r="CV301" s="24"/>
      <c r="CW301" s="24"/>
      <c r="CX301" s="24"/>
      <c r="CY301" s="24"/>
      <c r="CZ301" s="24"/>
      <c r="DA301" s="24"/>
      <c r="DB301" s="24"/>
      <c r="DC301" s="24"/>
      <c r="DD301" s="24"/>
      <c r="DE301" s="24"/>
      <c r="DF301" s="24"/>
      <c r="DG301" s="24"/>
      <c r="DH301" s="24"/>
      <c r="DI301" s="24"/>
      <c r="DJ301" s="24"/>
      <c r="DK301" s="24"/>
      <c r="DL301" s="24"/>
      <c r="DM301" s="24"/>
      <c r="DN301" s="24"/>
      <c r="DO301" s="24"/>
      <c r="DP301" s="24"/>
      <c r="DQ301" s="24"/>
      <c r="DR301" s="24"/>
      <c r="DS301" s="24"/>
      <c r="DT301" s="24"/>
      <c r="DU301" s="24"/>
      <c r="DV301" s="24"/>
      <c r="DW301" s="24"/>
      <c r="DX301" s="24"/>
      <c r="DY301" s="24"/>
      <c r="DZ301" s="24"/>
      <c r="EA301" s="24"/>
      <c r="EB301" s="24"/>
      <c r="EC301" s="24"/>
      <c r="ED301" s="24"/>
      <c r="EE301" s="24"/>
      <c r="EF301" s="24"/>
      <c r="EG301" s="24"/>
      <c r="EH301" s="24"/>
      <c r="EI301" s="24"/>
      <c r="EJ301" s="24"/>
      <c r="EK301" s="24"/>
      <c r="EL301" s="24"/>
      <c r="EM301" s="24"/>
      <c r="EN301" s="24"/>
      <c r="EO301" s="24"/>
      <c r="EP301" s="24"/>
      <c r="EQ301" s="24"/>
      <c r="ER301" s="24"/>
      <c r="ES301" s="24"/>
      <c r="ET301" s="24"/>
      <c r="EU301" s="24"/>
      <c r="EV301" s="24"/>
      <c r="EW301" s="24"/>
      <c r="EX301" s="24"/>
      <c r="EY301" s="24"/>
      <c r="EZ301" s="24"/>
      <c r="FA301" s="24"/>
      <c r="FB301" s="24"/>
      <c r="FC301" s="24"/>
      <c r="FD301" s="24"/>
      <c r="FE301" s="24"/>
      <c r="FF301" s="24"/>
      <c r="FG301" s="24"/>
      <c r="FH301" s="24"/>
      <c r="FI301" s="24"/>
      <c r="FJ301" s="24"/>
      <c r="FK301" s="24"/>
      <c r="FL301" s="24"/>
      <c r="FM301" s="24"/>
      <c r="FN301" s="24"/>
      <c r="FO301" s="24"/>
      <c r="FP301" s="24"/>
      <c r="FQ301" s="24"/>
      <c r="FR301" s="24"/>
      <c r="FS301" s="24"/>
      <c r="FT301" s="24"/>
      <c r="FU301" s="24"/>
      <c r="FV301" s="24"/>
      <c r="FW301" s="24"/>
      <c r="FX301" s="24"/>
      <c r="FY301" s="24"/>
      <c r="FZ301" s="24"/>
      <c r="GA301" s="24"/>
      <c r="GB301" s="24"/>
      <c r="GC301" s="24"/>
      <c r="GD301" s="24"/>
      <c r="GE301" s="24"/>
      <c r="GF301" s="24"/>
      <c r="GG301" s="24"/>
      <c r="GH301" s="24"/>
      <c r="GI301" s="24"/>
      <c r="GJ301" s="24"/>
      <c r="GK301" s="24"/>
      <c r="GL301" s="24"/>
      <c r="GM301" s="24"/>
      <c r="GN301" s="24"/>
      <c r="GO301" s="24"/>
      <c r="GP301" s="24"/>
      <c r="GQ301" s="24"/>
      <c r="GR301" s="24"/>
    </row>
    <row r="302" spans="1:200" s="23" customFormat="1" ht="14.25" customHeight="1">
      <c r="A302" s="20"/>
      <c r="B302" s="21"/>
      <c r="C302" s="22"/>
      <c r="D302" s="22"/>
      <c r="E302" s="22"/>
      <c r="G302" s="22"/>
      <c r="H302" s="22"/>
      <c r="I302" s="22"/>
      <c r="K302" s="22"/>
      <c r="L302" s="22"/>
      <c r="M302" s="22"/>
      <c r="O302" s="22"/>
      <c r="P302" s="22"/>
      <c r="Q302" s="22"/>
      <c r="S302" s="22"/>
      <c r="T302" s="22"/>
      <c r="U302" s="22"/>
      <c r="W302" s="22"/>
      <c r="X302" s="22"/>
      <c r="Y302" s="22"/>
      <c r="AA302" s="22"/>
      <c r="AB302" s="22"/>
      <c r="AC302" s="22"/>
      <c r="AE302" s="24"/>
      <c r="AF302" s="24"/>
      <c r="AG302" s="24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6"/>
      <c r="AW302" s="24"/>
      <c r="AX302" s="20"/>
      <c r="AY302" s="21"/>
      <c r="AZ302" s="22"/>
      <c r="BA302" s="22"/>
      <c r="BB302" s="22"/>
      <c r="BD302" s="22"/>
      <c r="BE302" s="22"/>
      <c r="BF302" s="22"/>
      <c r="BH302" s="22"/>
      <c r="BI302" s="22"/>
      <c r="BJ302" s="22"/>
      <c r="BL302" s="22"/>
      <c r="BM302" s="22"/>
      <c r="BN302" s="22"/>
      <c r="BP302" s="22"/>
      <c r="BQ302" s="22"/>
      <c r="BR302" s="22"/>
      <c r="BT302" s="22"/>
      <c r="BU302" s="22"/>
      <c r="BV302" s="22"/>
      <c r="BX302" s="22"/>
      <c r="BY302" s="22"/>
      <c r="BZ302" s="22"/>
      <c r="CB302" s="24"/>
      <c r="CC302" s="24"/>
      <c r="CD302" s="24"/>
      <c r="CE302" s="25"/>
      <c r="CF302" s="25"/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6"/>
      <c r="CT302" s="24"/>
      <c r="CU302" s="24"/>
      <c r="CV302" s="24"/>
      <c r="CW302" s="24"/>
      <c r="CX302" s="24"/>
      <c r="CY302" s="24"/>
      <c r="CZ302" s="24"/>
      <c r="DA302" s="24"/>
      <c r="DB302" s="24"/>
      <c r="DC302" s="24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4"/>
      <c r="DP302" s="24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4"/>
      <c r="EC302" s="24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4"/>
      <c r="EP302" s="24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4"/>
      <c r="FC302" s="24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4"/>
      <c r="FP302" s="24"/>
      <c r="FQ302" s="24"/>
      <c r="FR302" s="24"/>
      <c r="FS302" s="24"/>
      <c r="FT302" s="24"/>
      <c r="FU302" s="24"/>
      <c r="FV302" s="24"/>
      <c r="FW302" s="24"/>
      <c r="FX302" s="24"/>
      <c r="FY302" s="24"/>
      <c r="FZ302" s="24"/>
      <c r="GA302" s="24"/>
      <c r="GB302" s="24"/>
      <c r="GC302" s="24"/>
      <c r="GD302" s="24"/>
      <c r="GE302" s="24"/>
      <c r="GF302" s="24"/>
      <c r="GG302" s="24"/>
      <c r="GH302" s="24"/>
      <c r="GI302" s="24"/>
      <c r="GJ302" s="24"/>
      <c r="GK302" s="24"/>
      <c r="GL302" s="24"/>
      <c r="GM302" s="24"/>
      <c r="GN302" s="24"/>
      <c r="GO302" s="24"/>
      <c r="GP302" s="24"/>
      <c r="GQ302" s="24"/>
      <c r="GR302" s="24"/>
    </row>
    <row r="303" spans="1:200" s="23" customFormat="1" ht="14.25" customHeight="1">
      <c r="A303" s="20"/>
      <c r="B303" s="21"/>
      <c r="C303" s="22"/>
      <c r="D303" s="22"/>
      <c r="E303" s="22"/>
      <c r="G303" s="22"/>
      <c r="H303" s="22"/>
      <c r="I303" s="22"/>
      <c r="K303" s="22"/>
      <c r="L303" s="22"/>
      <c r="M303" s="22"/>
      <c r="O303" s="22"/>
      <c r="P303" s="22"/>
      <c r="Q303" s="22"/>
      <c r="S303" s="22"/>
      <c r="T303" s="22"/>
      <c r="U303" s="22"/>
      <c r="W303" s="22"/>
      <c r="X303" s="22"/>
      <c r="Y303" s="22"/>
      <c r="AA303" s="22"/>
      <c r="AB303" s="22"/>
      <c r="AC303" s="22"/>
      <c r="AE303" s="24"/>
      <c r="AF303" s="24"/>
      <c r="AG303" s="24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6"/>
      <c r="AW303" s="24"/>
      <c r="AX303" s="20"/>
      <c r="AY303" s="21"/>
      <c r="AZ303" s="22"/>
      <c r="BA303" s="22"/>
      <c r="BB303" s="22"/>
      <c r="BD303" s="22"/>
      <c r="BE303" s="22"/>
      <c r="BF303" s="22"/>
      <c r="BH303" s="22"/>
      <c r="BI303" s="22"/>
      <c r="BJ303" s="22"/>
      <c r="BL303" s="22"/>
      <c r="BM303" s="22"/>
      <c r="BN303" s="22"/>
      <c r="BP303" s="22"/>
      <c r="BQ303" s="22"/>
      <c r="BR303" s="22"/>
      <c r="BT303" s="22"/>
      <c r="BU303" s="22"/>
      <c r="BV303" s="22"/>
      <c r="BX303" s="22"/>
      <c r="BY303" s="22"/>
      <c r="BZ303" s="22"/>
      <c r="CB303" s="24"/>
      <c r="CC303" s="24"/>
      <c r="CD303" s="24"/>
      <c r="CE303" s="25"/>
      <c r="CF303" s="25"/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6"/>
      <c r="CT303" s="24"/>
      <c r="CU303" s="24"/>
      <c r="CV303" s="24"/>
      <c r="CW303" s="24"/>
      <c r="CX303" s="24"/>
      <c r="CY303" s="24"/>
      <c r="CZ303" s="24"/>
      <c r="DA303" s="24"/>
      <c r="DB303" s="24"/>
      <c r="DC303" s="24"/>
      <c r="DD303" s="24"/>
      <c r="DE303" s="24"/>
      <c r="DF303" s="24"/>
      <c r="DG303" s="24"/>
      <c r="DH303" s="24"/>
      <c r="DI303" s="24"/>
      <c r="DJ303" s="24"/>
      <c r="DK303" s="24"/>
      <c r="DL303" s="24"/>
      <c r="DM303" s="24"/>
      <c r="DN303" s="24"/>
      <c r="DO303" s="24"/>
      <c r="DP303" s="24"/>
      <c r="DQ303" s="24"/>
      <c r="DR303" s="24"/>
      <c r="DS303" s="24"/>
      <c r="DT303" s="24"/>
      <c r="DU303" s="24"/>
      <c r="DV303" s="24"/>
      <c r="DW303" s="24"/>
      <c r="DX303" s="24"/>
      <c r="DY303" s="24"/>
      <c r="DZ303" s="24"/>
      <c r="EA303" s="24"/>
      <c r="EB303" s="24"/>
      <c r="EC303" s="24"/>
      <c r="ED303" s="24"/>
      <c r="EE303" s="24"/>
      <c r="EF303" s="24"/>
      <c r="EG303" s="24"/>
      <c r="EH303" s="24"/>
      <c r="EI303" s="24"/>
      <c r="EJ303" s="24"/>
      <c r="EK303" s="24"/>
      <c r="EL303" s="24"/>
      <c r="EM303" s="24"/>
      <c r="EN303" s="24"/>
      <c r="EO303" s="24"/>
      <c r="EP303" s="24"/>
      <c r="EQ303" s="24"/>
      <c r="ER303" s="24"/>
      <c r="ES303" s="24"/>
      <c r="ET303" s="24"/>
      <c r="EU303" s="24"/>
      <c r="EV303" s="24"/>
      <c r="EW303" s="24"/>
      <c r="EX303" s="24"/>
      <c r="EY303" s="24"/>
      <c r="EZ303" s="24"/>
      <c r="FA303" s="24"/>
      <c r="FB303" s="24"/>
      <c r="FC303" s="24"/>
      <c r="FD303" s="24"/>
      <c r="FE303" s="24"/>
      <c r="FF303" s="24"/>
      <c r="FG303" s="24"/>
      <c r="FH303" s="24"/>
      <c r="FI303" s="24"/>
      <c r="FJ303" s="24"/>
      <c r="FK303" s="24"/>
      <c r="FL303" s="24"/>
      <c r="FM303" s="24"/>
      <c r="FN303" s="24"/>
      <c r="FO303" s="24"/>
      <c r="FP303" s="24"/>
      <c r="FQ303" s="24"/>
      <c r="FR303" s="24"/>
      <c r="FS303" s="24"/>
      <c r="FT303" s="24"/>
      <c r="FU303" s="24"/>
      <c r="FV303" s="24"/>
      <c r="FW303" s="24"/>
      <c r="FX303" s="24"/>
      <c r="FY303" s="24"/>
      <c r="FZ303" s="24"/>
      <c r="GA303" s="24"/>
      <c r="GB303" s="24"/>
      <c r="GC303" s="24"/>
      <c r="GD303" s="24"/>
      <c r="GE303" s="24"/>
      <c r="GF303" s="24"/>
      <c r="GG303" s="24"/>
      <c r="GH303" s="24"/>
      <c r="GI303" s="24"/>
      <c r="GJ303" s="24"/>
      <c r="GK303" s="24"/>
      <c r="GL303" s="24"/>
      <c r="GM303" s="24"/>
      <c r="GN303" s="24"/>
      <c r="GO303" s="24"/>
      <c r="GP303" s="24"/>
      <c r="GQ303" s="24"/>
      <c r="GR303" s="24"/>
    </row>
    <row r="304" spans="1:200" s="23" customFormat="1" ht="14.25" customHeight="1">
      <c r="A304" s="20"/>
      <c r="B304" s="21"/>
      <c r="C304" s="22"/>
      <c r="D304" s="22"/>
      <c r="E304" s="22"/>
      <c r="G304" s="22"/>
      <c r="H304" s="22"/>
      <c r="I304" s="22"/>
      <c r="K304" s="22"/>
      <c r="L304" s="22"/>
      <c r="M304" s="22"/>
      <c r="O304" s="22"/>
      <c r="P304" s="22"/>
      <c r="Q304" s="22"/>
      <c r="S304" s="22"/>
      <c r="T304" s="22"/>
      <c r="U304" s="22"/>
      <c r="W304" s="22"/>
      <c r="X304" s="22"/>
      <c r="Y304" s="22"/>
      <c r="AA304" s="22"/>
      <c r="AB304" s="22"/>
      <c r="AC304" s="22"/>
      <c r="AE304" s="24"/>
      <c r="AF304" s="24"/>
      <c r="AG304" s="24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6"/>
      <c r="AW304" s="24"/>
      <c r="AX304" s="20"/>
      <c r="AY304" s="21"/>
      <c r="AZ304" s="22"/>
      <c r="BA304" s="22"/>
      <c r="BB304" s="22"/>
      <c r="BD304" s="22"/>
      <c r="BE304" s="22"/>
      <c r="BF304" s="22"/>
      <c r="BH304" s="22"/>
      <c r="BI304" s="22"/>
      <c r="BJ304" s="22"/>
      <c r="BL304" s="22"/>
      <c r="BM304" s="22"/>
      <c r="BN304" s="22"/>
      <c r="BP304" s="22"/>
      <c r="BQ304" s="22"/>
      <c r="BR304" s="22"/>
      <c r="BT304" s="22"/>
      <c r="BU304" s="22"/>
      <c r="BV304" s="22"/>
      <c r="BX304" s="22"/>
      <c r="BY304" s="22"/>
      <c r="BZ304" s="22"/>
      <c r="CB304" s="24"/>
      <c r="CC304" s="24"/>
      <c r="CD304" s="24"/>
      <c r="CE304" s="25"/>
      <c r="CF304" s="25"/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6"/>
      <c r="CT304" s="24"/>
      <c r="CU304" s="24"/>
      <c r="CV304" s="24"/>
      <c r="CW304" s="24"/>
      <c r="CX304" s="24"/>
      <c r="CY304" s="24"/>
      <c r="CZ304" s="24"/>
      <c r="DA304" s="24"/>
      <c r="DB304" s="24"/>
      <c r="DC304" s="24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4"/>
      <c r="DP304" s="24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4"/>
      <c r="EC304" s="24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4"/>
      <c r="EP304" s="24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4"/>
      <c r="FC304" s="24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4"/>
      <c r="FP304" s="24"/>
      <c r="FQ304" s="24"/>
      <c r="FR304" s="24"/>
      <c r="FS304" s="24"/>
      <c r="FT304" s="24"/>
      <c r="FU304" s="24"/>
      <c r="FV304" s="24"/>
      <c r="FW304" s="24"/>
      <c r="FX304" s="24"/>
      <c r="FY304" s="24"/>
      <c r="FZ304" s="24"/>
      <c r="GA304" s="24"/>
      <c r="GB304" s="24"/>
      <c r="GC304" s="24"/>
      <c r="GD304" s="24"/>
      <c r="GE304" s="24"/>
      <c r="GF304" s="24"/>
      <c r="GG304" s="24"/>
      <c r="GH304" s="24"/>
      <c r="GI304" s="24"/>
      <c r="GJ304" s="24"/>
      <c r="GK304" s="24"/>
      <c r="GL304" s="24"/>
      <c r="GM304" s="24"/>
      <c r="GN304" s="24"/>
      <c r="GO304" s="24"/>
      <c r="GP304" s="24"/>
      <c r="GQ304" s="24"/>
      <c r="GR304" s="24"/>
    </row>
    <row r="305" spans="1:200" s="23" customFormat="1" ht="14.25" customHeight="1">
      <c r="A305" s="20"/>
      <c r="B305" s="21"/>
      <c r="C305" s="22"/>
      <c r="D305" s="22"/>
      <c r="E305" s="22"/>
      <c r="G305" s="22"/>
      <c r="H305" s="22"/>
      <c r="I305" s="22"/>
      <c r="K305" s="22"/>
      <c r="L305" s="22"/>
      <c r="M305" s="22"/>
      <c r="O305" s="22"/>
      <c r="P305" s="22"/>
      <c r="Q305" s="22"/>
      <c r="S305" s="22"/>
      <c r="T305" s="22"/>
      <c r="U305" s="22"/>
      <c r="W305" s="22"/>
      <c r="X305" s="22"/>
      <c r="Y305" s="22"/>
      <c r="AA305" s="22"/>
      <c r="AB305" s="22"/>
      <c r="AC305" s="22"/>
      <c r="AE305" s="24"/>
      <c r="AF305" s="24"/>
      <c r="AG305" s="24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6"/>
      <c r="AW305" s="24"/>
      <c r="AX305" s="20"/>
      <c r="AY305" s="21"/>
      <c r="AZ305" s="22"/>
      <c r="BA305" s="22"/>
      <c r="BB305" s="22"/>
      <c r="BD305" s="22"/>
      <c r="BE305" s="22"/>
      <c r="BF305" s="22"/>
      <c r="BH305" s="22"/>
      <c r="BI305" s="22"/>
      <c r="BJ305" s="22"/>
      <c r="BL305" s="22"/>
      <c r="BM305" s="22"/>
      <c r="BN305" s="22"/>
      <c r="BP305" s="22"/>
      <c r="BQ305" s="22"/>
      <c r="BR305" s="22"/>
      <c r="BT305" s="22"/>
      <c r="BU305" s="22"/>
      <c r="BV305" s="22"/>
      <c r="BX305" s="22"/>
      <c r="BY305" s="22"/>
      <c r="BZ305" s="22"/>
      <c r="CB305" s="24"/>
      <c r="CC305" s="24"/>
      <c r="CD305" s="24"/>
      <c r="CE305" s="25"/>
      <c r="CF305" s="25"/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6"/>
      <c r="CT305" s="24"/>
      <c r="CU305" s="24"/>
      <c r="CV305" s="24"/>
      <c r="CW305" s="24"/>
      <c r="CX305" s="24"/>
      <c r="CY305" s="24"/>
      <c r="CZ305" s="24"/>
      <c r="DA305" s="24"/>
      <c r="DB305" s="24"/>
      <c r="DC305" s="24"/>
      <c r="DD305" s="24"/>
      <c r="DE305" s="24"/>
      <c r="DF305" s="24"/>
      <c r="DG305" s="24"/>
      <c r="DH305" s="24"/>
      <c r="DI305" s="24"/>
      <c r="DJ305" s="24"/>
      <c r="DK305" s="24"/>
      <c r="DL305" s="24"/>
      <c r="DM305" s="24"/>
      <c r="DN305" s="24"/>
      <c r="DO305" s="24"/>
      <c r="DP305" s="24"/>
      <c r="DQ305" s="24"/>
      <c r="DR305" s="24"/>
      <c r="DS305" s="24"/>
      <c r="DT305" s="24"/>
      <c r="DU305" s="24"/>
      <c r="DV305" s="24"/>
      <c r="DW305" s="24"/>
      <c r="DX305" s="24"/>
      <c r="DY305" s="24"/>
      <c r="DZ305" s="24"/>
      <c r="EA305" s="24"/>
      <c r="EB305" s="24"/>
      <c r="EC305" s="24"/>
      <c r="ED305" s="24"/>
      <c r="EE305" s="24"/>
      <c r="EF305" s="24"/>
      <c r="EG305" s="24"/>
      <c r="EH305" s="24"/>
      <c r="EI305" s="24"/>
      <c r="EJ305" s="24"/>
      <c r="EK305" s="24"/>
      <c r="EL305" s="24"/>
      <c r="EM305" s="24"/>
      <c r="EN305" s="24"/>
      <c r="EO305" s="24"/>
      <c r="EP305" s="24"/>
      <c r="EQ305" s="24"/>
      <c r="ER305" s="24"/>
      <c r="ES305" s="24"/>
      <c r="ET305" s="24"/>
      <c r="EU305" s="24"/>
      <c r="EV305" s="24"/>
      <c r="EW305" s="24"/>
      <c r="EX305" s="24"/>
      <c r="EY305" s="24"/>
      <c r="EZ305" s="24"/>
      <c r="FA305" s="24"/>
      <c r="FB305" s="24"/>
      <c r="FC305" s="24"/>
      <c r="FD305" s="24"/>
      <c r="FE305" s="24"/>
      <c r="FF305" s="24"/>
      <c r="FG305" s="24"/>
      <c r="FH305" s="24"/>
      <c r="FI305" s="24"/>
      <c r="FJ305" s="24"/>
      <c r="FK305" s="24"/>
      <c r="FL305" s="24"/>
      <c r="FM305" s="24"/>
      <c r="FN305" s="24"/>
      <c r="FO305" s="24"/>
      <c r="FP305" s="24"/>
      <c r="FQ305" s="24"/>
      <c r="FR305" s="24"/>
      <c r="FS305" s="24"/>
      <c r="FT305" s="24"/>
      <c r="FU305" s="24"/>
      <c r="FV305" s="24"/>
      <c r="FW305" s="24"/>
      <c r="FX305" s="24"/>
      <c r="FY305" s="24"/>
      <c r="FZ305" s="24"/>
      <c r="GA305" s="24"/>
      <c r="GB305" s="24"/>
      <c r="GC305" s="24"/>
      <c r="GD305" s="24"/>
      <c r="GE305" s="24"/>
      <c r="GF305" s="24"/>
      <c r="GG305" s="24"/>
      <c r="GH305" s="24"/>
      <c r="GI305" s="24"/>
      <c r="GJ305" s="24"/>
      <c r="GK305" s="24"/>
      <c r="GL305" s="24"/>
      <c r="GM305" s="24"/>
      <c r="GN305" s="24"/>
      <c r="GO305" s="24"/>
      <c r="GP305" s="24"/>
      <c r="GQ305" s="24"/>
      <c r="GR305" s="24"/>
    </row>
    <row r="306" spans="1:200" s="23" customFormat="1" ht="14.25" customHeight="1">
      <c r="A306" s="20"/>
      <c r="B306" s="21"/>
      <c r="C306" s="22"/>
      <c r="D306" s="22"/>
      <c r="E306" s="22"/>
      <c r="G306" s="22"/>
      <c r="H306" s="22"/>
      <c r="I306" s="22"/>
      <c r="K306" s="22"/>
      <c r="L306" s="22"/>
      <c r="M306" s="22"/>
      <c r="O306" s="22"/>
      <c r="P306" s="22"/>
      <c r="Q306" s="22"/>
      <c r="S306" s="22"/>
      <c r="T306" s="22"/>
      <c r="U306" s="22"/>
      <c r="W306" s="22"/>
      <c r="X306" s="22"/>
      <c r="Y306" s="22"/>
      <c r="AA306" s="22"/>
      <c r="AB306" s="22"/>
      <c r="AC306" s="22"/>
      <c r="AE306" s="24"/>
      <c r="AF306" s="24"/>
      <c r="AG306" s="24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6"/>
      <c r="AW306" s="24"/>
      <c r="AX306" s="20"/>
      <c r="AY306" s="21"/>
      <c r="AZ306" s="22"/>
      <c r="BA306" s="22"/>
      <c r="BB306" s="22"/>
      <c r="BD306" s="22"/>
      <c r="BE306" s="22"/>
      <c r="BF306" s="22"/>
      <c r="BH306" s="22"/>
      <c r="BI306" s="22"/>
      <c r="BJ306" s="22"/>
      <c r="BL306" s="22"/>
      <c r="BM306" s="22"/>
      <c r="BN306" s="22"/>
      <c r="BP306" s="22"/>
      <c r="BQ306" s="22"/>
      <c r="BR306" s="22"/>
      <c r="BT306" s="22"/>
      <c r="BU306" s="22"/>
      <c r="BV306" s="22"/>
      <c r="BX306" s="22"/>
      <c r="BY306" s="22"/>
      <c r="BZ306" s="22"/>
      <c r="CB306" s="24"/>
      <c r="CC306" s="24"/>
      <c r="CD306" s="24"/>
      <c r="CE306" s="25"/>
      <c r="CF306" s="25"/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6"/>
      <c r="CT306" s="24"/>
      <c r="CU306" s="24"/>
      <c r="CV306" s="24"/>
      <c r="CW306" s="24"/>
      <c r="CX306" s="24"/>
      <c r="CY306" s="24"/>
      <c r="CZ306" s="24"/>
      <c r="DA306" s="24"/>
      <c r="DB306" s="24"/>
      <c r="DC306" s="24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4"/>
      <c r="DP306" s="24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4"/>
      <c r="EC306" s="24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4"/>
      <c r="EP306" s="24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4"/>
      <c r="FC306" s="24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4"/>
      <c r="FP306" s="24"/>
      <c r="FQ306" s="24"/>
      <c r="FR306" s="24"/>
      <c r="FS306" s="24"/>
      <c r="FT306" s="24"/>
      <c r="FU306" s="24"/>
      <c r="FV306" s="24"/>
      <c r="FW306" s="24"/>
      <c r="FX306" s="24"/>
      <c r="FY306" s="24"/>
      <c r="FZ306" s="24"/>
      <c r="GA306" s="24"/>
      <c r="GB306" s="24"/>
      <c r="GC306" s="24"/>
      <c r="GD306" s="24"/>
      <c r="GE306" s="24"/>
      <c r="GF306" s="24"/>
      <c r="GG306" s="24"/>
      <c r="GH306" s="24"/>
      <c r="GI306" s="24"/>
      <c r="GJ306" s="24"/>
      <c r="GK306" s="24"/>
      <c r="GL306" s="24"/>
      <c r="GM306" s="24"/>
      <c r="GN306" s="24"/>
      <c r="GO306" s="24"/>
      <c r="GP306" s="24"/>
      <c r="GQ306" s="24"/>
      <c r="GR306" s="24"/>
    </row>
    <row r="307" spans="1:200" s="23" customFormat="1" ht="14.25" customHeight="1">
      <c r="A307" s="20"/>
      <c r="B307" s="21"/>
      <c r="C307" s="22"/>
      <c r="D307" s="22"/>
      <c r="E307" s="22"/>
      <c r="G307" s="22"/>
      <c r="H307" s="22"/>
      <c r="I307" s="22"/>
      <c r="K307" s="22"/>
      <c r="L307" s="22"/>
      <c r="M307" s="22"/>
      <c r="O307" s="22"/>
      <c r="P307" s="22"/>
      <c r="Q307" s="22"/>
      <c r="S307" s="22"/>
      <c r="T307" s="22"/>
      <c r="U307" s="22"/>
      <c r="W307" s="22"/>
      <c r="X307" s="22"/>
      <c r="Y307" s="22"/>
      <c r="AA307" s="22"/>
      <c r="AB307" s="22"/>
      <c r="AC307" s="22"/>
      <c r="AE307" s="24"/>
      <c r="AF307" s="24"/>
      <c r="AG307" s="24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6"/>
      <c r="AW307" s="24"/>
      <c r="AX307" s="20"/>
      <c r="AY307" s="21"/>
      <c r="AZ307" s="22"/>
      <c r="BA307" s="22"/>
      <c r="BB307" s="22"/>
      <c r="BD307" s="22"/>
      <c r="BE307" s="22"/>
      <c r="BF307" s="22"/>
      <c r="BH307" s="22"/>
      <c r="BI307" s="22"/>
      <c r="BJ307" s="22"/>
      <c r="BL307" s="22"/>
      <c r="BM307" s="22"/>
      <c r="BN307" s="22"/>
      <c r="BP307" s="22"/>
      <c r="BQ307" s="22"/>
      <c r="BR307" s="22"/>
      <c r="BT307" s="22"/>
      <c r="BU307" s="22"/>
      <c r="BV307" s="22"/>
      <c r="BX307" s="22"/>
      <c r="BY307" s="22"/>
      <c r="BZ307" s="22"/>
      <c r="CB307" s="24"/>
      <c r="CC307" s="24"/>
      <c r="CD307" s="24"/>
      <c r="CE307" s="25"/>
      <c r="CF307" s="25"/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6"/>
      <c r="CT307" s="24"/>
      <c r="CU307" s="24"/>
      <c r="CV307" s="24"/>
      <c r="CW307" s="24"/>
      <c r="CX307" s="24"/>
      <c r="CY307" s="24"/>
      <c r="CZ307" s="24"/>
      <c r="DA307" s="24"/>
      <c r="DB307" s="24"/>
      <c r="DC307" s="24"/>
      <c r="DD307" s="24"/>
      <c r="DE307" s="24"/>
      <c r="DF307" s="24"/>
      <c r="DG307" s="24"/>
      <c r="DH307" s="24"/>
      <c r="DI307" s="24"/>
      <c r="DJ307" s="24"/>
      <c r="DK307" s="24"/>
      <c r="DL307" s="24"/>
      <c r="DM307" s="24"/>
      <c r="DN307" s="24"/>
      <c r="DO307" s="24"/>
      <c r="DP307" s="24"/>
      <c r="DQ307" s="24"/>
      <c r="DR307" s="24"/>
      <c r="DS307" s="24"/>
      <c r="DT307" s="24"/>
      <c r="DU307" s="24"/>
      <c r="DV307" s="24"/>
      <c r="DW307" s="24"/>
      <c r="DX307" s="24"/>
      <c r="DY307" s="24"/>
      <c r="DZ307" s="24"/>
      <c r="EA307" s="24"/>
      <c r="EB307" s="24"/>
      <c r="EC307" s="24"/>
      <c r="ED307" s="24"/>
      <c r="EE307" s="24"/>
      <c r="EF307" s="24"/>
      <c r="EG307" s="24"/>
      <c r="EH307" s="24"/>
      <c r="EI307" s="24"/>
      <c r="EJ307" s="24"/>
      <c r="EK307" s="24"/>
      <c r="EL307" s="24"/>
      <c r="EM307" s="24"/>
      <c r="EN307" s="24"/>
      <c r="EO307" s="24"/>
      <c r="EP307" s="24"/>
      <c r="EQ307" s="24"/>
      <c r="ER307" s="24"/>
      <c r="ES307" s="24"/>
      <c r="ET307" s="24"/>
      <c r="EU307" s="24"/>
      <c r="EV307" s="24"/>
      <c r="EW307" s="24"/>
      <c r="EX307" s="24"/>
      <c r="EY307" s="24"/>
      <c r="EZ307" s="24"/>
      <c r="FA307" s="24"/>
      <c r="FB307" s="24"/>
      <c r="FC307" s="24"/>
      <c r="FD307" s="24"/>
      <c r="FE307" s="24"/>
      <c r="FF307" s="24"/>
      <c r="FG307" s="24"/>
      <c r="FH307" s="24"/>
      <c r="FI307" s="24"/>
      <c r="FJ307" s="24"/>
      <c r="FK307" s="24"/>
      <c r="FL307" s="24"/>
      <c r="FM307" s="24"/>
      <c r="FN307" s="24"/>
      <c r="FO307" s="24"/>
      <c r="FP307" s="24"/>
      <c r="FQ307" s="24"/>
      <c r="FR307" s="24"/>
      <c r="FS307" s="24"/>
      <c r="FT307" s="24"/>
      <c r="FU307" s="24"/>
      <c r="FV307" s="24"/>
      <c r="FW307" s="24"/>
      <c r="FX307" s="24"/>
      <c r="FY307" s="24"/>
      <c r="FZ307" s="24"/>
      <c r="GA307" s="24"/>
      <c r="GB307" s="24"/>
      <c r="GC307" s="24"/>
      <c r="GD307" s="24"/>
      <c r="GE307" s="24"/>
      <c r="GF307" s="24"/>
      <c r="GG307" s="24"/>
      <c r="GH307" s="24"/>
      <c r="GI307" s="24"/>
      <c r="GJ307" s="24"/>
      <c r="GK307" s="24"/>
      <c r="GL307" s="24"/>
      <c r="GM307" s="24"/>
      <c r="GN307" s="24"/>
      <c r="GO307" s="24"/>
      <c r="GP307" s="24"/>
      <c r="GQ307" s="24"/>
      <c r="GR307" s="24"/>
    </row>
    <row r="308" spans="1:200" s="23" customFormat="1" ht="14.25" customHeight="1">
      <c r="A308" s="20"/>
      <c r="B308" s="21"/>
      <c r="C308" s="22"/>
      <c r="D308" s="22"/>
      <c r="E308" s="22"/>
      <c r="G308" s="22"/>
      <c r="H308" s="22"/>
      <c r="I308" s="22"/>
      <c r="K308" s="22"/>
      <c r="L308" s="22"/>
      <c r="M308" s="22"/>
      <c r="O308" s="22"/>
      <c r="P308" s="22"/>
      <c r="Q308" s="22"/>
      <c r="S308" s="22"/>
      <c r="T308" s="22"/>
      <c r="U308" s="22"/>
      <c r="W308" s="22"/>
      <c r="X308" s="22"/>
      <c r="Y308" s="22"/>
      <c r="AA308" s="22"/>
      <c r="AB308" s="22"/>
      <c r="AC308" s="22"/>
      <c r="AE308" s="24"/>
      <c r="AF308" s="24"/>
      <c r="AG308" s="24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6"/>
      <c r="AW308" s="24"/>
      <c r="AX308" s="20"/>
      <c r="AY308" s="21"/>
      <c r="AZ308" s="22"/>
      <c r="BA308" s="22"/>
      <c r="BB308" s="22"/>
      <c r="BD308" s="22"/>
      <c r="BE308" s="22"/>
      <c r="BF308" s="22"/>
      <c r="BH308" s="22"/>
      <c r="BI308" s="22"/>
      <c r="BJ308" s="22"/>
      <c r="BL308" s="22"/>
      <c r="BM308" s="22"/>
      <c r="BN308" s="22"/>
      <c r="BP308" s="22"/>
      <c r="BQ308" s="22"/>
      <c r="BR308" s="22"/>
      <c r="BT308" s="22"/>
      <c r="BU308" s="22"/>
      <c r="BV308" s="22"/>
      <c r="BX308" s="22"/>
      <c r="BY308" s="22"/>
      <c r="BZ308" s="22"/>
      <c r="CB308" s="24"/>
      <c r="CC308" s="24"/>
      <c r="CD308" s="24"/>
      <c r="CE308" s="25"/>
      <c r="CF308" s="25"/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6"/>
      <c r="CT308" s="24"/>
      <c r="CU308" s="24"/>
      <c r="CV308" s="24"/>
      <c r="CW308" s="24"/>
      <c r="CX308" s="24"/>
      <c r="CY308" s="24"/>
      <c r="CZ308" s="24"/>
      <c r="DA308" s="24"/>
      <c r="DB308" s="24"/>
      <c r="DC308" s="24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4"/>
      <c r="DP308" s="24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4"/>
      <c r="EC308" s="24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4"/>
      <c r="EP308" s="24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4"/>
      <c r="FC308" s="24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4"/>
      <c r="FP308" s="24"/>
      <c r="FQ308" s="24"/>
      <c r="FR308" s="24"/>
      <c r="FS308" s="24"/>
      <c r="FT308" s="24"/>
      <c r="FU308" s="24"/>
      <c r="FV308" s="24"/>
      <c r="FW308" s="24"/>
      <c r="FX308" s="24"/>
      <c r="FY308" s="24"/>
      <c r="FZ308" s="24"/>
      <c r="GA308" s="24"/>
      <c r="GB308" s="24"/>
      <c r="GC308" s="24"/>
      <c r="GD308" s="24"/>
      <c r="GE308" s="24"/>
      <c r="GF308" s="24"/>
      <c r="GG308" s="24"/>
      <c r="GH308" s="24"/>
      <c r="GI308" s="24"/>
      <c r="GJ308" s="24"/>
      <c r="GK308" s="24"/>
      <c r="GL308" s="24"/>
      <c r="GM308" s="24"/>
      <c r="GN308" s="24"/>
      <c r="GO308" s="24"/>
      <c r="GP308" s="24"/>
      <c r="GQ308" s="24"/>
      <c r="GR308" s="24"/>
    </row>
    <row r="309" spans="1:200" s="23" customFormat="1" ht="14.25" customHeight="1">
      <c r="A309" s="20"/>
      <c r="B309" s="21"/>
      <c r="C309" s="22"/>
      <c r="D309" s="22"/>
      <c r="E309" s="22"/>
      <c r="G309" s="22"/>
      <c r="H309" s="22"/>
      <c r="I309" s="22"/>
      <c r="K309" s="22"/>
      <c r="L309" s="22"/>
      <c r="M309" s="22"/>
      <c r="O309" s="22"/>
      <c r="P309" s="22"/>
      <c r="Q309" s="22"/>
      <c r="S309" s="22"/>
      <c r="T309" s="22"/>
      <c r="U309" s="22"/>
      <c r="W309" s="22"/>
      <c r="X309" s="22"/>
      <c r="Y309" s="22"/>
      <c r="AA309" s="22"/>
      <c r="AB309" s="22"/>
      <c r="AC309" s="22"/>
      <c r="AE309" s="24"/>
      <c r="AF309" s="24"/>
      <c r="AG309" s="24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6"/>
      <c r="AW309" s="24"/>
      <c r="AX309" s="20"/>
      <c r="AY309" s="21"/>
      <c r="AZ309" s="22"/>
      <c r="BA309" s="22"/>
      <c r="BB309" s="22"/>
      <c r="BD309" s="22"/>
      <c r="BE309" s="22"/>
      <c r="BF309" s="22"/>
      <c r="BH309" s="22"/>
      <c r="BI309" s="22"/>
      <c r="BJ309" s="22"/>
      <c r="BL309" s="22"/>
      <c r="BM309" s="22"/>
      <c r="BN309" s="22"/>
      <c r="BP309" s="22"/>
      <c r="BQ309" s="22"/>
      <c r="BR309" s="22"/>
      <c r="BT309" s="22"/>
      <c r="BU309" s="22"/>
      <c r="BV309" s="22"/>
      <c r="BX309" s="22"/>
      <c r="BY309" s="22"/>
      <c r="BZ309" s="22"/>
      <c r="CB309" s="24"/>
      <c r="CC309" s="24"/>
      <c r="CD309" s="24"/>
      <c r="CE309" s="25"/>
      <c r="CF309" s="25"/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6"/>
      <c r="CT309" s="24"/>
      <c r="CU309" s="24"/>
      <c r="CV309" s="24"/>
      <c r="CW309" s="24"/>
      <c r="CX309" s="24"/>
      <c r="CY309" s="24"/>
      <c r="CZ309" s="24"/>
      <c r="DA309" s="24"/>
      <c r="DB309" s="24"/>
      <c r="DC309" s="24"/>
      <c r="DD309" s="24"/>
      <c r="DE309" s="24"/>
      <c r="DF309" s="24"/>
      <c r="DG309" s="24"/>
      <c r="DH309" s="24"/>
      <c r="DI309" s="24"/>
      <c r="DJ309" s="24"/>
      <c r="DK309" s="24"/>
      <c r="DL309" s="24"/>
      <c r="DM309" s="24"/>
      <c r="DN309" s="24"/>
      <c r="DO309" s="24"/>
      <c r="DP309" s="24"/>
      <c r="DQ309" s="24"/>
      <c r="DR309" s="24"/>
      <c r="DS309" s="24"/>
      <c r="DT309" s="24"/>
      <c r="DU309" s="24"/>
      <c r="DV309" s="24"/>
      <c r="DW309" s="24"/>
      <c r="DX309" s="24"/>
      <c r="DY309" s="24"/>
      <c r="DZ309" s="24"/>
      <c r="EA309" s="24"/>
      <c r="EB309" s="24"/>
      <c r="EC309" s="24"/>
      <c r="ED309" s="24"/>
      <c r="EE309" s="24"/>
      <c r="EF309" s="24"/>
      <c r="EG309" s="24"/>
      <c r="EH309" s="24"/>
      <c r="EI309" s="24"/>
      <c r="EJ309" s="24"/>
      <c r="EK309" s="24"/>
      <c r="EL309" s="24"/>
      <c r="EM309" s="24"/>
      <c r="EN309" s="24"/>
      <c r="EO309" s="24"/>
      <c r="EP309" s="24"/>
      <c r="EQ309" s="24"/>
      <c r="ER309" s="24"/>
      <c r="ES309" s="24"/>
      <c r="ET309" s="24"/>
      <c r="EU309" s="24"/>
      <c r="EV309" s="24"/>
      <c r="EW309" s="24"/>
      <c r="EX309" s="24"/>
      <c r="EY309" s="24"/>
      <c r="EZ309" s="24"/>
      <c r="FA309" s="24"/>
      <c r="FB309" s="24"/>
      <c r="FC309" s="24"/>
      <c r="FD309" s="24"/>
      <c r="FE309" s="24"/>
      <c r="FF309" s="24"/>
      <c r="FG309" s="24"/>
      <c r="FH309" s="24"/>
      <c r="FI309" s="24"/>
      <c r="FJ309" s="24"/>
      <c r="FK309" s="24"/>
      <c r="FL309" s="24"/>
      <c r="FM309" s="24"/>
      <c r="FN309" s="24"/>
      <c r="FO309" s="24"/>
      <c r="FP309" s="24"/>
      <c r="FQ309" s="24"/>
      <c r="FR309" s="24"/>
      <c r="FS309" s="24"/>
      <c r="FT309" s="24"/>
      <c r="FU309" s="24"/>
      <c r="FV309" s="24"/>
      <c r="FW309" s="24"/>
      <c r="FX309" s="24"/>
      <c r="FY309" s="24"/>
      <c r="FZ309" s="24"/>
      <c r="GA309" s="24"/>
      <c r="GB309" s="24"/>
      <c r="GC309" s="24"/>
      <c r="GD309" s="24"/>
      <c r="GE309" s="24"/>
      <c r="GF309" s="24"/>
      <c r="GG309" s="24"/>
      <c r="GH309" s="24"/>
      <c r="GI309" s="24"/>
      <c r="GJ309" s="24"/>
      <c r="GK309" s="24"/>
      <c r="GL309" s="24"/>
      <c r="GM309" s="24"/>
      <c r="GN309" s="24"/>
      <c r="GO309" s="24"/>
      <c r="GP309" s="24"/>
      <c r="GQ309" s="24"/>
      <c r="GR309" s="24"/>
    </row>
    <row r="310" spans="1:200" s="23" customFormat="1" ht="14.25" customHeight="1">
      <c r="A310" s="20"/>
      <c r="B310" s="21"/>
      <c r="C310" s="22"/>
      <c r="D310" s="22"/>
      <c r="E310" s="22"/>
      <c r="G310" s="22"/>
      <c r="H310" s="22"/>
      <c r="I310" s="22"/>
      <c r="K310" s="22"/>
      <c r="L310" s="22"/>
      <c r="M310" s="22"/>
      <c r="O310" s="22"/>
      <c r="P310" s="22"/>
      <c r="Q310" s="22"/>
      <c r="S310" s="22"/>
      <c r="T310" s="22"/>
      <c r="U310" s="22"/>
      <c r="W310" s="22"/>
      <c r="X310" s="22"/>
      <c r="Y310" s="22"/>
      <c r="AA310" s="22"/>
      <c r="AB310" s="22"/>
      <c r="AC310" s="22"/>
      <c r="AE310" s="24"/>
      <c r="AF310" s="24"/>
      <c r="AG310" s="24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6"/>
      <c r="AW310" s="24"/>
      <c r="AX310" s="20"/>
      <c r="AY310" s="21"/>
      <c r="AZ310" s="22"/>
      <c r="BA310" s="22"/>
      <c r="BB310" s="22"/>
      <c r="BD310" s="22"/>
      <c r="BE310" s="22"/>
      <c r="BF310" s="22"/>
      <c r="BH310" s="22"/>
      <c r="BI310" s="22"/>
      <c r="BJ310" s="22"/>
      <c r="BL310" s="22"/>
      <c r="BM310" s="22"/>
      <c r="BN310" s="22"/>
      <c r="BP310" s="22"/>
      <c r="BQ310" s="22"/>
      <c r="BR310" s="22"/>
      <c r="BT310" s="22"/>
      <c r="BU310" s="22"/>
      <c r="BV310" s="22"/>
      <c r="BX310" s="22"/>
      <c r="BY310" s="22"/>
      <c r="BZ310" s="22"/>
      <c r="CB310" s="24"/>
      <c r="CC310" s="24"/>
      <c r="CD310" s="24"/>
      <c r="CE310" s="25"/>
      <c r="CF310" s="25"/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6"/>
      <c r="CT310" s="24"/>
      <c r="CU310" s="24"/>
      <c r="CV310" s="24"/>
      <c r="CW310" s="24"/>
      <c r="CX310" s="24"/>
      <c r="CY310" s="24"/>
      <c r="CZ310" s="24"/>
      <c r="DA310" s="24"/>
      <c r="DB310" s="24"/>
      <c r="DC310" s="24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4"/>
      <c r="DP310" s="24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4"/>
      <c r="EC310" s="24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4"/>
      <c r="EP310" s="24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4"/>
      <c r="FC310" s="24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4"/>
      <c r="FP310" s="24"/>
      <c r="FQ310" s="24"/>
      <c r="FR310" s="24"/>
      <c r="FS310" s="24"/>
      <c r="FT310" s="24"/>
      <c r="FU310" s="24"/>
      <c r="FV310" s="24"/>
      <c r="FW310" s="24"/>
      <c r="FX310" s="24"/>
      <c r="FY310" s="24"/>
      <c r="FZ310" s="24"/>
      <c r="GA310" s="24"/>
      <c r="GB310" s="24"/>
      <c r="GC310" s="24"/>
      <c r="GD310" s="24"/>
      <c r="GE310" s="24"/>
      <c r="GF310" s="24"/>
      <c r="GG310" s="24"/>
      <c r="GH310" s="24"/>
      <c r="GI310" s="24"/>
      <c r="GJ310" s="24"/>
      <c r="GK310" s="24"/>
      <c r="GL310" s="24"/>
      <c r="GM310" s="24"/>
      <c r="GN310" s="24"/>
      <c r="GO310" s="24"/>
      <c r="GP310" s="24"/>
      <c r="GQ310" s="24"/>
      <c r="GR310" s="24"/>
    </row>
    <row r="311" spans="1:200" s="23" customFormat="1" ht="14.25" customHeight="1">
      <c r="A311" s="20"/>
      <c r="B311" s="21"/>
      <c r="C311" s="22"/>
      <c r="D311" s="22"/>
      <c r="E311" s="22"/>
      <c r="G311" s="22"/>
      <c r="H311" s="22"/>
      <c r="I311" s="22"/>
      <c r="K311" s="22"/>
      <c r="L311" s="22"/>
      <c r="M311" s="22"/>
      <c r="O311" s="22"/>
      <c r="P311" s="22"/>
      <c r="Q311" s="22"/>
      <c r="S311" s="22"/>
      <c r="T311" s="22"/>
      <c r="U311" s="22"/>
      <c r="W311" s="22"/>
      <c r="X311" s="22"/>
      <c r="Y311" s="22"/>
      <c r="AA311" s="22"/>
      <c r="AB311" s="22"/>
      <c r="AC311" s="22"/>
      <c r="AE311" s="24"/>
      <c r="AF311" s="24"/>
      <c r="AG311" s="24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6"/>
      <c r="AW311" s="24"/>
      <c r="AX311" s="20"/>
      <c r="AY311" s="21"/>
      <c r="AZ311" s="22"/>
      <c r="BA311" s="22"/>
      <c r="BB311" s="22"/>
      <c r="BD311" s="22"/>
      <c r="BE311" s="22"/>
      <c r="BF311" s="22"/>
      <c r="BH311" s="22"/>
      <c r="BI311" s="22"/>
      <c r="BJ311" s="22"/>
      <c r="BL311" s="22"/>
      <c r="BM311" s="22"/>
      <c r="BN311" s="22"/>
      <c r="BP311" s="22"/>
      <c r="BQ311" s="22"/>
      <c r="BR311" s="22"/>
      <c r="BT311" s="22"/>
      <c r="BU311" s="22"/>
      <c r="BV311" s="22"/>
      <c r="BX311" s="22"/>
      <c r="BY311" s="22"/>
      <c r="BZ311" s="22"/>
      <c r="CB311" s="24"/>
      <c r="CC311" s="24"/>
      <c r="CD311" s="24"/>
      <c r="CE311" s="25"/>
      <c r="CF311" s="25"/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6"/>
      <c r="CT311" s="24"/>
      <c r="CU311" s="24"/>
      <c r="CV311" s="24"/>
      <c r="CW311" s="24"/>
      <c r="CX311" s="24"/>
      <c r="CY311" s="24"/>
      <c r="CZ311" s="24"/>
      <c r="DA311" s="24"/>
      <c r="DB311" s="24"/>
      <c r="DC311" s="24"/>
      <c r="DD311" s="24"/>
      <c r="DE311" s="24"/>
      <c r="DF311" s="24"/>
      <c r="DG311" s="24"/>
      <c r="DH311" s="24"/>
      <c r="DI311" s="24"/>
      <c r="DJ311" s="24"/>
      <c r="DK311" s="24"/>
      <c r="DL311" s="24"/>
      <c r="DM311" s="24"/>
      <c r="DN311" s="24"/>
      <c r="DO311" s="24"/>
      <c r="DP311" s="24"/>
      <c r="DQ311" s="24"/>
      <c r="DR311" s="24"/>
      <c r="DS311" s="24"/>
      <c r="DT311" s="24"/>
      <c r="DU311" s="24"/>
      <c r="DV311" s="24"/>
      <c r="DW311" s="24"/>
      <c r="DX311" s="24"/>
      <c r="DY311" s="24"/>
      <c r="DZ311" s="24"/>
      <c r="EA311" s="24"/>
      <c r="EB311" s="24"/>
      <c r="EC311" s="24"/>
      <c r="ED311" s="24"/>
      <c r="EE311" s="24"/>
      <c r="EF311" s="24"/>
      <c r="EG311" s="24"/>
      <c r="EH311" s="24"/>
      <c r="EI311" s="24"/>
      <c r="EJ311" s="24"/>
      <c r="EK311" s="24"/>
      <c r="EL311" s="24"/>
      <c r="EM311" s="24"/>
      <c r="EN311" s="24"/>
      <c r="EO311" s="24"/>
      <c r="EP311" s="24"/>
      <c r="EQ311" s="24"/>
      <c r="ER311" s="24"/>
      <c r="ES311" s="24"/>
      <c r="ET311" s="24"/>
      <c r="EU311" s="24"/>
      <c r="EV311" s="24"/>
      <c r="EW311" s="24"/>
      <c r="EX311" s="24"/>
      <c r="EY311" s="24"/>
      <c r="EZ311" s="24"/>
      <c r="FA311" s="24"/>
      <c r="FB311" s="24"/>
      <c r="FC311" s="24"/>
      <c r="FD311" s="24"/>
      <c r="FE311" s="24"/>
      <c r="FF311" s="24"/>
      <c r="FG311" s="24"/>
      <c r="FH311" s="24"/>
      <c r="FI311" s="24"/>
      <c r="FJ311" s="24"/>
      <c r="FK311" s="24"/>
      <c r="FL311" s="24"/>
      <c r="FM311" s="24"/>
      <c r="FN311" s="24"/>
      <c r="FO311" s="24"/>
      <c r="FP311" s="24"/>
      <c r="FQ311" s="24"/>
      <c r="FR311" s="24"/>
      <c r="FS311" s="24"/>
      <c r="FT311" s="24"/>
      <c r="FU311" s="24"/>
      <c r="FV311" s="24"/>
      <c r="FW311" s="24"/>
      <c r="FX311" s="24"/>
      <c r="FY311" s="24"/>
      <c r="FZ311" s="24"/>
      <c r="GA311" s="24"/>
      <c r="GB311" s="24"/>
      <c r="GC311" s="24"/>
      <c r="GD311" s="24"/>
      <c r="GE311" s="24"/>
      <c r="GF311" s="24"/>
      <c r="GG311" s="24"/>
      <c r="GH311" s="24"/>
      <c r="GI311" s="24"/>
      <c r="GJ311" s="24"/>
      <c r="GK311" s="24"/>
      <c r="GL311" s="24"/>
      <c r="GM311" s="24"/>
      <c r="GN311" s="24"/>
      <c r="GO311" s="24"/>
      <c r="GP311" s="24"/>
      <c r="GQ311" s="24"/>
      <c r="GR311" s="24"/>
    </row>
    <row r="312" spans="1:200" s="23" customFormat="1" ht="14.25" customHeight="1">
      <c r="A312" s="20"/>
      <c r="B312" s="21"/>
      <c r="C312" s="22"/>
      <c r="D312" s="22"/>
      <c r="E312" s="22"/>
      <c r="G312" s="22"/>
      <c r="H312" s="22"/>
      <c r="I312" s="22"/>
      <c r="K312" s="22"/>
      <c r="L312" s="22"/>
      <c r="M312" s="22"/>
      <c r="O312" s="22"/>
      <c r="P312" s="22"/>
      <c r="Q312" s="22"/>
      <c r="S312" s="22"/>
      <c r="T312" s="22"/>
      <c r="U312" s="22"/>
      <c r="W312" s="22"/>
      <c r="X312" s="22"/>
      <c r="Y312" s="22"/>
      <c r="AA312" s="22"/>
      <c r="AB312" s="22"/>
      <c r="AC312" s="22"/>
      <c r="AE312" s="24"/>
      <c r="AF312" s="24"/>
      <c r="AG312" s="24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6"/>
      <c r="AW312" s="24"/>
      <c r="AX312" s="20"/>
      <c r="AY312" s="21"/>
      <c r="AZ312" s="22"/>
      <c r="BA312" s="22"/>
      <c r="BB312" s="22"/>
      <c r="BD312" s="22"/>
      <c r="BE312" s="22"/>
      <c r="BF312" s="22"/>
      <c r="BH312" s="22"/>
      <c r="BI312" s="22"/>
      <c r="BJ312" s="22"/>
      <c r="BL312" s="22"/>
      <c r="BM312" s="22"/>
      <c r="BN312" s="22"/>
      <c r="BP312" s="22"/>
      <c r="BQ312" s="22"/>
      <c r="BR312" s="22"/>
      <c r="BT312" s="22"/>
      <c r="BU312" s="22"/>
      <c r="BV312" s="22"/>
      <c r="BX312" s="22"/>
      <c r="BY312" s="22"/>
      <c r="BZ312" s="22"/>
      <c r="CB312" s="24"/>
      <c r="CC312" s="24"/>
      <c r="CD312" s="24"/>
      <c r="CE312" s="25"/>
      <c r="CF312" s="25"/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6"/>
      <c r="CT312" s="24"/>
      <c r="CU312" s="24"/>
      <c r="CV312" s="24"/>
      <c r="CW312" s="24"/>
      <c r="CX312" s="24"/>
      <c r="CY312" s="24"/>
      <c r="CZ312" s="24"/>
      <c r="DA312" s="24"/>
      <c r="DB312" s="24"/>
      <c r="DC312" s="24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4"/>
      <c r="DP312" s="24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4"/>
      <c r="EC312" s="24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4"/>
      <c r="EP312" s="24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4"/>
      <c r="FC312" s="24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4"/>
      <c r="FP312" s="24"/>
      <c r="FQ312" s="24"/>
      <c r="FR312" s="24"/>
      <c r="FS312" s="24"/>
      <c r="FT312" s="24"/>
      <c r="FU312" s="24"/>
      <c r="FV312" s="24"/>
      <c r="FW312" s="24"/>
      <c r="FX312" s="24"/>
      <c r="FY312" s="24"/>
      <c r="FZ312" s="24"/>
      <c r="GA312" s="24"/>
      <c r="GB312" s="24"/>
      <c r="GC312" s="24"/>
      <c r="GD312" s="24"/>
      <c r="GE312" s="24"/>
      <c r="GF312" s="24"/>
      <c r="GG312" s="24"/>
      <c r="GH312" s="24"/>
      <c r="GI312" s="24"/>
      <c r="GJ312" s="24"/>
      <c r="GK312" s="24"/>
      <c r="GL312" s="24"/>
      <c r="GM312" s="24"/>
      <c r="GN312" s="24"/>
      <c r="GO312" s="24"/>
      <c r="GP312" s="24"/>
      <c r="GQ312" s="24"/>
      <c r="GR312" s="24"/>
    </row>
    <row r="313" spans="1:200" s="23" customFormat="1" ht="14.25" customHeight="1">
      <c r="A313" s="20"/>
      <c r="B313" s="21"/>
      <c r="C313" s="22"/>
      <c r="D313" s="22"/>
      <c r="E313" s="22"/>
      <c r="G313" s="22"/>
      <c r="H313" s="22"/>
      <c r="I313" s="22"/>
      <c r="K313" s="22"/>
      <c r="L313" s="22"/>
      <c r="M313" s="22"/>
      <c r="O313" s="22"/>
      <c r="P313" s="22"/>
      <c r="Q313" s="22"/>
      <c r="S313" s="22"/>
      <c r="T313" s="22"/>
      <c r="U313" s="22"/>
      <c r="W313" s="22"/>
      <c r="X313" s="22"/>
      <c r="Y313" s="22"/>
      <c r="AA313" s="22"/>
      <c r="AB313" s="22"/>
      <c r="AC313" s="22"/>
      <c r="AE313" s="24"/>
      <c r="AF313" s="24"/>
      <c r="AG313" s="24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6"/>
      <c r="AW313" s="24"/>
      <c r="AX313" s="20"/>
      <c r="AY313" s="21"/>
      <c r="AZ313" s="22"/>
      <c r="BA313" s="22"/>
      <c r="BB313" s="22"/>
      <c r="BD313" s="22"/>
      <c r="BE313" s="22"/>
      <c r="BF313" s="22"/>
      <c r="BH313" s="22"/>
      <c r="BI313" s="22"/>
      <c r="BJ313" s="22"/>
      <c r="BL313" s="22"/>
      <c r="BM313" s="22"/>
      <c r="BN313" s="22"/>
      <c r="BP313" s="22"/>
      <c r="BQ313" s="22"/>
      <c r="BR313" s="22"/>
      <c r="BT313" s="22"/>
      <c r="BU313" s="22"/>
      <c r="BV313" s="22"/>
      <c r="BX313" s="22"/>
      <c r="BY313" s="22"/>
      <c r="BZ313" s="22"/>
      <c r="CB313" s="24"/>
      <c r="CC313" s="24"/>
      <c r="CD313" s="24"/>
      <c r="CE313" s="25"/>
      <c r="CF313" s="25"/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6"/>
      <c r="CT313" s="24"/>
      <c r="CU313" s="24"/>
      <c r="CV313" s="24"/>
      <c r="CW313" s="24"/>
      <c r="CX313" s="24"/>
      <c r="CY313" s="24"/>
      <c r="CZ313" s="24"/>
      <c r="DA313" s="24"/>
      <c r="DB313" s="24"/>
      <c r="DC313" s="24"/>
      <c r="DD313" s="24"/>
      <c r="DE313" s="24"/>
      <c r="DF313" s="24"/>
      <c r="DG313" s="24"/>
      <c r="DH313" s="24"/>
      <c r="DI313" s="24"/>
      <c r="DJ313" s="24"/>
      <c r="DK313" s="24"/>
      <c r="DL313" s="24"/>
      <c r="DM313" s="24"/>
      <c r="DN313" s="24"/>
      <c r="DO313" s="24"/>
      <c r="DP313" s="24"/>
      <c r="DQ313" s="24"/>
      <c r="DR313" s="24"/>
      <c r="DS313" s="24"/>
      <c r="DT313" s="24"/>
      <c r="DU313" s="24"/>
      <c r="DV313" s="24"/>
      <c r="DW313" s="24"/>
      <c r="DX313" s="24"/>
      <c r="DY313" s="24"/>
      <c r="DZ313" s="24"/>
      <c r="EA313" s="24"/>
      <c r="EB313" s="24"/>
      <c r="EC313" s="24"/>
      <c r="ED313" s="24"/>
      <c r="EE313" s="24"/>
      <c r="EF313" s="24"/>
      <c r="EG313" s="24"/>
      <c r="EH313" s="24"/>
      <c r="EI313" s="24"/>
      <c r="EJ313" s="24"/>
      <c r="EK313" s="24"/>
      <c r="EL313" s="24"/>
      <c r="EM313" s="24"/>
      <c r="EN313" s="24"/>
      <c r="EO313" s="24"/>
      <c r="EP313" s="24"/>
      <c r="EQ313" s="24"/>
      <c r="ER313" s="24"/>
      <c r="ES313" s="24"/>
      <c r="ET313" s="24"/>
      <c r="EU313" s="24"/>
      <c r="EV313" s="24"/>
      <c r="EW313" s="24"/>
      <c r="EX313" s="24"/>
      <c r="EY313" s="24"/>
      <c r="EZ313" s="24"/>
      <c r="FA313" s="24"/>
      <c r="FB313" s="24"/>
      <c r="FC313" s="24"/>
      <c r="FD313" s="24"/>
      <c r="FE313" s="24"/>
      <c r="FF313" s="24"/>
      <c r="FG313" s="24"/>
      <c r="FH313" s="24"/>
      <c r="FI313" s="24"/>
      <c r="FJ313" s="24"/>
      <c r="FK313" s="24"/>
      <c r="FL313" s="24"/>
      <c r="FM313" s="24"/>
      <c r="FN313" s="24"/>
      <c r="FO313" s="24"/>
      <c r="FP313" s="24"/>
      <c r="FQ313" s="24"/>
      <c r="FR313" s="24"/>
      <c r="FS313" s="24"/>
      <c r="FT313" s="24"/>
      <c r="FU313" s="24"/>
      <c r="FV313" s="24"/>
      <c r="FW313" s="24"/>
      <c r="FX313" s="24"/>
      <c r="FY313" s="24"/>
      <c r="FZ313" s="24"/>
      <c r="GA313" s="24"/>
      <c r="GB313" s="24"/>
      <c r="GC313" s="24"/>
      <c r="GD313" s="24"/>
      <c r="GE313" s="24"/>
      <c r="GF313" s="24"/>
      <c r="GG313" s="24"/>
      <c r="GH313" s="24"/>
      <c r="GI313" s="24"/>
      <c r="GJ313" s="24"/>
      <c r="GK313" s="24"/>
      <c r="GL313" s="24"/>
      <c r="GM313" s="24"/>
      <c r="GN313" s="24"/>
      <c r="GO313" s="24"/>
      <c r="GP313" s="24"/>
      <c r="GQ313" s="24"/>
      <c r="GR313" s="24"/>
    </row>
    <row r="314" spans="1:200" s="23" customFormat="1" ht="14.25" customHeight="1">
      <c r="A314" s="20"/>
      <c r="B314" s="21"/>
      <c r="C314" s="22"/>
      <c r="D314" s="22"/>
      <c r="E314" s="22"/>
      <c r="G314" s="22"/>
      <c r="H314" s="22"/>
      <c r="I314" s="22"/>
      <c r="K314" s="22"/>
      <c r="L314" s="22"/>
      <c r="M314" s="22"/>
      <c r="O314" s="22"/>
      <c r="P314" s="22"/>
      <c r="Q314" s="22"/>
      <c r="S314" s="22"/>
      <c r="T314" s="22"/>
      <c r="U314" s="22"/>
      <c r="W314" s="22"/>
      <c r="X314" s="22"/>
      <c r="Y314" s="22"/>
      <c r="AA314" s="22"/>
      <c r="AB314" s="22"/>
      <c r="AC314" s="22"/>
      <c r="AE314" s="24"/>
      <c r="AF314" s="24"/>
      <c r="AG314" s="24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6"/>
      <c r="AW314" s="24"/>
      <c r="AX314" s="20"/>
      <c r="AY314" s="21"/>
      <c r="AZ314" s="22"/>
      <c r="BA314" s="22"/>
      <c r="BB314" s="22"/>
      <c r="BD314" s="22"/>
      <c r="BE314" s="22"/>
      <c r="BF314" s="22"/>
      <c r="BH314" s="22"/>
      <c r="BI314" s="22"/>
      <c r="BJ314" s="22"/>
      <c r="BL314" s="22"/>
      <c r="BM314" s="22"/>
      <c r="BN314" s="22"/>
      <c r="BP314" s="22"/>
      <c r="BQ314" s="22"/>
      <c r="BR314" s="22"/>
      <c r="BT314" s="22"/>
      <c r="BU314" s="22"/>
      <c r="BV314" s="22"/>
      <c r="BX314" s="22"/>
      <c r="BY314" s="22"/>
      <c r="BZ314" s="22"/>
      <c r="CB314" s="24"/>
      <c r="CC314" s="24"/>
      <c r="CD314" s="24"/>
      <c r="CE314" s="25"/>
      <c r="CF314" s="25"/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6"/>
      <c r="CT314" s="24"/>
      <c r="CU314" s="24"/>
      <c r="CV314" s="24"/>
      <c r="CW314" s="24"/>
      <c r="CX314" s="24"/>
      <c r="CY314" s="24"/>
      <c r="CZ314" s="24"/>
      <c r="DA314" s="24"/>
      <c r="DB314" s="24"/>
      <c r="DC314" s="24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4"/>
      <c r="DP314" s="24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4"/>
      <c r="EC314" s="24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4"/>
      <c r="EP314" s="24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4"/>
      <c r="FC314" s="24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4"/>
      <c r="FP314" s="24"/>
      <c r="FQ314" s="24"/>
      <c r="FR314" s="24"/>
      <c r="FS314" s="24"/>
      <c r="FT314" s="24"/>
      <c r="FU314" s="24"/>
      <c r="FV314" s="24"/>
      <c r="FW314" s="24"/>
      <c r="FX314" s="24"/>
      <c r="FY314" s="24"/>
      <c r="FZ314" s="24"/>
      <c r="GA314" s="24"/>
      <c r="GB314" s="24"/>
      <c r="GC314" s="24"/>
      <c r="GD314" s="24"/>
      <c r="GE314" s="24"/>
      <c r="GF314" s="24"/>
      <c r="GG314" s="24"/>
      <c r="GH314" s="24"/>
      <c r="GI314" s="24"/>
      <c r="GJ314" s="24"/>
      <c r="GK314" s="24"/>
      <c r="GL314" s="24"/>
      <c r="GM314" s="24"/>
      <c r="GN314" s="24"/>
      <c r="GO314" s="24"/>
      <c r="GP314" s="24"/>
      <c r="GQ314" s="24"/>
      <c r="GR314" s="24"/>
    </row>
    <row r="315" spans="1:200" s="23" customFormat="1" ht="14.25" customHeight="1">
      <c r="A315" s="20"/>
      <c r="B315" s="21"/>
      <c r="C315" s="22"/>
      <c r="D315" s="22"/>
      <c r="E315" s="22"/>
      <c r="G315" s="22"/>
      <c r="H315" s="22"/>
      <c r="I315" s="22"/>
      <c r="K315" s="22"/>
      <c r="L315" s="22"/>
      <c r="M315" s="22"/>
      <c r="O315" s="22"/>
      <c r="P315" s="22"/>
      <c r="Q315" s="22"/>
      <c r="S315" s="22"/>
      <c r="T315" s="22"/>
      <c r="U315" s="22"/>
      <c r="W315" s="22"/>
      <c r="X315" s="22"/>
      <c r="Y315" s="22"/>
      <c r="AA315" s="22"/>
      <c r="AB315" s="22"/>
      <c r="AC315" s="22"/>
      <c r="AE315" s="24"/>
      <c r="AF315" s="24"/>
      <c r="AG315" s="24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6"/>
      <c r="AW315" s="24"/>
      <c r="AX315" s="20"/>
      <c r="AY315" s="21"/>
      <c r="AZ315" s="22"/>
      <c r="BA315" s="22"/>
      <c r="BB315" s="22"/>
      <c r="BD315" s="22"/>
      <c r="BE315" s="22"/>
      <c r="BF315" s="22"/>
      <c r="BH315" s="22"/>
      <c r="BI315" s="22"/>
      <c r="BJ315" s="22"/>
      <c r="BL315" s="22"/>
      <c r="BM315" s="22"/>
      <c r="BN315" s="22"/>
      <c r="BP315" s="22"/>
      <c r="BQ315" s="22"/>
      <c r="BR315" s="22"/>
      <c r="BT315" s="22"/>
      <c r="BU315" s="22"/>
      <c r="BV315" s="22"/>
      <c r="BX315" s="22"/>
      <c r="BY315" s="22"/>
      <c r="BZ315" s="22"/>
      <c r="CB315" s="24"/>
      <c r="CC315" s="24"/>
      <c r="CD315" s="24"/>
      <c r="CE315" s="25"/>
      <c r="CF315" s="25"/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6"/>
      <c r="CT315" s="24"/>
      <c r="CU315" s="24"/>
      <c r="CV315" s="24"/>
      <c r="CW315" s="24"/>
      <c r="CX315" s="24"/>
      <c r="CY315" s="24"/>
      <c r="CZ315" s="24"/>
      <c r="DA315" s="24"/>
      <c r="DB315" s="24"/>
      <c r="DC315" s="24"/>
      <c r="DD315" s="24"/>
      <c r="DE315" s="24"/>
      <c r="DF315" s="24"/>
      <c r="DG315" s="24"/>
      <c r="DH315" s="24"/>
      <c r="DI315" s="24"/>
      <c r="DJ315" s="24"/>
      <c r="DK315" s="24"/>
      <c r="DL315" s="24"/>
      <c r="DM315" s="24"/>
      <c r="DN315" s="24"/>
      <c r="DO315" s="24"/>
      <c r="DP315" s="24"/>
      <c r="DQ315" s="24"/>
      <c r="DR315" s="24"/>
      <c r="DS315" s="24"/>
      <c r="DT315" s="24"/>
      <c r="DU315" s="24"/>
      <c r="DV315" s="24"/>
      <c r="DW315" s="24"/>
      <c r="DX315" s="24"/>
      <c r="DY315" s="24"/>
      <c r="DZ315" s="24"/>
      <c r="EA315" s="24"/>
      <c r="EB315" s="24"/>
      <c r="EC315" s="24"/>
      <c r="ED315" s="24"/>
      <c r="EE315" s="24"/>
      <c r="EF315" s="24"/>
      <c r="EG315" s="24"/>
      <c r="EH315" s="24"/>
      <c r="EI315" s="24"/>
      <c r="EJ315" s="24"/>
      <c r="EK315" s="24"/>
      <c r="EL315" s="24"/>
      <c r="EM315" s="24"/>
      <c r="EN315" s="24"/>
      <c r="EO315" s="24"/>
      <c r="EP315" s="24"/>
      <c r="EQ315" s="24"/>
      <c r="ER315" s="24"/>
      <c r="ES315" s="24"/>
      <c r="ET315" s="24"/>
      <c r="EU315" s="24"/>
      <c r="EV315" s="24"/>
      <c r="EW315" s="24"/>
      <c r="EX315" s="24"/>
      <c r="EY315" s="24"/>
      <c r="EZ315" s="24"/>
      <c r="FA315" s="24"/>
      <c r="FB315" s="24"/>
      <c r="FC315" s="24"/>
      <c r="FD315" s="24"/>
      <c r="FE315" s="24"/>
      <c r="FF315" s="24"/>
      <c r="FG315" s="24"/>
      <c r="FH315" s="24"/>
      <c r="FI315" s="24"/>
      <c r="FJ315" s="24"/>
      <c r="FK315" s="24"/>
      <c r="FL315" s="24"/>
      <c r="FM315" s="24"/>
      <c r="FN315" s="24"/>
      <c r="FO315" s="24"/>
      <c r="FP315" s="24"/>
      <c r="FQ315" s="24"/>
      <c r="FR315" s="24"/>
      <c r="FS315" s="24"/>
      <c r="FT315" s="24"/>
      <c r="FU315" s="24"/>
      <c r="FV315" s="24"/>
      <c r="FW315" s="24"/>
      <c r="FX315" s="24"/>
      <c r="FY315" s="24"/>
      <c r="FZ315" s="24"/>
      <c r="GA315" s="24"/>
      <c r="GB315" s="24"/>
      <c r="GC315" s="24"/>
      <c r="GD315" s="24"/>
      <c r="GE315" s="24"/>
      <c r="GF315" s="24"/>
      <c r="GG315" s="24"/>
      <c r="GH315" s="24"/>
      <c r="GI315" s="24"/>
      <c r="GJ315" s="24"/>
      <c r="GK315" s="24"/>
      <c r="GL315" s="24"/>
      <c r="GM315" s="24"/>
      <c r="GN315" s="24"/>
      <c r="GO315" s="24"/>
      <c r="GP315" s="24"/>
      <c r="GQ315" s="24"/>
      <c r="GR315" s="24"/>
    </row>
    <row r="316" spans="1:200" s="23" customFormat="1" ht="14.25" customHeight="1">
      <c r="A316" s="20"/>
      <c r="B316" s="21"/>
      <c r="C316" s="22"/>
      <c r="D316" s="22"/>
      <c r="E316" s="22"/>
      <c r="G316" s="22"/>
      <c r="H316" s="22"/>
      <c r="I316" s="22"/>
      <c r="K316" s="22"/>
      <c r="L316" s="22"/>
      <c r="M316" s="22"/>
      <c r="O316" s="22"/>
      <c r="P316" s="22"/>
      <c r="Q316" s="22"/>
      <c r="S316" s="22"/>
      <c r="T316" s="22"/>
      <c r="U316" s="22"/>
      <c r="W316" s="22"/>
      <c r="X316" s="22"/>
      <c r="Y316" s="22"/>
      <c r="AA316" s="22"/>
      <c r="AB316" s="22"/>
      <c r="AC316" s="22"/>
      <c r="AE316" s="24"/>
      <c r="AF316" s="24"/>
      <c r="AG316" s="24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6"/>
      <c r="AW316" s="24"/>
      <c r="AX316" s="20"/>
      <c r="AY316" s="21"/>
      <c r="AZ316" s="22"/>
      <c r="BA316" s="22"/>
      <c r="BB316" s="22"/>
      <c r="BD316" s="22"/>
      <c r="BE316" s="22"/>
      <c r="BF316" s="22"/>
      <c r="BH316" s="22"/>
      <c r="BI316" s="22"/>
      <c r="BJ316" s="22"/>
      <c r="BL316" s="22"/>
      <c r="BM316" s="22"/>
      <c r="BN316" s="22"/>
      <c r="BP316" s="22"/>
      <c r="BQ316" s="22"/>
      <c r="BR316" s="22"/>
      <c r="BT316" s="22"/>
      <c r="BU316" s="22"/>
      <c r="BV316" s="22"/>
      <c r="BX316" s="22"/>
      <c r="BY316" s="22"/>
      <c r="BZ316" s="22"/>
      <c r="CB316" s="24"/>
      <c r="CC316" s="24"/>
      <c r="CD316" s="24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6"/>
      <c r="CT316" s="24"/>
      <c r="CU316" s="24"/>
      <c r="CV316" s="24"/>
      <c r="CW316" s="24"/>
      <c r="CX316" s="24"/>
      <c r="CY316" s="24"/>
      <c r="CZ316" s="24"/>
      <c r="DA316" s="24"/>
      <c r="DB316" s="24"/>
      <c r="DC316" s="24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4"/>
      <c r="DP316" s="24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4"/>
      <c r="EC316" s="24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4"/>
      <c r="EP316" s="24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4"/>
      <c r="FC316" s="24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4"/>
      <c r="FP316" s="24"/>
      <c r="FQ316" s="24"/>
      <c r="FR316" s="24"/>
      <c r="FS316" s="24"/>
      <c r="FT316" s="24"/>
      <c r="FU316" s="24"/>
      <c r="FV316" s="24"/>
      <c r="FW316" s="24"/>
      <c r="FX316" s="24"/>
      <c r="FY316" s="24"/>
      <c r="FZ316" s="24"/>
      <c r="GA316" s="24"/>
      <c r="GB316" s="24"/>
      <c r="GC316" s="24"/>
      <c r="GD316" s="24"/>
      <c r="GE316" s="24"/>
      <c r="GF316" s="24"/>
      <c r="GG316" s="24"/>
      <c r="GH316" s="24"/>
      <c r="GI316" s="24"/>
      <c r="GJ316" s="24"/>
      <c r="GK316" s="24"/>
      <c r="GL316" s="24"/>
      <c r="GM316" s="24"/>
      <c r="GN316" s="24"/>
      <c r="GO316" s="24"/>
      <c r="GP316" s="24"/>
      <c r="GQ316" s="24"/>
      <c r="GR316" s="24"/>
    </row>
    <row r="317" spans="1:200" s="23" customFormat="1" ht="14.25" customHeight="1">
      <c r="A317" s="20"/>
      <c r="B317" s="21"/>
      <c r="C317" s="22"/>
      <c r="D317" s="22"/>
      <c r="E317" s="22"/>
      <c r="G317" s="22"/>
      <c r="H317" s="22"/>
      <c r="I317" s="22"/>
      <c r="K317" s="22"/>
      <c r="L317" s="22"/>
      <c r="M317" s="22"/>
      <c r="O317" s="22"/>
      <c r="P317" s="22"/>
      <c r="Q317" s="22"/>
      <c r="S317" s="22"/>
      <c r="T317" s="22"/>
      <c r="U317" s="22"/>
      <c r="W317" s="22"/>
      <c r="X317" s="22"/>
      <c r="Y317" s="22"/>
      <c r="AA317" s="22"/>
      <c r="AB317" s="22"/>
      <c r="AC317" s="22"/>
      <c r="AE317" s="24"/>
      <c r="AF317" s="24"/>
      <c r="AG317" s="24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6"/>
      <c r="AW317" s="24"/>
      <c r="AX317" s="20"/>
      <c r="AY317" s="21"/>
      <c r="AZ317" s="22"/>
      <c r="BA317" s="22"/>
      <c r="BB317" s="22"/>
      <c r="BD317" s="22"/>
      <c r="BE317" s="22"/>
      <c r="BF317" s="22"/>
      <c r="BH317" s="22"/>
      <c r="BI317" s="22"/>
      <c r="BJ317" s="22"/>
      <c r="BL317" s="22"/>
      <c r="BM317" s="22"/>
      <c r="BN317" s="22"/>
      <c r="BP317" s="22"/>
      <c r="BQ317" s="22"/>
      <c r="BR317" s="22"/>
      <c r="BT317" s="22"/>
      <c r="BU317" s="22"/>
      <c r="BV317" s="22"/>
      <c r="BX317" s="22"/>
      <c r="BY317" s="22"/>
      <c r="BZ317" s="22"/>
      <c r="CB317" s="24"/>
      <c r="CC317" s="24"/>
      <c r="CD317" s="24"/>
      <c r="CE317" s="25"/>
      <c r="CF317" s="25"/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6"/>
      <c r="CT317" s="24"/>
      <c r="CU317" s="24"/>
      <c r="CV317" s="24"/>
      <c r="CW317" s="24"/>
      <c r="CX317" s="24"/>
      <c r="CY317" s="24"/>
      <c r="CZ317" s="24"/>
      <c r="DA317" s="24"/>
      <c r="DB317" s="24"/>
      <c r="DC317" s="24"/>
      <c r="DD317" s="24"/>
      <c r="DE317" s="24"/>
      <c r="DF317" s="24"/>
      <c r="DG317" s="24"/>
      <c r="DH317" s="24"/>
      <c r="DI317" s="24"/>
      <c r="DJ317" s="24"/>
      <c r="DK317" s="24"/>
      <c r="DL317" s="24"/>
      <c r="DM317" s="24"/>
      <c r="DN317" s="24"/>
      <c r="DO317" s="24"/>
      <c r="DP317" s="24"/>
      <c r="DQ317" s="24"/>
      <c r="DR317" s="24"/>
      <c r="DS317" s="24"/>
      <c r="DT317" s="24"/>
      <c r="DU317" s="24"/>
      <c r="DV317" s="24"/>
      <c r="DW317" s="24"/>
      <c r="DX317" s="24"/>
      <c r="DY317" s="24"/>
      <c r="DZ317" s="24"/>
      <c r="EA317" s="24"/>
      <c r="EB317" s="24"/>
      <c r="EC317" s="24"/>
      <c r="ED317" s="24"/>
      <c r="EE317" s="24"/>
      <c r="EF317" s="24"/>
      <c r="EG317" s="24"/>
      <c r="EH317" s="24"/>
      <c r="EI317" s="24"/>
      <c r="EJ317" s="24"/>
      <c r="EK317" s="24"/>
      <c r="EL317" s="24"/>
      <c r="EM317" s="24"/>
      <c r="EN317" s="24"/>
      <c r="EO317" s="24"/>
      <c r="EP317" s="24"/>
      <c r="EQ317" s="24"/>
      <c r="ER317" s="24"/>
      <c r="ES317" s="24"/>
      <c r="ET317" s="24"/>
      <c r="EU317" s="24"/>
      <c r="EV317" s="24"/>
      <c r="EW317" s="24"/>
      <c r="EX317" s="24"/>
      <c r="EY317" s="24"/>
      <c r="EZ317" s="24"/>
      <c r="FA317" s="24"/>
      <c r="FB317" s="24"/>
      <c r="FC317" s="24"/>
      <c r="FD317" s="24"/>
      <c r="FE317" s="24"/>
      <c r="FF317" s="24"/>
      <c r="FG317" s="24"/>
      <c r="FH317" s="24"/>
      <c r="FI317" s="24"/>
      <c r="FJ317" s="24"/>
      <c r="FK317" s="24"/>
      <c r="FL317" s="24"/>
      <c r="FM317" s="24"/>
      <c r="FN317" s="24"/>
      <c r="FO317" s="24"/>
      <c r="FP317" s="24"/>
      <c r="FQ317" s="24"/>
      <c r="FR317" s="24"/>
      <c r="FS317" s="24"/>
      <c r="FT317" s="24"/>
      <c r="FU317" s="24"/>
      <c r="FV317" s="24"/>
      <c r="FW317" s="24"/>
      <c r="FX317" s="24"/>
      <c r="FY317" s="24"/>
      <c r="FZ317" s="24"/>
      <c r="GA317" s="24"/>
      <c r="GB317" s="24"/>
      <c r="GC317" s="24"/>
      <c r="GD317" s="24"/>
      <c r="GE317" s="24"/>
      <c r="GF317" s="24"/>
      <c r="GG317" s="24"/>
      <c r="GH317" s="24"/>
      <c r="GI317" s="24"/>
      <c r="GJ317" s="24"/>
      <c r="GK317" s="24"/>
      <c r="GL317" s="24"/>
      <c r="GM317" s="24"/>
      <c r="GN317" s="24"/>
      <c r="GO317" s="24"/>
      <c r="GP317" s="24"/>
      <c r="GQ317" s="24"/>
      <c r="GR317" s="24"/>
    </row>
    <row r="318" spans="1:200" s="23" customFormat="1" ht="14.25" customHeight="1">
      <c r="A318" s="20"/>
      <c r="B318" s="21"/>
      <c r="C318" s="22"/>
      <c r="D318" s="22"/>
      <c r="E318" s="22"/>
      <c r="G318" s="22"/>
      <c r="H318" s="22"/>
      <c r="I318" s="22"/>
      <c r="K318" s="22"/>
      <c r="L318" s="22"/>
      <c r="M318" s="22"/>
      <c r="O318" s="22"/>
      <c r="P318" s="22"/>
      <c r="Q318" s="22"/>
      <c r="S318" s="22"/>
      <c r="T318" s="22"/>
      <c r="U318" s="22"/>
      <c r="W318" s="22"/>
      <c r="X318" s="22"/>
      <c r="Y318" s="22"/>
      <c r="AA318" s="22"/>
      <c r="AB318" s="22"/>
      <c r="AC318" s="22"/>
      <c r="AE318" s="24"/>
      <c r="AF318" s="24"/>
      <c r="AG318" s="24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6"/>
      <c r="AW318" s="24"/>
      <c r="AX318" s="20"/>
      <c r="AY318" s="21"/>
      <c r="AZ318" s="22"/>
      <c r="BA318" s="22"/>
      <c r="BB318" s="22"/>
      <c r="BD318" s="22"/>
      <c r="BE318" s="22"/>
      <c r="BF318" s="22"/>
      <c r="BH318" s="22"/>
      <c r="BI318" s="22"/>
      <c r="BJ318" s="22"/>
      <c r="BL318" s="22"/>
      <c r="BM318" s="22"/>
      <c r="BN318" s="22"/>
      <c r="BP318" s="22"/>
      <c r="BQ318" s="22"/>
      <c r="BR318" s="22"/>
      <c r="BT318" s="22"/>
      <c r="BU318" s="22"/>
      <c r="BV318" s="22"/>
      <c r="BX318" s="22"/>
      <c r="BY318" s="22"/>
      <c r="BZ318" s="22"/>
      <c r="CB318" s="24"/>
      <c r="CC318" s="24"/>
      <c r="CD318" s="24"/>
      <c r="CE318" s="25"/>
      <c r="CF318" s="25"/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6"/>
      <c r="CT318" s="24"/>
      <c r="CU318" s="24"/>
      <c r="CV318" s="24"/>
      <c r="CW318" s="24"/>
      <c r="CX318" s="24"/>
      <c r="CY318" s="24"/>
      <c r="CZ318" s="24"/>
      <c r="DA318" s="24"/>
      <c r="DB318" s="24"/>
      <c r="DC318" s="24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4"/>
      <c r="DP318" s="24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4"/>
      <c r="EC318" s="24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4"/>
      <c r="EP318" s="24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4"/>
      <c r="FC318" s="24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4"/>
      <c r="FP318" s="24"/>
      <c r="FQ318" s="24"/>
      <c r="FR318" s="24"/>
      <c r="FS318" s="24"/>
      <c r="FT318" s="24"/>
      <c r="FU318" s="24"/>
      <c r="FV318" s="24"/>
      <c r="FW318" s="24"/>
      <c r="FX318" s="24"/>
      <c r="FY318" s="24"/>
      <c r="FZ318" s="24"/>
      <c r="GA318" s="24"/>
      <c r="GB318" s="24"/>
      <c r="GC318" s="24"/>
      <c r="GD318" s="24"/>
      <c r="GE318" s="24"/>
      <c r="GF318" s="24"/>
      <c r="GG318" s="24"/>
      <c r="GH318" s="24"/>
      <c r="GI318" s="24"/>
      <c r="GJ318" s="24"/>
      <c r="GK318" s="24"/>
      <c r="GL318" s="24"/>
      <c r="GM318" s="24"/>
      <c r="GN318" s="24"/>
      <c r="GO318" s="24"/>
      <c r="GP318" s="24"/>
      <c r="GQ318" s="24"/>
      <c r="GR318" s="24"/>
    </row>
    <row r="319" spans="1:200" s="23" customFormat="1" ht="14.25" customHeight="1">
      <c r="A319" s="20"/>
      <c r="B319" s="21"/>
      <c r="C319" s="22"/>
      <c r="D319" s="22"/>
      <c r="E319" s="22"/>
      <c r="G319" s="22"/>
      <c r="H319" s="22"/>
      <c r="I319" s="22"/>
      <c r="K319" s="22"/>
      <c r="L319" s="22"/>
      <c r="M319" s="22"/>
      <c r="O319" s="22"/>
      <c r="P319" s="22"/>
      <c r="Q319" s="22"/>
      <c r="S319" s="22"/>
      <c r="T319" s="22"/>
      <c r="U319" s="22"/>
      <c r="W319" s="22"/>
      <c r="X319" s="22"/>
      <c r="Y319" s="22"/>
      <c r="AA319" s="22"/>
      <c r="AB319" s="22"/>
      <c r="AC319" s="22"/>
      <c r="AE319" s="24"/>
      <c r="AF319" s="24"/>
      <c r="AG319" s="24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6"/>
      <c r="AW319" s="24"/>
      <c r="AX319" s="20"/>
      <c r="AY319" s="21"/>
      <c r="AZ319" s="22"/>
      <c r="BA319" s="22"/>
      <c r="BB319" s="22"/>
      <c r="BD319" s="22"/>
      <c r="BE319" s="22"/>
      <c r="BF319" s="22"/>
      <c r="BH319" s="22"/>
      <c r="BI319" s="22"/>
      <c r="BJ319" s="22"/>
      <c r="BL319" s="22"/>
      <c r="BM319" s="22"/>
      <c r="BN319" s="22"/>
      <c r="BP319" s="22"/>
      <c r="BQ319" s="22"/>
      <c r="BR319" s="22"/>
      <c r="BT319" s="22"/>
      <c r="BU319" s="22"/>
      <c r="BV319" s="22"/>
      <c r="BX319" s="22"/>
      <c r="BY319" s="22"/>
      <c r="BZ319" s="22"/>
      <c r="CB319" s="24"/>
      <c r="CC319" s="24"/>
      <c r="CD319" s="24"/>
      <c r="CE319" s="25"/>
      <c r="CF319" s="25"/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6"/>
      <c r="CT319" s="24"/>
      <c r="CU319" s="24"/>
      <c r="CV319" s="24"/>
      <c r="CW319" s="24"/>
      <c r="CX319" s="24"/>
      <c r="CY319" s="24"/>
      <c r="CZ319" s="24"/>
      <c r="DA319" s="24"/>
      <c r="DB319" s="24"/>
      <c r="DC319" s="24"/>
      <c r="DD319" s="24"/>
      <c r="DE319" s="24"/>
      <c r="DF319" s="24"/>
      <c r="DG319" s="24"/>
      <c r="DH319" s="24"/>
      <c r="DI319" s="24"/>
      <c r="DJ319" s="24"/>
      <c r="DK319" s="24"/>
      <c r="DL319" s="24"/>
      <c r="DM319" s="24"/>
      <c r="DN319" s="24"/>
      <c r="DO319" s="24"/>
      <c r="DP319" s="24"/>
      <c r="DQ319" s="24"/>
      <c r="DR319" s="24"/>
      <c r="DS319" s="24"/>
      <c r="DT319" s="24"/>
      <c r="DU319" s="24"/>
      <c r="DV319" s="24"/>
      <c r="DW319" s="24"/>
      <c r="DX319" s="24"/>
      <c r="DY319" s="24"/>
      <c r="DZ319" s="24"/>
      <c r="EA319" s="24"/>
      <c r="EB319" s="24"/>
      <c r="EC319" s="24"/>
      <c r="ED319" s="24"/>
      <c r="EE319" s="24"/>
      <c r="EF319" s="24"/>
      <c r="EG319" s="24"/>
      <c r="EH319" s="24"/>
      <c r="EI319" s="24"/>
      <c r="EJ319" s="24"/>
      <c r="EK319" s="24"/>
      <c r="EL319" s="24"/>
      <c r="EM319" s="24"/>
      <c r="EN319" s="24"/>
      <c r="EO319" s="24"/>
      <c r="EP319" s="24"/>
      <c r="EQ319" s="24"/>
      <c r="ER319" s="24"/>
      <c r="ES319" s="24"/>
      <c r="ET319" s="24"/>
      <c r="EU319" s="24"/>
      <c r="EV319" s="24"/>
      <c r="EW319" s="24"/>
      <c r="EX319" s="24"/>
      <c r="EY319" s="24"/>
      <c r="EZ319" s="24"/>
      <c r="FA319" s="24"/>
      <c r="FB319" s="24"/>
      <c r="FC319" s="24"/>
      <c r="FD319" s="24"/>
      <c r="FE319" s="24"/>
      <c r="FF319" s="24"/>
      <c r="FG319" s="24"/>
      <c r="FH319" s="24"/>
      <c r="FI319" s="24"/>
      <c r="FJ319" s="24"/>
      <c r="FK319" s="24"/>
      <c r="FL319" s="24"/>
      <c r="FM319" s="24"/>
      <c r="FN319" s="24"/>
      <c r="FO319" s="24"/>
      <c r="FP319" s="24"/>
      <c r="FQ319" s="24"/>
      <c r="FR319" s="24"/>
      <c r="FS319" s="24"/>
      <c r="FT319" s="24"/>
      <c r="FU319" s="24"/>
      <c r="FV319" s="24"/>
      <c r="FW319" s="24"/>
      <c r="FX319" s="24"/>
      <c r="FY319" s="24"/>
      <c r="FZ319" s="24"/>
      <c r="GA319" s="24"/>
      <c r="GB319" s="24"/>
      <c r="GC319" s="24"/>
      <c r="GD319" s="24"/>
      <c r="GE319" s="24"/>
      <c r="GF319" s="24"/>
      <c r="GG319" s="24"/>
      <c r="GH319" s="24"/>
      <c r="GI319" s="24"/>
      <c r="GJ319" s="24"/>
      <c r="GK319" s="24"/>
      <c r="GL319" s="24"/>
      <c r="GM319" s="24"/>
      <c r="GN319" s="24"/>
      <c r="GO319" s="24"/>
      <c r="GP319" s="24"/>
      <c r="GQ319" s="24"/>
      <c r="GR319" s="24"/>
    </row>
    <row r="320" spans="1:200" s="23" customFormat="1" ht="14.25" customHeight="1">
      <c r="A320" s="20"/>
      <c r="B320" s="21"/>
      <c r="C320" s="22"/>
      <c r="D320" s="22"/>
      <c r="E320" s="22"/>
      <c r="G320" s="22"/>
      <c r="H320" s="22"/>
      <c r="I320" s="22"/>
      <c r="K320" s="22"/>
      <c r="L320" s="22"/>
      <c r="M320" s="22"/>
      <c r="O320" s="22"/>
      <c r="P320" s="22"/>
      <c r="Q320" s="22"/>
      <c r="S320" s="22"/>
      <c r="T320" s="22"/>
      <c r="U320" s="22"/>
      <c r="W320" s="22"/>
      <c r="X320" s="22"/>
      <c r="Y320" s="22"/>
      <c r="AA320" s="22"/>
      <c r="AB320" s="22"/>
      <c r="AC320" s="22"/>
      <c r="AE320" s="24"/>
      <c r="AF320" s="24"/>
      <c r="AG320" s="24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6"/>
      <c r="AW320" s="24"/>
      <c r="AX320" s="20"/>
      <c r="AY320" s="21"/>
      <c r="AZ320" s="22"/>
      <c r="BA320" s="22"/>
      <c r="BB320" s="22"/>
      <c r="BD320" s="22"/>
      <c r="BE320" s="22"/>
      <c r="BF320" s="22"/>
      <c r="BH320" s="22"/>
      <c r="BI320" s="22"/>
      <c r="BJ320" s="22"/>
      <c r="BL320" s="22"/>
      <c r="BM320" s="22"/>
      <c r="BN320" s="22"/>
      <c r="BP320" s="22"/>
      <c r="BQ320" s="22"/>
      <c r="BR320" s="22"/>
      <c r="BT320" s="22"/>
      <c r="BU320" s="22"/>
      <c r="BV320" s="22"/>
      <c r="BX320" s="22"/>
      <c r="BY320" s="22"/>
      <c r="BZ320" s="22"/>
      <c r="CB320" s="24"/>
      <c r="CC320" s="24"/>
      <c r="CD320" s="24"/>
      <c r="CE320" s="25"/>
      <c r="CF320" s="25"/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6"/>
      <c r="CT320" s="24"/>
      <c r="CU320" s="24"/>
      <c r="CV320" s="24"/>
      <c r="CW320" s="24"/>
      <c r="CX320" s="24"/>
      <c r="CY320" s="24"/>
      <c r="CZ320" s="24"/>
      <c r="DA320" s="24"/>
      <c r="DB320" s="24"/>
      <c r="DC320" s="24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4"/>
      <c r="DP320" s="24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4"/>
      <c r="EC320" s="24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4"/>
      <c r="EP320" s="24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4"/>
      <c r="FC320" s="24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4"/>
      <c r="FP320" s="24"/>
      <c r="FQ320" s="24"/>
      <c r="FR320" s="24"/>
      <c r="FS320" s="24"/>
      <c r="FT320" s="24"/>
      <c r="FU320" s="24"/>
      <c r="FV320" s="24"/>
      <c r="FW320" s="24"/>
      <c r="FX320" s="24"/>
      <c r="FY320" s="24"/>
      <c r="FZ320" s="24"/>
      <c r="GA320" s="24"/>
      <c r="GB320" s="24"/>
      <c r="GC320" s="24"/>
      <c r="GD320" s="24"/>
      <c r="GE320" s="24"/>
      <c r="GF320" s="24"/>
      <c r="GG320" s="24"/>
      <c r="GH320" s="24"/>
      <c r="GI320" s="24"/>
      <c r="GJ320" s="24"/>
      <c r="GK320" s="24"/>
      <c r="GL320" s="24"/>
      <c r="GM320" s="24"/>
      <c r="GN320" s="24"/>
      <c r="GO320" s="24"/>
      <c r="GP320" s="24"/>
      <c r="GQ320" s="24"/>
      <c r="GR320" s="24"/>
    </row>
    <row r="321" spans="1:200" s="23" customFormat="1" ht="14.25" customHeight="1">
      <c r="A321" s="20"/>
      <c r="B321" s="21"/>
      <c r="C321" s="22"/>
      <c r="D321" s="22"/>
      <c r="E321" s="22"/>
      <c r="G321" s="22"/>
      <c r="H321" s="22"/>
      <c r="I321" s="22"/>
      <c r="K321" s="22"/>
      <c r="L321" s="22"/>
      <c r="M321" s="22"/>
      <c r="O321" s="22"/>
      <c r="P321" s="22"/>
      <c r="Q321" s="22"/>
      <c r="S321" s="22"/>
      <c r="T321" s="22"/>
      <c r="U321" s="22"/>
      <c r="W321" s="22"/>
      <c r="X321" s="22"/>
      <c r="Y321" s="22"/>
      <c r="AA321" s="22"/>
      <c r="AB321" s="22"/>
      <c r="AC321" s="22"/>
      <c r="AE321" s="24"/>
      <c r="AF321" s="24"/>
      <c r="AG321" s="24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6"/>
      <c r="AW321" s="24"/>
      <c r="AX321" s="20"/>
      <c r="AY321" s="21"/>
      <c r="AZ321" s="22"/>
      <c r="BA321" s="22"/>
      <c r="BB321" s="22"/>
      <c r="BD321" s="22"/>
      <c r="BE321" s="22"/>
      <c r="BF321" s="22"/>
      <c r="BH321" s="22"/>
      <c r="BI321" s="22"/>
      <c r="BJ321" s="22"/>
      <c r="BL321" s="22"/>
      <c r="BM321" s="22"/>
      <c r="BN321" s="22"/>
      <c r="BP321" s="22"/>
      <c r="BQ321" s="22"/>
      <c r="BR321" s="22"/>
      <c r="BT321" s="22"/>
      <c r="BU321" s="22"/>
      <c r="BV321" s="22"/>
      <c r="BX321" s="22"/>
      <c r="BY321" s="22"/>
      <c r="BZ321" s="22"/>
      <c r="CB321" s="24"/>
      <c r="CC321" s="24"/>
      <c r="CD321" s="24"/>
      <c r="CE321" s="25"/>
      <c r="CF321" s="25"/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6"/>
      <c r="CT321" s="24"/>
      <c r="CU321" s="24"/>
      <c r="CV321" s="24"/>
      <c r="CW321" s="24"/>
      <c r="CX321" s="24"/>
      <c r="CY321" s="24"/>
      <c r="CZ321" s="24"/>
      <c r="DA321" s="24"/>
      <c r="DB321" s="24"/>
      <c r="DC321" s="24"/>
      <c r="DD321" s="24"/>
      <c r="DE321" s="24"/>
      <c r="DF321" s="24"/>
      <c r="DG321" s="24"/>
      <c r="DH321" s="24"/>
      <c r="DI321" s="24"/>
      <c r="DJ321" s="24"/>
      <c r="DK321" s="24"/>
      <c r="DL321" s="24"/>
      <c r="DM321" s="24"/>
      <c r="DN321" s="24"/>
      <c r="DO321" s="24"/>
      <c r="DP321" s="24"/>
      <c r="DQ321" s="24"/>
      <c r="DR321" s="24"/>
      <c r="DS321" s="24"/>
      <c r="DT321" s="24"/>
      <c r="DU321" s="24"/>
      <c r="DV321" s="24"/>
      <c r="DW321" s="24"/>
      <c r="DX321" s="24"/>
      <c r="DY321" s="24"/>
      <c r="DZ321" s="24"/>
      <c r="EA321" s="24"/>
      <c r="EB321" s="24"/>
      <c r="EC321" s="24"/>
      <c r="ED321" s="24"/>
      <c r="EE321" s="24"/>
      <c r="EF321" s="24"/>
      <c r="EG321" s="24"/>
      <c r="EH321" s="24"/>
      <c r="EI321" s="24"/>
      <c r="EJ321" s="24"/>
      <c r="EK321" s="24"/>
      <c r="EL321" s="24"/>
      <c r="EM321" s="24"/>
      <c r="EN321" s="24"/>
      <c r="EO321" s="24"/>
      <c r="EP321" s="24"/>
      <c r="EQ321" s="24"/>
      <c r="ER321" s="24"/>
      <c r="ES321" s="24"/>
      <c r="ET321" s="24"/>
      <c r="EU321" s="24"/>
      <c r="EV321" s="24"/>
      <c r="EW321" s="24"/>
      <c r="EX321" s="24"/>
      <c r="EY321" s="24"/>
      <c r="EZ321" s="24"/>
      <c r="FA321" s="24"/>
      <c r="FB321" s="24"/>
      <c r="FC321" s="24"/>
      <c r="FD321" s="24"/>
      <c r="FE321" s="24"/>
      <c r="FF321" s="24"/>
      <c r="FG321" s="24"/>
      <c r="FH321" s="24"/>
      <c r="FI321" s="24"/>
      <c r="FJ321" s="24"/>
      <c r="FK321" s="24"/>
      <c r="FL321" s="24"/>
      <c r="FM321" s="24"/>
      <c r="FN321" s="24"/>
      <c r="FO321" s="24"/>
      <c r="FP321" s="24"/>
      <c r="FQ321" s="24"/>
      <c r="FR321" s="24"/>
      <c r="FS321" s="24"/>
      <c r="FT321" s="24"/>
      <c r="FU321" s="24"/>
      <c r="FV321" s="24"/>
      <c r="FW321" s="24"/>
      <c r="FX321" s="24"/>
      <c r="FY321" s="24"/>
      <c r="FZ321" s="24"/>
      <c r="GA321" s="24"/>
      <c r="GB321" s="24"/>
      <c r="GC321" s="24"/>
      <c r="GD321" s="24"/>
      <c r="GE321" s="24"/>
      <c r="GF321" s="24"/>
      <c r="GG321" s="24"/>
      <c r="GH321" s="24"/>
      <c r="GI321" s="24"/>
      <c r="GJ321" s="24"/>
      <c r="GK321" s="24"/>
      <c r="GL321" s="24"/>
      <c r="GM321" s="24"/>
      <c r="GN321" s="24"/>
      <c r="GO321" s="24"/>
      <c r="GP321" s="24"/>
      <c r="GQ321" s="24"/>
      <c r="GR321" s="24"/>
    </row>
    <row r="322" spans="1:200" s="23" customFormat="1" ht="14.25" customHeight="1">
      <c r="A322" s="20"/>
      <c r="B322" s="21"/>
      <c r="C322" s="22"/>
      <c r="D322" s="22"/>
      <c r="E322" s="22"/>
      <c r="G322" s="22"/>
      <c r="H322" s="22"/>
      <c r="I322" s="22"/>
      <c r="K322" s="22"/>
      <c r="L322" s="22"/>
      <c r="M322" s="22"/>
      <c r="O322" s="22"/>
      <c r="P322" s="22"/>
      <c r="Q322" s="22"/>
      <c r="S322" s="22"/>
      <c r="T322" s="22"/>
      <c r="U322" s="22"/>
      <c r="W322" s="22"/>
      <c r="X322" s="22"/>
      <c r="Y322" s="22"/>
      <c r="AA322" s="22"/>
      <c r="AB322" s="22"/>
      <c r="AC322" s="22"/>
      <c r="AE322" s="24"/>
      <c r="AF322" s="24"/>
      <c r="AG322" s="24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6"/>
      <c r="AW322" s="24"/>
      <c r="AX322" s="20"/>
      <c r="AY322" s="21"/>
      <c r="AZ322" s="22"/>
      <c r="BA322" s="22"/>
      <c r="BB322" s="22"/>
      <c r="BD322" s="22"/>
      <c r="BE322" s="22"/>
      <c r="BF322" s="22"/>
      <c r="BH322" s="22"/>
      <c r="BI322" s="22"/>
      <c r="BJ322" s="22"/>
      <c r="BL322" s="22"/>
      <c r="BM322" s="22"/>
      <c r="BN322" s="22"/>
      <c r="BP322" s="22"/>
      <c r="BQ322" s="22"/>
      <c r="BR322" s="22"/>
      <c r="BT322" s="22"/>
      <c r="BU322" s="22"/>
      <c r="BV322" s="22"/>
      <c r="BX322" s="22"/>
      <c r="BY322" s="22"/>
      <c r="BZ322" s="22"/>
      <c r="CB322" s="24"/>
      <c r="CC322" s="24"/>
      <c r="CD322" s="24"/>
      <c r="CE322" s="25"/>
      <c r="CF322" s="25"/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6"/>
      <c r="CT322" s="24"/>
      <c r="CU322" s="24"/>
      <c r="CV322" s="24"/>
      <c r="CW322" s="24"/>
      <c r="CX322" s="24"/>
      <c r="CY322" s="24"/>
      <c r="CZ322" s="24"/>
      <c r="DA322" s="24"/>
      <c r="DB322" s="24"/>
      <c r="DC322" s="24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4"/>
      <c r="DP322" s="24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4"/>
      <c r="EC322" s="24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4"/>
      <c r="EP322" s="24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4"/>
      <c r="FC322" s="24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4"/>
      <c r="FP322" s="24"/>
      <c r="FQ322" s="24"/>
      <c r="FR322" s="24"/>
      <c r="FS322" s="24"/>
      <c r="FT322" s="24"/>
      <c r="FU322" s="24"/>
      <c r="FV322" s="24"/>
      <c r="FW322" s="24"/>
      <c r="FX322" s="24"/>
      <c r="FY322" s="24"/>
      <c r="FZ322" s="24"/>
      <c r="GA322" s="24"/>
      <c r="GB322" s="24"/>
      <c r="GC322" s="24"/>
      <c r="GD322" s="24"/>
      <c r="GE322" s="24"/>
      <c r="GF322" s="24"/>
      <c r="GG322" s="24"/>
      <c r="GH322" s="24"/>
      <c r="GI322" s="24"/>
      <c r="GJ322" s="24"/>
      <c r="GK322" s="24"/>
      <c r="GL322" s="24"/>
      <c r="GM322" s="24"/>
      <c r="GN322" s="24"/>
      <c r="GO322" s="24"/>
      <c r="GP322" s="24"/>
      <c r="GQ322" s="24"/>
      <c r="GR322" s="24"/>
    </row>
    <row r="323" spans="1:200" s="23" customFormat="1" ht="14.25" customHeight="1">
      <c r="A323" s="20"/>
      <c r="B323" s="21"/>
      <c r="C323" s="22"/>
      <c r="D323" s="22"/>
      <c r="E323" s="22"/>
      <c r="G323" s="22"/>
      <c r="H323" s="22"/>
      <c r="I323" s="22"/>
      <c r="K323" s="22"/>
      <c r="L323" s="22"/>
      <c r="M323" s="22"/>
      <c r="O323" s="22"/>
      <c r="P323" s="22"/>
      <c r="Q323" s="22"/>
      <c r="S323" s="22"/>
      <c r="T323" s="22"/>
      <c r="U323" s="22"/>
      <c r="W323" s="22"/>
      <c r="X323" s="22"/>
      <c r="Y323" s="22"/>
      <c r="AA323" s="22"/>
      <c r="AB323" s="22"/>
      <c r="AC323" s="22"/>
      <c r="AE323" s="24"/>
      <c r="AF323" s="24"/>
      <c r="AG323" s="24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6"/>
      <c r="AW323" s="24"/>
      <c r="AX323" s="20"/>
      <c r="AY323" s="21"/>
      <c r="AZ323" s="22"/>
      <c r="BA323" s="22"/>
      <c r="BB323" s="22"/>
      <c r="BD323" s="22"/>
      <c r="BE323" s="22"/>
      <c r="BF323" s="22"/>
      <c r="BH323" s="22"/>
      <c r="BI323" s="22"/>
      <c r="BJ323" s="22"/>
      <c r="BL323" s="22"/>
      <c r="BM323" s="22"/>
      <c r="BN323" s="22"/>
      <c r="BP323" s="22"/>
      <c r="BQ323" s="22"/>
      <c r="BR323" s="22"/>
      <c r="BT323" s="22"/>
      <c r="BU323" s="22"/>
      <c r="BV323" s="22"/>
      <c r="BX323" s="22"/>
      <c r="BY323" s="22"/>
      <c r="BZ323" s="22"/>
      <c r="CB323" s="24"/>
      <c r="CC323" s="24"/>
      <c r="CD323" s="24"/>
      <c r="CE323" s="25"/>
      <c r="CF323" s="25"/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6"/>
      <c r="CT323" s="24"/>
      <c r="CU323" s="24"/>
      <c r="CV323" s="24"/>
      <c r="CW323" s="24"/>
      <c r="CX323" s="24"/>
      <c r="CY323" s="24"/>
      <c r="CZ323" s="24"/>
      <c r="DA323" s="24"/>
      <c r="DB323" s="24"/>
      <c r="DC323" s="24"/>
      <c r="DD323" s="24"/>
      <c r="DE323" s="24"/>
      <c r="DF323" s="24"/>
      <c r="DG323" s="24"/>
      <c r="DH323" s="24"/>
      <c r="DI323" s="24"/>
      <c r="DJ323" s="24"/>
      <c r="DK323" s="24"/>
      <c r="DL323" s="24"/>
      <c r="DM323" s="24"/>
      <c r="DN323" s="24"/>
      <c r="DO323" s="24"/>
      <c r="DP323" s="24"/>
      <c r="DQ323" s="24"/>
      <c r="DR323" s="24"/>
      <c r="DS323" s="24"/>
      <c r="DT323" s="24"/>
      <c r="DU323" s="24"/>
      <c r="DV323" s="24"/>
      <c r="DW323" s="24"/>
      <c r="DX323" s="24"/>
      <c r="DY323" s="24"/>
      <c r="DZ323" s="24"/>
      <c r="EA323" s="24"/>
      <c r="EB323" s="24"/>
      <c r="EC323" s="24"/>
      <c r="ED323" s="24"/>
      <c r="EE323" s="24"/>
      <c r="EF323" s="24"/>
      <c r="EG323" s="24"/>
      <c r="EH323" s="24"/>
      <c r="EI323" s="24"/>
      <c r="EJ323" s="24"/>
      <c r="EK323" s="24"/>
      <c r="EL323" s="24"/>
      <c r="EM323" s="24"/>
      <c r="EN323" s="24"/>
      <c r="EO323" s="24"/>
      <c r="EP323" s="24"/>
      <c r="EQ323" s="24"/>
      <c r="ER323" s="24"/>
      <c r="ES323" s="24"/>
      <c r="ET323" s="24"/>
      <c r="EU323" s="24"/>
      <c r="EV323" s="24"/>
      <c r="EW323" s="24"/>
      <c r="EX323" s="24"/>
      <c r="EY323" s="24"/>
      <c r="EZ323" s="24"/>
      <c r="FA323" s="24"/>
      <c r="FB323" s="24"/>
      <c r="FC323" s="24"/>
      <c r="FD323" s="24"/>
      <c r="FE323" s="24"/>
      <c r="FF323" s="24"/>
      <c r="FG323" s="24"/>
      <c r="FH323" s="24"/>
      <c r="FI323" s="24"/>
      <c r="FJ323" s="24"/>
      <c r="FK323" s="24"/>
      <c r="FL323" s="24"/>
      <c r="FM323" s="24"/>
      <c r="FN323" s="24"/>
      <c r="FO323" s="24"/>
      <c r="FP323" s="24"/>
      <c r="FQ323" s="24"/>
      <c r="FR323" s="24"/>
      <c r="FS323" s="24"/>
      <c r="FT323" s="24"/>
      <c r="FU323" s="24"/>
      <c r="FV323" s="24"/>
      <c r="FW323" s="24"/>
      <c r="FX323" s="24"/>
      <c r="FY323" s="24"/>
      <c r="FZ323" s="24"/>
      <c r="GA323" s="24"/>
      <c r="GB323" s="24"/>
      <c r="GC323" s="24"/>
      <c r="GD323" s="24"/>
      <c r="GE323" s="24"/>
      <c r="GF323" s="24"/>
      <c r="GG323" s="24"/>
      <c r="GH323" s="24"/>
      <c r="GI323" s="24"/>
      <c r="GJ323" s="24"/>
      <c r="GK323" s="24"/>
      <c r="GL323" s="24"/>
      <c r="GM323" s="24"/>
      <c r="GN323" s="24"/>
      <c r="GO323" s="24"/>
      <c r="GP323" s="24"/>
      <c r="GQ323" s="24"/>
      <c r="GR323" s="24"/>
    </row>
    <row r="324" spans="1:200" s="23" customFormat="1" ht="14.25" customHeight="1">
      <c r="A324" s="20"/>
      <c r="B324" s="21"/>
      <c r="C324" s="22"/>
      <c r="D324" s="22"/>
      <c r="E324" s="22"/>
      <c r="G324" s="22"/>
      <c r="H324" s="22"/>
      <c r="I324" s="22"/>
      <c r="K324" s="22"/>
      <c r="L324" s="22"/>
      <c r="M324" s="22"/>
      <c r="O324" s="22"/>
      <c r="P324" s="22"/>
      <c r="Q324" s="22"/>
      <c r="S324" s="22"/>
      <c r="T324" s="22"/>
      <c r="U324" s="22"/>
      <c r="W324" s="22"/>
      <c r="X324" s="22"/>
      <c r="Y324" s="22"/>
      <c r="AA324" s="22"/>
      <c r="AB324" s="22"/>
      <c r="AC324" s="22"/>
      <c r="AE324" s="24"/>
      <c r="AF324" s="24"/>
      <c r="AG324" s="24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6"/>
      <c r="AW324" s="24"/>
      <c r="AX324" s="20"/>
      <c r="AY324" s="21"/>
      <c r="AZ324" s="22"/>
      <c r="BA324" s="22"/>
      <c r="BB324" s="22"/>
      <c r="BD324" s="22"/>
      <c r="BE324" s="22"/>
      <c r="BF324" s="22"/>
      <c r="BH324" s="22"/>
      <c r="BI324" s="22"/>
      <c r="BJ324" s="22"/>
      <c r="BL324" s="22"/>
      <c r="BM324" s="22"/>
      <c r="BN324" s="22"/>
      <c r="BP324" s="22"/>
      <c r="BQ324" s="22"/>
      <c r="BR324" s="22"/>
      <c r="BT324" s="22"/>
      <c r="BU324" s="22"/>
      <c r="BV324" s="22"/>
      <c r="BX324" s="22"/>
      <c r="BY324" s="22"/>
      <c r="BZ324" s="22"/>
      <c r="CB324" s="24"/>
      <c r="CC324" s="24"/>
      <c r="CD324" s="24"/>
      <c r="CE324" s="25"/>
      <c r="CF324" s="25"/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6"/>
      <c r="CT324" s="24"/>
      <c r="CU324" s="24"/>
      <c r="CV324" s="24"/>
      <c r="CW324" s="24"/>
      <c r="CX324" s="24"/>
      <c r="CY324" s="24"/>
      <c r="CZ324" s="24"/>
      <c r="DA324" s="24"/>
      <c r="DB324" s="24"/>
      <c r="DC324" s="24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4"/>
      <c r="DP324" s="24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4"/>
      <c r="EC324" s="24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4"/>
      <c r="EP324" s="24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4"/>
      <c r="FC324" s="24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4"/>
      <c r="FP324" s="24"/>
      <c r="FQ324" s="24"/>
      <c r="FR324" s="24"/>
      <c r="FS324" s="24"/>
      <c r="FT324" s="24"/>
      <c r="FU324" s="24"/>
      <c r="FV324" s="24"/>
      <c r="FW324" s="24"/>
      <c r="FX324" s="24"/>
      <c r="FY324" s="24"/>
      <c r="FZ324" s="24"/>
      <c r="GA324" s="24"/>
      <c r="GB324" s="24"/>
      <c r="GC324" s="24"/>
      <c r="GD324" s="24"/>
      <c r="GE324" s="24"/>
      <c r="GF324" s="24"/>
      <c r="GG324" s="24"/>
      <c r="GH324" s="24"/>
      <c r="GI324" s="24"/>
      <c r="GJ324" s="24"/>
      <c r="GK324" s="24"/>
      <c r="GL324" s="24"/>
      <c r="GM324" s="24"/>
      <c r="GN324" s="24"/>
      <c r="GO324" s="24"/>
      <c r="GP324" s="24"/>
      <c r="GQ324" s="24"/>
      <c r="GR324" s="24"/>
    </row>
    <row r="325" spans="1:200" s="23" customFormat="1" ht="14.25" customHeight="1">
      <c r="A325" s="20"/>
      <c r="B325" s="21"/>
      <c r="C325" s="22"/>
      <c r="D325" s="22"/>
      <c r="E325" s="22"/>
      <c r="G325" s="22"/>
      <c r="H325" s="22"/>
      <c r="I325" s="22"/>
      <c r="K325" s="22"/>
      <c r="L325" s="22"/>
      <c r="M325" s="22"/>
      <c r="O325" s="22"/>
      <c r="P325" s="22"/>
      <c r="Q325" s="22"/>
      <c r="S325" s="22"/>
      <c r="T325" s="22"/>
      <c r="U325" s="22"/>
      <c r="W325" s="22"/>
      <c r="X325" s="22"/>
      <c r="Y325" s="22"/>
      <c r="AA325" s="22"/>
      <c r="AB325" s="22"/>
      <c r="AC325" s="22"/>
      <c r="AE325" s="24"/>
      <c r="AF325" s="24"/>
      <c r="AG325" s="24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6"/>
      <c r="AW325" s="24"/>
      <c r="AX325" s="20"/>
      <c r="AY325" s="21"/>
      <c r="AZ325" s="22"/>
      <c r="BA325" s="22"/>
      <c r="BB325" s="22"/>
      <c r="BD325" s="22"/>
      <c r="BE325" s="22"/>
      <c r="BF325" s="22"/>
      <c r="BH325" s="22"/>
      <c r="BI325" s="22"/>
      <c r="BJ325" s="22"/>
      <c r="BL325" s="22"/>
      <c r="BM325" s="22"/>
      <c r="BN325" s="22"/>
      <c r="BP325" s="22"/>
      <c r="BQ325" s="22"/>
      <c r="BR325" s="22"/>
      <c r="BT325" s="22"/>
      <c r="BU325" s="22"/>
      <c r="BV325" s="22"/>
      <c r="BX325" s="22"/>
      <c r="BY325" s="22"/>
      <c r="BZ325" s="22"/>
      <c r="CB325" s="24"/>
      <c r="CC325" s="24"/>
      <c r="CD325" s="24"/>
      <c r="CE325" s="25"/>
      <c r="CF325" s="25"/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6"/>
      <c r="CT325" s="24"/>
      <c r="CU325" s="24"/>
      <c r="CV325" s="24"/>
      <c r="CW325" s="24"/>
      <c r="CX325" s="24"/>
      <c r="CY325" s="24"/>
      <c r="CZ325" s="24"/>
      <c r="DA325" s="24"/>
      <c r="DB325" s="24"/>
      <c r="DC325" s="24"/>
      <c r="DD325" s="24"/>
      <c r="DE325" s="24"/>
      <c r="DF325" s="24"/>
      <c r="DG325" s="24"/>
      <c r="DH325" s="24"/>
      <c r="DI325" s="24"/>
      <c r="DJ325" s="24"/>
      <c r="DK325" s="24"/>
      <c r="DL325" s="24"/>
      <c r="DM325" s="24"/>
      <c r="DN325" s="24"/>
      <c r="DO325" s="24"/>
      <c r="DP325" s="24"/>
      <c r="DQ325" s="24"/>
      <c r="DR325" s="24"/>
      <c r="DS325" s="24"/>
      <c r="DT325" s="24"/>
      <c r="DU325" s="24"/>
      <c r="DV325" s="24"/>
      <c r="DW325" s="24"/>
      <c r="DX325" s="24"/>
      <c r="DY325" s="24"/>
      <c r="DZ325" s="24"/>
      <c r="EA325" s="24"/>
      <c r="EB325" s="24"/>
      <c r="EC325" s="24"/>
      <c r="ED325" s="24"/>
      <c r="EE325" s="24"/>
      <c r="EF325" s="24"/>
      <c r="EG325" s="24"/>
      <c r="EH325" s="24"/>
      <c r="EI325" s="24"/>
      <c r="EJ325" s="24"/>
      <c r="EK325" s="24"/>
      <c r="EL325" s="24"/>
      <c r="EM325" s="24"/>
      <c r="EN325" s="24"/>
      <c r="EO325" s="24"/>
      <c r="EP325" s="24"/>
      <c r="EQ325" s="24"/>
      <c r="ER325" s="24"/>
      <c r="ES325" s="24"/>
      <c r="ET325" s="24"/>
      <c r="EU325" s="24"/>
      <c r="EV325" s="24"/>
      <c r="EW325" s="24"/>
      <c r="EX325" s="24"/>
      <c r="EY325" s="24"/>
      <c r="EZ325" s="24"/>
      <c r="FA325" s="24"/>
      <c r="FB325" s="24"/>
      <c r="FC325" s="24"/>
      <c r="FD325" s="24"/>
      <c r="FE325" s="24"/>
      <c r="FF325" s="24"/>
      <c r="FG325" s="24"/>
      <c r="FH325" s="24"/>
      <c r="FI325" s="24"/>
      <c r="FJ325" s="24"/>
      <c r="FK325" s="24"/>
      <c r="FL325" s="24"/>
      <c r="FM325" s="24"/>
      <c r="FN325" s="24"/>
      <c r="FO325" s="24"/>
      <c r="FP325" s="24"/>
      <c r="FQ325" s="24"/>
      <c r="FR325" s="24"/>
      <c r="FS325" s="24"/>
      <c r="FT325" s="24"/>
      <c r="FU325" s="24"/>
      <c r="FV325" s="24"/>
      <c r="FW325" s="24"/>
      <c r="FX325" s="24"/>
      <c r="FY325" s="24"/>
      <c r="FZ325" s="24"/>
      <c r="GA325" s="24"/>
      <c r="GB325" s="24"/>
      <c r="GC325" s="24"/>
      <c r="GD325" s="24"/>
      <c r="GE325" s="24"/>
      <c r="GF325" s="24"/>
      <c r="GG325" s="24"/>
      <c r="GH325" s="24"/>
      <c r="GI325" s="24"/>
      <c r="GJ325" s="24"/>
      <c r="GK325" s="24"/>
      <c r="GL325" s="24"/>
      <c r="GM325" s="24"/>
      <c r="GN325" s="24"/>
      <c r="GO325" s="24"/>
      <c r="GP325" s="24"/>
      <c r="GQ325" s="24"/>
      <c r="GR325" s="24"/>
    </row>
    <row r="326" spans="1:200" s="23" customFormat="1" ht="14.25" customHeight="1">
      <c r="A326" s="20"/>
      <c r="B326" s="21"/>
      <c r="C326" s="22"/>
      <c r="D326" s="22"/>
      <c r="E326" s="22"/>
      <c r="G326" s="22"/>
      <c r="H326" s="22"/>
      <c r="I326" s="22"/>
      <c r="K326" s="22"/>
      <c r="L326" s="22"/>
      <c r="M326" s="22"/>
      <c r="O326" s="22"/>
      <c r="P326" s="22"/>
      <c r="Q326" s="22"/>
      <c r="S326" s="22"/>
      <c r="T326" s="22"/>
      <c r="U326" s="22"/>
      <c r="W326" s="22"/>
      <c r="X326" s="22"/>
      <c r="Y326" s="22"/>
      <c r="AA326" s="22"/>
      <c r="AB326" s="22"/>
      <c r="AC326" s="22"/>
      <c r="AE326" s="24"/>
      <c r="AF326" s="24"/>
      <c r="AG326" s="24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6"/>
      <c r="AW326" s="24"/>
      <c r="AX326" s="20"/>
      <c r="AY326" s="21"/>
      <c r="AZ326" s="22"/>
      <c r="BA326" s="22"/>
      <c r="BB326" s="22"/>
      <c r="BD326" s="22"/>
      <c r="BE326" s="22"/>
      <c r="BF326" s="22"/>
      <c r="BH326" s="22"/>
      <c r="BI326" s="22"/>
      <c r="BJ326" s="22"/>
      <c r="BL326" s="22"/>
      <c r="BM326" s="22"/>
      <c r="BN326" s="22"/>
      <c r="BP326" s="22"/>
      <c r="BQ326" s="22"/>
      <c r="BR326" s="22"/>
      <c r="BT326" s="22"/>
      <c r="BU326" s="22"/>
      <c r="BV326" s="22"/>
      <c r="BX326" s="22"/>
      <c r="BY326" s="22"/>
      <c r="BZ326" s="22"/>
      <c r="CB326" s="24"/>
      <c r="CC326" s="24"/>
      <c r="CD326" s="24"/>
      <c r="CE326" s="25"/>
      <c r="CF326" s="25"/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6"/>
      <c r="CT326" s="24"/>
      <c r="CU326" s="24"/>
      <c r="CV326" s="24"/>
      <c r="CW326" s="24"/>
      <c r="CX326" s="24"/>
      <c r="CY326" s="24"/>
      <c r="CZ326" s="24"/>
      <c r="DA326" s="24"/>
      <c r="DB326" s="24"/>
      <c r="DC326" s="24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4"/>
      <c r="DP326" s="24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4"/>
      <c r="EC326" s="24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4"/>
      <c r="EP326" s="24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4"/>
      <c r="FC326" s="24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4"/>
      <c r="FP326" s="24"/>
      <c r="FQ326" s="24"/>
      <c r="FR326" s="24"/>
      <c r="FS326" s="24"/>
      <c r="FT326" s="24"/>
      <c r="FU326" s="24"/>
      <c r="FV326" s="24"/>
      <c r="FW326" s="24"/>
      <c r="FX326" s="24"/>
      <c r="FY326" s="24"/>
      <c r="FZ326" s="24"/>
      <c r="GA326" s="24"/>
      <c r="GB326" s="24"/>
      <c r="GC326" s="24"/>
      <c r="GD326" s="24"/>
      <c r="GE326" s="24"/>
      <c r="GF326" s="24"/>
      <c r="GG326" s="24"/>
      <c r="GH326" s="24"/>
      <c r="GI326" s="24"/>
      <c r="GJ326" s="24"/>
      <c r="GK326" s="24"/>
      <c r="GL326" s="24"/>
      <c r="GM326" s="24"/>
      <c r="GN326" s="24"/>
      <c r="GO326" s="24"/>
      <c r="GP326" s="24"/>
      <c r="GQ326" s="24"/>
      <c r="GR326" s="24"/>
    </row>
    <row r="327" spans="1:200" s="23" customFormat="1" ht="14.25" customHeight="1">
      <c r="A327" s="20"/>
      <c r="B327" s="21"/>
      <c r="C327" s="22"/>
      <c r="D327" s="22"/>
      <c r="E327" s="22"/>
      <c r="G327" s="22"/>
      <c r="H327" s="22"/>
      <c r="I327" s="22"/>
      <c r="K327" s="22"/>
      <c r="L327" s="22"/>
      <c r="M327" s="22"/>
      <c r="O327" s="22"/>
      <c r="P327" s="22"/>
      <c r="Q327" s="22"/>
      <c r="S327" s="22"/>
      <c r="T327" s="22"/>
      <c r="U327" s="22"/>
      <c r="W327" s="22"/>
      <c r="X327" s="22"/>
      <c r="Y327" s="22"/>
      <c r="AA327" s="22"/>
      <c r="AB327" s="22"/>
      <c r="AC327" s="22"/>
      <c r="AE327" s="24"/>
      <c r="AF327" s="24"/>
      <c r="AG327" s="24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6"/>
      <c r="AW327" s="24"/>
      <c r="AX327" s="20"/>
      <c r="AY327" s="21"/>
      <c r="AZ327" s="22"/>
      <c r="BA327" s="22"/>
      <c r="BB327" s="22"/>
      <c r="BD327" s="22"/>
      <c r="BE327" s="22"/>
      <c r="BF327" s="22"/>
      <c r="BH327" s="22"/>
      <c r="BI327" s="22"/>
      <c r="BJ327" s="22"/>
      <c r="BL327" s="22"/>
      <c r="BM327" s="22"/>
      <c r="BN327" s="22"/>
      <c r="BP327" s="22"/>
      <c r="BQ327" s="22"/>
      <c r="BR327" s="22"/>
      <c r="BT327" s="22"/>
      <c r="BU327" s="22"/>
      <c r="BV327" s="22"/>
      <c r="BX327" s="22"/>
      <c r="BY327" s="22"/>
      <c r="BZ327" s="22"/>
      <c r="CB327" s="24"/>
      <c r="CC327" s="24"/>
      <c r="CD327" s="24"/>
      <c r="CE327" s="25"/>
      <c r="CF327" s="25"/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6"/>
      <c r="CT327" s="24"/>
      <c r="CU327" s="24"/>
      <c r="CV327" s="24"/>
      <c r="CW327" s="24"/>
      <c r="CX327" s="24"/>
      <c r="CY327" s="24"/>
      <c r="CZ327" s="24"/>
      <c r="DA327" s="24"/>
      <c r="DB327" s="24"/>
      <c r="DC327" s="24"/>
      <c r="DD327" s="24"/>
      <c r="DE327" s="24"/>
      <c r="DF327" s="24"/>
      <c r="DG327" s="24"/>
      <c r="DH327" s="24"/>
      <c r="DI327" s="24"/>
      <c r="DJ327" s="24"/>
      <c r="DK327" s="24"/>
      <c r="DL327" s="24"/>
      <c r="DM327" s="24"/>
      <c r="DN327" s="24"/>
      <c r="DO327" s="24"/>
      <c r="DP327" s="24"/>
      <c r="DQ327" s="24"/>
      <c r="DR327" s="24"/>
      <c r="DS327" s="24"/>
      <c r="DT327" s="24"/>
      <c r="DU327" s="24"/>
      <c r="DV327" s="24"/>
      <c r="DW327" s="24"/>
      <c r="DX327" s="24"/>
      <c r="DY327" s="24"/>
      <c r="DZ327" s="24"/>
      <c r="EA327" s="24"/>
      <c r="EB327" s="24"/>
      <c r="EC327" s="24"/>
      <c r="ED327" s="24"/>
      <c r="EE327" s="24"/>
      <c r="EF327" s="24"/>
      <c r="EG327" s="24"/>
      <c r="EH327" s="24"/>
      <c r="EI327" s="24"/>
      <c r="EJ327" s="24"/>
      <c r="EK327" s="24"/>
      <c r="EL327" s="24"/>
      <c r="EM327" s="24"/>
      <c r="EN327" s="24"/>
      <c r="EO327" s="24"/>
      <c r="EP327" s="24"/>
      <c r="EQ327" s="24"/>
      <c r="ER327" s="24"/>
      <c r="ES327" s="24"/>
      <c r="ET327" s="24"/>
      <c r="EU327" s="24"/>
      <c r="EV327" s="24"/>
      <c r="EW327" s="24"/>
      <c r="EX327" s="24"/>
      <c r="EY327" s="24"/>
      <c r="EZ327" s="24"/>
      <c r="FA327" s="24"/>
      <c r="FB327" s="24"/>
      <c r="FC327" s="24"/>
      <c r="FD327" s="24"/>
      <c r="FE327" s="24"/>
      <c r="FF327" s="24"/>
      <c r="FG327" s="24"/>
      <c r="FH327" s="24"/>
      <c r="FI327" s="24"/>
      <c r="FJ327" s="24"/>
      <c r="FK327" s="24"/>
      <c r="FL327" s="24"/>
      <c r="FM327" s="24"/>
      <c r="FN327" s="24"/>
      <c r="FO327" s="24"/>
      <c r="FP327" s="24"/>
      <c r="FQ327" s="24"/>
      <c r="FR327" s="24"/>
      <c r="FS327" s="24"/>
      <c r="FT327" s="24"/>
      <c r="FU327" s="24"/>
      <c r="FV327" s="24"/>
      <c r="FW327" s="24"/>
      <c r="FX327" s="24"/>
      <c r="FY327" s="24"/>
      <c r="FZ327" s="24"/>
      <c r="GA327" s="24"/>
      <c r="GB327" s="24"/>
      <c r="GC327" s="24"/>
      <c r="GD327" s="24"/>
      <c r="GE327" s="24"/>
      <c r="GF327" s="24"/>
      <c r="GG327" s="24"/>
      <c r="GH327" s="24"/>
      <c r="GI327" s="24"/>
      <c r="GJ327" s="24"/>
      <c r="GK327" s="24"/>
      <c r="GL327" s="24"/>
      <c r="GM327" s="24"/>
      <c r="GN327" s="24"/>
      <c r="GO327" s="24"/>
      <c r="GP327" s="24"/>
      <c r="GQ327" s="24"/>
      <c r="GR327" s="24"/>
    </row>
    <row r="328" spans="1:200" s="23" customFormat="1" ht="14.25" customHeight="1">
      <c r="A328" s="20"/>
      <c r="B328" s="21"/>
      <c r="C328" s="22"/>
      <c r="D328" s="22"/>
      <c r="E328" s="22"/>
      <c r="G328" s="22"/>
      <c r="H328" s="22"/>
      <c r="I328" s="22"/>
      <c r="K328" s="22"/>
      <c r="L328" s="22"/>
      <c r="M328" s="22"/>
      <c r="O328" s="22"/>
      <c r="P328" s="22"/>
      <c r="Q328" s="22"/>
      <c r="S328" s="22"/>
      <c r="T328" s="22"/>
      <c r="U328" s="22"/>
      <c r="W328" s="22"/>
      <c r="X328" s="22"/>
      <c r="Y328" s="22"/>
      <c r="AA328" s="22"/>
      <c r="AB328" s="22"/>
      <c r="AC328" s="22"/>
      <c r="AE328" s="24"/>
      <c r="AF328" s="24"/>
      <c r="AG328" s="24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6"/>
      <c r="AW328" s="24"/>
      <c r="AX328" s="20"/>
      <c r="AY328" s="21"/>
      <c r="AZ328" s="22"/>
      <c r="BA328" s="22"/>
      <c r="BB328" s="22"/>
      <c r="BD328" s="22"/>
      <c r="BE328" s="22"/>
      <c r="BF328" s="22"/>
      <c r="BH328" s="22"/>
      <c r="BI328" s="22"/>
      <c r="BJ328" s="22"/>
      <c r="BL328" s="22"/>
      <c r="BM328" s="22"/>
      <c r="BN328" s="22"/>
      <c r="BP328" s="22"/>
      <c r="BQ328" s="22"/>
      <c r="BR328" s="22"/>
      <c r="BT328" s="22"/>
      <c r="BU328" s="22"/>
      <c r="BV328" s="22"/>
      <c r="BX328" s="22"/>
      <c r="BY328" s="22"/>
      <c r="BZ328" s="22"/>
      <c r="CB328" s="24"/>
      <c r="CC328" s="24"/>
      <c r="CD328" s="24"/>
      <c r="CE328" s="25"/>
      <c r="CF328" s="25"/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6"/>
      <c r="CT328" s="24"/>
      <c r="CU328" s="24"/>
      <c r="CV328" s="24"/>
      <c r="CW328" s="24"/>
      <c r="CX328" s="24"/>
      <c r="CY328" s="24"/>
      <c r="CZ328" s="24"/>
      <c r="DA328" s="24"/>
      <c r="DB328" s="24"/>
      <c r="DC328" s="24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4"/>
      <c r="DP328" s="24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4"/>
      <c r="EC328" s="24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4"/>
      <c r="EP328" s="24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4"/>
      <c r="FC328" s="24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4"/>
      <c r="FP328" s="24"/>
      <c r="FQ328" s="24"/>
      <c r="FR328" s="24"/>
      <c r="FS328" s="24"/>
      <c r="FT328" s="24"/>
      <c r="FU328" s="24"/>
      <c r="FV328" s="24"/>
      <c r="FW328" s="24"/>
      <c r="FX328" s="24"/>
      <c r="FY328" s="24"/>
      <c r="FZ328" s="24"/>
      <c r="GA328" s="24"/>
      <c r="GB328" s="24"/>
      <c r="GC328" s="24"/>
      <c r="GD328" s="24"/>
      <c r="GE328" s="24"/>
      <c r="GF328" s="24"/>
      <c r="GG328" s="24"/>
      <c r="GH328" s="24"/>
      <c r="GI328" s="24"/>
      <c r="GJ328" s="24"/>
      <c r="GK328" s="24"/>
      <c r="GL328" s="24"/>
      <c r="GM328" s="24"/>
      <c r="GN328" s="24"/>
      <c r="GO328" s="24"/>
      <c r="GP328" s="24"/>
      <c r="GQ328" s="24"/>
      <c r="GR328" s="24"/>
    </row>
    <row r="329" spans="1:200" s="23" customFormat="1" ht="14.25" customHeight="1">
      <c r="A329" s="20"/>
      <c r="B329" s="21"/>
      <c r="C329" s="22"/>
      <c r="D329" s="22"/>
      <c r="E329" s="22"/>
      <c r="G329" s="22"/>
      <c r="H329" s="22"/>
      <c r="I329" s="22"/>
      <c r="K329" s="22"/>
      <c r="L329" s="22"/>
      <c r="M329" s="22"/>
      <c r="O329" s="22"/>
      <c r="P329" s="22"/>
      <c r="Q329" s="22"/>
      <c r="S329" s="22"/>
      <c r="T329" s="22"/>
      <c r="U329" s="22"/>
      <c r="W329" s="22"/>
      <c r="X329" s="22"/>
      <c r="Y329" s="22"/>
      <c r="AA329" s="22"/>
      <c r="AB329" s="22"/>
      <c r="AC329" s="22"/>
      <c r="AE329" s="24"/>
      <c r="AF329" s="24"/>
      <c r="AG329" s="24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6"/>
      <c r="AW329" s="24"/>
      <c r="AX329" s="20"/>
      <c r="AY329" s="21"/>
      <c r="AZ329" s="22"/>
      <c r="BA329" s="22"/>
      <c r="BB329" s="22"/>
      <c r="BD329" s="22"/>
      <c r="BE329" s="22"/>
      <c r="BF329" s="22"/>
      <c r="BH329" s="22"/>
      <c r="BI329" s="22"/>
      <c r="BJ329" s="22"/>
      <c r="BL329" s="22"/>
      <c r="BM329" s="22"/>
      <c r="BN329" s="22"/>
      <c r="BP329" s="22"/>
      <c r="BQ329" s="22"/>
      <c r="BR329" s="22"/>
      <c r="BT329" s="22"/>
      <c r="BU329" s="22"/>
      <c r="BV329" s="22"/>
      <c r="BX329" s="22"/>
      <c r="BY329" s="22"/>
      <c r="BZ329" s="22"/>
      <c r="CB329" s="24"/>
      <c r="CC329" s="24"/>
      <c r="CD329" s="24"/>
      <c r="CE329" s="25"/>
      <c r="CF329" s="25"/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6"/>
      <c r="CT329" s="24"/>
      <c r="CU329" s="24"/>
      <c r="CV329" s="24"/>
      <c r="CW329" s="24"/>
      <c r="CX329" s="24"/>
      <c r="CY329" s="24"/>
      <c r="CZ329" s="24"/>
      <c r="DA329" s="24"/>
      <c r="DB329" s="24"/>
      <c r="DC329" s="24"/>
      <c r="DD329" s="24"/>
      <c r="DE329" s="24"/>
      <c r="DF329" s="24"/>
      <c r="DG329" s="24"/>
      <c r="DH329" s="24"/>
      <c r="DI329" s="24"/>
      <c r="DJ329" s="24"/>
      <c r="DK329" s="24"/>
      <c r="DL329" s="24"/>
      <c r="DM329" s="24"/>
      <c r="DN329" s="24"/>
      <c r="DO329" s="24"/>
      <c r="DP329" s="24"/>
      <c r="DQ329" s="24"/>
      <c r="DR329" s="24"/>
      <c r="DS329" s="24"/>
      <c r="DT329" s="24"/>
      <c r="DU329" s="24"/>
      <c r="DV329" s="24"/>
      <c r="DW329" s="24"/>
      <c r="DX329" s="24"/>
      <c r="DY329" s="24"/>
      <c r="DZ329" s="24"/>
      <c r="EA329" s="24"/>
      <c r="EB329" s="24"/>
      <c r="EC329" s="24"/>
      <c r="ED329" s="24"/>
      <c r="EE329" s="24"/>
      <c r="EF329" s="24"/>
      <c r="EG329" s="24"/>
      <c r="EH329" s="24"/>
      <c r="EI329" s="24"/>
      <c r="EJ329" s="24"/>
      <c r="EK329" s="24"/>
      <c r="EL329" s="24"/>
      <c r="EM329" s="24"/>
      <c r="EN329" s="24"/>
      <c r="EO329" s="24"/>
      <c r="EP329" s="24"/>
      <c r="EQ329" s="24"/>
      <c r="ER329" s="24"/>
      <c r="ES329" s="24"/>
      <c r="ET329" s="24"/>
      <c r="EU329" s="24"/>
      <c r="EV329" s="24"/>
      <c r="EW329" s="24"/>
      <c r="EX329" s="24"/>
      <c r="EY329" s="24"/>
      <c r="EZ329" s="24"/>
      <c r="FA329" s="24"/>
      <c r="FB329" s="24"/>
      <c r="FC329" s="24"/>
      <c r="FD329" s="24"/>
      <c r="FE329" s="24"/>
      <c r="FF329" s="24"/>
      <c r="FG329" s="24"/>
      <c r="FH329" s="24"/>
      <c r="FI329" s="24"/>
      <c r="FJ329" s="24"/>
      <c r="FK329" s="24"/>
      <c r="FL329" s="24"/>
      <c r="FM329" s="24"/>
      <c r="FN329" s="24"/>
      <c r="FO329" s="24"/>
      <c r="FP329" s="24"/>
      <c r="FQ329" s="24"/>
      <c r="FR329" s="24"/>
      <c r="FS329" s="24"/>
      <c r="FT329" s="24"/>
      <c r="FU329" s="24"/>
      <c r="FV329" s="24"/>
      <c r="FW329" s="24"/>
      <c r="FX329" s="24"/>
      <c r="FY329" s="24"/>
      <c r="FZ329" s="24"/>
      <c r="GA329" s="24"/>
      <c r="GB329" s="24"/>
      <c r="GC329" s="24"/>
      <c r="GD329" s="24"/>
      <c r="GE329" s="24"/>
      <c r="GF329" s="24"/>
      <c r="GG329" s="24"/>
      <c r="GH329" s="24"/>
      <c r="GI329" s="24"/>
      <c r="GJ329" s="24"/>
      <c r="GK329" s="24"/>
      <c r="GL329" s="24"/>
      <c r="GM329" s="24"/>
      <c r="GN329" s="24"/>
      <c r="GO329" s="24"/>
      <c r="GP329" s="24"/>
      <c r="GQ329" s="24"/>
      <c r="GR329" s="24"/>
    </row>
    <row r="330" spans="1:200" s="23" customFormat="1" ht="14.25" customHeight="1">
      <c r="A330" s="20"/>
      <c r="B330" s="21"/>
      <c r="C330" s="22"/>
      <c r="D330" s="22"/>
      <c r="E330" s="22"/>
      <c r="G330" s="22"/>
      <c r="H330" s="22"/>
      <c r="I330" s="22"/>
      <c r="K330" s="22"/>
      <c r="L330" s="22"/>
      <c r="M330" s="22"/>
      <c r="O330" s="22"/>
      <c r="P330" s="22"/>
      <c r="Q330" s="22"/>
      <c r="S330" s="22"/>
      <c r="T330" s="22"/>
      <c r="U330" s="22"/>
      <c r="W330" s="22"/>
      <c r="X330" s="22"/>
      <c r="Y330" s="22"/>
      <c r="AA330" s="22"/>
      <c r="AB330" s="22"/>
      <c r="AC330" s="22"/>
      <c r="AE330" s="24"/>
      <c r="AF330" s="24"/>
      <c r="AG330" s="24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6"/>
      <c r="AW330" s="24"/>
      <c r="AX330" s="20"/>
      <c r="AY330" s="21"/>
      <c r="AZ330" s="22"/>
      <c r="BA330" s="22"/>
      <c r="BB330" s="22"/>
      <c r="BD330" s="22"/>
      <c r="BE330" s="22"/>
      <c r="BF330" s="22"/>
      <c r="BH330" s="22"/>
      <c r="BI330" s="22"/>
      <c r="BJ330" s="22"/>
      <c r="BL330" s="22"/>
      <c r="BM330" s="22"/>
      <c r="BN330" s="22"/>
      <c r="BP330" s="22"/>
      <c r="BQ330" s="22"/>
      <c r="BR330" s="22"/>
      <c r="BT330" s="22"/>
      <c r="BU330" s="22"/>
      <c r="BV330" s="22"/>
      <c r="BX330" s="22"/>
      <c r="BY330" s="22"/>
      <c r="BZ330" s="22"/>
      <c r="CB330" s="24"/>
      <c r="CC330" s="24"/>
      <c r="CD330" s="24"/>
      <c r="CE330" s="25"/>
      <c r="CF330" s="25"/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6"/>
      <c r="CT330" s="24"/>
      <c r="CU330" s="24"/>
      <c r="CV330" s="24"/>
      <c r="CW330" s="24"/>
      <c r="CX330" s="24"/>
      <c r="CY330" s="24"/>
      <c r="CZ330" s="24"/>
      <c r="DA330" s="24"/>
      <c r="DB330" s="24"/>
      <c r="DC330" s="24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4"/>
      <c r="DP330" s="24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4"/>
      <c r="EC330" s="24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4"/>
      <c r="EP330" s="24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4"/>
      <c r="FC330" s="24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4"/>
      <c r="FP330" s="24"/>
      <c r="FQ330" s="24"/>
      <c r="FR330" s="24"/>
      <c r="FS330" s="24"/>
      <c r="FT330" s="24"/>
      <c r="FU330" s="24"/>
      <c r="FV330" s="24"/>
      <c r="FW330" s="24"/>
      <c r="FX330" s="24"/>
      <c r="FY330" s="24"/>
      <c r="FZ330" s="24"/>
      <c r="GA330" s="24"/>
      <c r="GB330" s="24"/>
      <c r="GC330" s="24"/>
      <c r="GD330" s="24"/>
      <c r="GE330" s="24"/>
      <c r="GF330" s="24"/>
      <c r="GG330" s="24"/>
      <c r="GH330" s="24"/>
      <c r="GI330" s="24"/>
      <c r="GJ330" s="24"/>
      <c r="GK330" s="24"/>
      <c r="GL330" s="24"/>
      <c r="GM330" s="24"/>
      <c r="GN330" s="24"/>
      <c r="GO330" s="24"/>
      <c r="GP330" s="24"/>
      <c r="GQ330" s="24"/>
      <c r="GR330" s="24"/>
    </row>
    <row r="331" spans="1:200" s="23" customFormat="1" ht="14.25" customHeight="1">
      <c r="A331" s="20"/>
      <c r="B331" s="21"/>
      <c r="C331" s="22"/>
      <c r="D331" s="22"/>
      <c r="E331" s="22"/>
      <c r="G331" s="22"/>
      <c r="H331" s="22"/>
      <c r="I331" s="22"/>
      <c r="K331" s="22"/>
      <c r="L331" s="22"/>
      <c r="M331" s="22"/>
      <c r="O331" s="22"/>
      <c r="P331" s="22"/>
      <c r="Q331" s="22"/>
      <c r="S331" s="22"/>
      <c r="T331" s="22"/>
      <c r="U331" s="22"/>
      <c r="W331" s="22"/>
      <c r="X331" s="22"/>
      <c r="Y331" s="22"/>
      <c r="AA331" s="22"/>
      <c r="AB331" s="22"/>
      <c r="AC331" s="22"/>
      <c r="AE331" s="24"/>
      <c r="AF331" s="24"/>
      <c r="AG331" s="24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6"/>
      <c r="AW331" s="24"/>
      <c r="AX331" s="20"/>
      <c r="AY331" s="21"/>
      <c r="AZ331" s="22"/>
      <c r="BA331" s="22"/>
      <c r="BB331" s="22"/>
      <c r="BD331" s="22"/>
      <c r="BE331" s="22"/>
      <c r="BF331" s="22"/>
      <c r="BH331" s="22"/>
      <c r="BI331" s="22"/>
      <c r="BJ331" s="22"/>
      <c r="BL331" s="22"/>
      <c r="BM331" s="22"/>
      <c r="BN331" s="22"/>
      <c r="BP331" s="22"/>
      <c r="BQ331" s="22"/>
      <c r="BR331" s="22"/>
      <c r="BT331" s="22"/>
      <c r="BU331" s="22"/>
      <c r="BV331" s="22"/>
      <c r="BX331" s="22"/>
      <c r="BY331" s="22"/>
      <c r="BZ331" s="22"/>
      <c r="CB331" s="24"/>
      <c r="CC331" s="24"/>
      <c r="CD331" s="24"/>
      <c r="CE331" s="25"/>
      <c r="CF331" s="25"/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6"/>
      <c r="CT331" s="24"/>
      <c r="CU331" s="24"/>
      <c r="CV331" s="24"/>
      <c r="CW331" s="24"/>
      <c r="CX331" s="24"/>
      <c r="CY331" s="24"/>
      <c r="CZ331" s="24"/>
      <c r="DA331" s="24"/>
      <c r="DB331" s="24"/>
      <c r="DC331" s="24"/>
      <c r="DD331" s="24"/>
      <c r="DE331" s="24"/>
      <c r="DF331" s="24"/>
      <c r="DG331" s="24"/>
      <c r="DH331" s="24"/>
      <c r="DI331" s="24"/>
      <c r="DJ331" s="24"/>
      <c r="DK331" s="24"/>
      <c r="DL331" s="24"/>
      <c r="DM331" s="24"/>
      <c r="DN331" s="24"/>
      <c r="DO331" s="24"/>
      <c r="DP331" s="24"/>
      <c r="DQ331" s="24"/>
      <c r="DR331" s="24"/>
      <c r="DS331" s="24"/>
      <c r="DT331" s="24"/>
      <c r="DU331" s="24"/>
      <c r="DV331" s="24"/>
      <c r="DW331" s="24"/>
      <c r="DX331" s="24"/>
      <c r="DY331" s="24"/>
      <c r="DZ331" s="24"/>
      <c r="EA331" s="24"/>
      <c r="EB331" s="24"/>
      <c r="EC331" s="24"/>
      <c r="ED331" s="24"/>
      <c r="EE331" s="24"/>
      <c r="EF331" s="24"/>
      <c r="EG331" s="24"/>
      <c r="EH331" s="24"/>
      <c r="EI331" s="24"/>
      <c r="EJ331" s="24"/>
      <c r="EK331" s="24"/>
      <c r="EL331" s="24"/>
      <c r="EM331" s="24"/>
      <c r="EN331" s="24"/>
      <c r="EO331" s="24"/>
      <c r="EP331" s="24"/>
      <c r="EQ331" s="24"/>
      <c r="ER331" s="24"/>
      <c r="ES331" s="24"/>
      <c r="ET331" s="24"/>
      <c r="EU331" s="24"/>
      <c r="EV331" s="24"/>
      <c r="EW331" s="24"/>
      <c r="EX331" s="24"/>
      <c r="EY331" s="24"/>
      <c r="EZ331" s="24"/>
      <c r="FA331" s="24"/>
      <c r="FB331" s="24"/>
      <c r="FC331" s="24"/>
      <c r="FD331" s="24"/>
      <c r="FE331" s="24"/>
      <c r="FF331" s="24"/>
      <c r="FG331" s="24"/>
      <c r="FH331" s="24"/>
      <c r="FI331" s="24"/>
      <c r="FJ331" s="24"/>
      <c r="FK331" s="24"/>
      <c r="FL331" s="24"/>
      <c r="FM331" s="24"/>
      <c r="FN331" s="24"/>
      <c r="FO331" s="24"/>
      <c r="FP331" s="24"/>
      <c r="FQ331" s="24"/>
      <c r="FR331" s="24"/>
      <c r="FS331" s="24"/>
      <c r="FT331" s="24"/>
      <c r="FU331" s="24"/>
      <c r="FV331" s="24"/>
      <c r="FW331" s="24"/>
      <c r="FX331" s="24"/>
      <c r="FY331" s="24"/>
      <c r="FZ331" s="24"/>
      <c r="GA331" s="24"/>
      <c r="GB331" s="24"/>
      <c r="GC331" s="24"/>
      <c r="GD331" s="24"/>
      <c r="GE331" s="24"/>
      <c r="GF331" s="24"/>
      <c r="GG331" s="24"/>
      <c r="GH331" s="24"/>
      <c r="GI331" s="24"/>
      <c r="GJ331" s="24"/>
      <c r="GK331" s="24"/>
      <c r="GL331" s="24"/>
      <c r="GM331" s="24"/>
      <c r="GN331" s="24"/>
      <c r="GO331" s="24"/>
      <c r="GP331" s="24"/>
      <c r="GQ331" s="24"/>
      <c r="GR331" s="24"/>
    </row>
    <row r="332" spans="1:200" s="23" customFormat="1" ht="14.25" customHeight="1">
      <c r="A332" s="20"/>
      <c r="B332" s="21"/>
      <c r="C332" s="22"/>
      <c r="D332" s="22"/>
      <c r="E332" s="22"/>
      <c r="G332" s="22"/>
      <c r="H332" s="22"/>
      <c r="I332" s="22"/>
      <c r="K332" s="22"/>
      <c r="L332" s="22"/>
      <c r="M332" s="22"/>
      <c r="O332" s="22"/>
      <c r="P332" s="22"/>
      <c r="Q332" s="22"/>
      <c r="S332" s="22"/>
      <c r="T332" s="22"/>
      <c r="U332" s="22"/>
      <c r="W332" s="22"/>
      <c r="X332" s="22"/>
      <c r="Y332" s="22"/>
      <c r="AA332" s="22"/>
      <c r="AB332" s="22"/>
      <c r="AC332" s="22"/>
      <c r="AE332" s="24"/>
      <c r="AF332" s="24"/>
      <c r="AG332" s="24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6"/>
      <c r="AW332" s="24"/>
      <c r="AX332" s="20"/>
      <c r="AY332" s="21"/>
      <c r="AZ332" s="22"/>
      <c r="BA332" s="22"/>
      <c r="BB332" s="22"/>
      <c r="BD332" s="22"/>
      <c r="BE332" s="22"/>
      <c r="BF332" s="22"/>
      <c r="BH332" s="22"/>
      <c r="BI332" s="22"/>
      <c r="BJ332" s="22"/>
      <c r="BL332" s="22"/>
      <c r="BM332" s="22"/>
      <c r="BN332" s="22"/>
      <c r="BP332" s="22"/>
      <c r="BQ332" s="22"/>
      <c r="BR332" s="22"/>
      <c r="BT332" s="22"/>
      <c r="BU332" s="22"/>
      <c r="BV332" s="22"/>
      <c r="BX332" s="22"/>
      <c r="BY332" s="22"/>
      <c r="BZ332" s="22"/>
      <c r="CB332" s="24"/>
      <c r="CC332" s="24"/>
      <c r="CD332" s="24"/>
      <c r="CE332" s="25"/>
      <c r="CF332" s="25"/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6"/>
      <c r="CT332" s="24"/>
      <c r="CU332" s="24"/>
      <c r="CV332" s="24"/>
      <c r="CW332" s="24"/>
      <c r="CX332" s="24"/>
      <c r="CY332" s="24"/>
      <c r="CZ332" s="24"/>
      <c r="DA332" s="24"/>
      <c r="DB332" s="24"/>
      <c r="DC332" s="24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4"/>
      <c r="DP332" s="24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4"/>
      <c r="EC332" s="24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4"/>
      <c r="EP332" s="24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4"/>
      <c r="FC332" s="24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4"/>
      <c r="FP332" s="24"/>
      <c r="FQ332" s="24"/>
      <c r="FR332" s="24"/>
      <c r="FS332" s="24"/>
      <c r="FT332" s="24"/>
      <c r="FU332" s="24"/>
      <c r="FV332" s="24"/>
      <c r="FW332" s="24"/>
      <c r="FX332" s="24"/>
      <c r="FY332" s="24"/>
      <c r="FZ332" s="24"/>
      <c r="GA332" s="24"/>
      <c r="GB332" s="24"/>
      <c r="GC332" s="24"/>
      <c r="GD332" s="24"/>
      <c r="GE332" s="24"/>
      <c r="GF332" s="24"/>
      <c r="GG332" s="24"/>
      <c r="GH332" s="24"/>
      <c r="GI332" s="24"/>
      <c r="GJ332" s="24"/>
      <c r="GK332" s="24"/>
      <c r="GL332" s="24"/>
      <c r="GM332" s="24"/>
      <c r="GN332" s="24"/>
      <c r="GO332" s="24"/>
      <c r="GP332" s="24"/>
      <c r="GQ332" s="24"/>
      <c r="GR332" s="24"/>
    </row>
    <row r="333" spans="1:200" s="23" customFormat="1" ht="14.25" customHeight="1">
      <c r="A333" s="20"/>
      <c r="B333" s="21"/>
      <c r="C333" s="22"/>
      <c r="D333" s="22"/>
      <c r="E333" s="22"/>
      <c r="G333" s="22"/>
      <c r="H333" s="22"/>
      <c r="I333" s="22"/>
      <c r="K333" s="22"/>
      <c r="L333" s="22"/>
      <c r="M333" s="22"/>
      <c r="O333" s="22"/>
      <c r="P333" s="22"/>
      <c r="Q333" s="22"/>
      <c r="S333" s="22"/>
      <c r="T333" s="22"/>
      <c r="U333" s="22"/>
      <c r="W333" s="22"/>
      <c r="X333" s="22"/>
      <c r="Y333" s="22"/>
      <c r="AA333" s="22"/>
      <c r="AB333" s="22"/>
      <c r="AC333" s="22"/>
      <c r="AE333" s="24"/>
      <c r="AF333" s="24"/>
      <c r="AG333" s="24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6"/>
      <c r="AW333" s="24"/>
      <c r="AX333" s="20"/>
      <c r="AY333" s="21"/>
      <c r="AZ333" s="22"/>
      <c r="BA333" s="22"/>
      <c r="BB333" s="22"/>
      <c r="BD333" s="22"/>
      <c r="BE333" s="22"/>
      <c r="BF333" s="22"/>
      <c r="BH333" s="22"/>
      <c r="BI333" s="22"/>
      <c r="BJ333" s="22"/>
      <c r="BL333" s="22"/>
      <c r="BM333" s="22"/>
      <c r="BN333" s="22"/>
      <c r="BP333" s="22"/>
      <c r="BQ333" s="22"/>
      <c r="BR333" s="22"/>
      <c r="BT333" s="22"/>
      <c r="BU333" s="22"/>
      <c r="BV333" s="22"/>
      <c r="BX333" s="22"/>
      <c r="BY333" s="22"/>
      <c r="BZ333" s="22"/>
      <c r="CB333" s="24"/>
      <c r="CC333" s="24"/>
      <c r="CD333" s="24"/>
      <c r="CE333" s="25"/>
      <c r="CF333" s="25"/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6"/>
      <c r="CT333" s="24"/>
      <c r="CU333" s="24"/>
      <c r="CV333" s="24"/>
      <c r="CW333" s="24"/>
      <c r="CX333" s="24"/>
      <c r="CY333" s="24"/>
      <c r="CZ333" s="24"/>
      <c r="DA333" s="24"/>
      <c r="DB333" s="24"/>
      <c r="DC333" s="24"/>
      <c r="DD333" s="24"/>
      <c r="DE333" s="24"/>
      <c r="DF333" s="24"/>
      <c r="DG333" s="24"/>
      <c r="DH333" s="24"/>
      <c r="DI333" s="24"/>
      <c r="DJ333" s="24"/>
      <c r="DK333" s="24"/>
      <c r="DL333" s="24"/>
      <c r="DM333" s="24"/>
      <c r="DN333" s="24"/>
      <c r="DO333" s="24"/>
      <c r="DP333" s="24"/>
      <c r="DQ333" s="24"/>
      <c r="DR333" s="24"/>
      <c r="DS333" s="24"/>
      <c r="DT333" s="24"/>
      <c r="DU333" s="24"/>
      <c r="DV333" s="24"/>
      <c r="DW333" s="24"/>
      <c r="DX333" s="24"/>
      <c r="DY333" s="24"/>
      <c r="DZ333" s="24"/>
      <c r="EA333" s="24"/>
      <c r="EB333" s="24"/>
      <c r="EC333" s="24"/>
      <c r="ED333" s="24"/>
      <c r="EE333" s="24"/>
      <c r="EF333" s="24"/>
      <c r="EG333" s="24"/>
      <c r="EH333" s="24"/>
      <c r="EI333" s="24"/>
      <c r="EJ333" s="24"/>
      <c r="EK333" s="24"/>
      <c r="EL333" s="24"/>
      <c r="EM333" s="24"/>
      <c r="EN333" s="24"/>
      <c r="EO333" s="24"/>
      <c r="EP333" s="24"/>
      <c r="EQ333" s="24"/>
      <c r="ER333" s="24"/>
      <c r="ES333" s="24"/>
      <c r="ET333" s="24"/>
      <c r="EU333" s="24"/>
      <c r="EV333" s="24"/>
      <c r="EW333" s="24"/>
      <c r="EX333" s="24"/>
      <c r="EY333" s="24"/>
      <c r="EZ333" s="24"/>
      <c r="FA333" s="24"/>
      <c r="FB333" s="24"/>
      <c r="FC333" s="24"/>
      <c r="FD333" s="24"/>
      <c r="FE333" s="24"/>
      <c r="FF333" s="24"/>
      <c r="FG333" s="24"/>
      <c r="FH333" s="24"/>
      <c r="FI333" s="24"/>
      <c r="FJ333" s="24"/>
      <c r="FK333" s="24"/>
      <c r="FL333" s="24"/>
      <c r="FM333" s="24"/>
      <c r="FN333" s="24"/>
      <c r="FO333" s="24"/>
      <c r="FP333" s="24"/>
      <c r="FQ333" s="24"/>
      <c r="FR333" s="24"/>
      <c r="FS333" s="24"/>
      <c r="FT333" s="24"/>
      <c r="FU333" s="24"/>
      <c r="FV333" s="24"/>
      <c r="FW333" s="24"/>
      <c r="FX333" s="24"/>
      <c r="FY333" s="24"/>
      <c r="FZ333" s="24"/>
      <c r="GA333" s="24"/>
      <c r="GB333" s="24"/>
      <c r="GC333" s="24"/>
      <c r="GD333" s="24"/>
      <c r="GE333" s="24"/>
      <c r="GF333" s="24"/>
      <c r="GG333" s="24"/>
      <c r="GH333" s="24"/>
      <c r="GI333" s="24"/>
      <c r="GJ333" s="24"/>
      <c r="GK333" s="24"/>
      <c r="GL333" s="24"/>
      <c r="GM333" s="24"/>
      <c r="GN333" s="24"/>
      <c r="GO333" s="24"/>
      <c r="GP333" s="24"/>
      <c r="GQ333" s="24"/>
      <c r="GR333" s="24"/>
    </row>
    <row r="334" spans="1:200" s="23" customFormat="1" ht="14.25" customHeight="1">
      <c r="A334" s="20"/>
      <c r="B334" s="21"/>
      <c r="C334" s="22"/>
      <c r="D334" s="22"/>
      <c r="E334" s="22"/>
      <c r="G334" s="22"/>
      <c r="H334" s="22"/>
      <c r="I334" s="22"/>
      <c r="K334" s="22"/>
      <c r="L334" s="22"/>
      <c r="M334" s="22"/>
      <c r="O334" s="22"/>
      <c r="P334" s="22"/>
      <c r="Q334" s="22"/>
      <c r="S334" s="22"/>
      <c r="T334" s="22"/>
      <c r="U334" s="22"/>
      <c r="W334" s="22"/>
      <c r="X334" s="22"/>
      <c r="Y334" s="22"/>
      <c r="AA334" s="22"/>
      <c r="AB334" s="22"/>
      <c r="AC334" s="22"/>
      <c r="AE334" s="24"/>
      <c r="AF334" s="24"/>
      <c r="AG334" s="24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6"/>
      <c r="AW334" s="24"/>
      <c r="AX334" s="20"/>
      <c r="AY334" s="21"/>
      <c r="AZ334" s="22"/>
      <c r="BA334" s="22"/>
      <c r="BB334" s="22"/>
      <c r="BD334" s="22"/>
      <c r="BE334" s="22"/>
      <c r="BF334" s="22"/>
      <c r="BH334" s="22"/>
      <c r="BI334" s="22"/>
      <c r="BJ334" s="22"/>
      <c r="BL334" s="22"/>
      <c r="BM334" s="22"/>
      <c r="BN334" s="22"/>
      <c r="BP334" s="22"/>
      <c r="BQ334" s="22"/>
      <c r="BR334" s="22"/>
      <c r="BT334" s="22"/>
      <c r="BU334" s="22"/>
      <c r="BV334" s="22"/>
      <c r="BX334" s="22"/>
      <c r="BY334" s="22"/>
      <c r="BZ334" s="22"/>
      <c r="CB334" s="24"/>
      <c r="CC334" s="24"/>
      <c r="CD334" s="24"/>
      <c r="CE334" s="25"/>
      <c r="CF334" s="25"/>
      <c r="CG334" s="25"/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6"/>
      <c r="CT334" s="24"/>
      <c r="CU334" s="24"/>
      <c r="CV334" s="24"/>
      <c r="CW334" s="24"/>
      <c r="CX334" s="24"/>
      <c r="CY334" s="24"/>
      <c r="CZ334" s="24"/>
      <c r="DA334" s="24"/>
      <c r="DB334" s="24"/>
      <c r="DC334" s="24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4"/>
      <c r="DP334" s="24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4"/>
      <c r="EC334" s="24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4"/>
      <c r="EP334" s="24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4"/>
      <c r="FC334" s="24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4"/>
      <c r="FP334" s="24"/>
      <c r="FQ334" s="24"/>
      <c r="FR334" s="24"/>
      <c r="FS334" s="24"/>
      <c r="FT334" s="24"/>
      <c r="FU334" s="24"/>
      <c r="FV334" s="24"/>
      <c r="FW334" s="24"/>
      <c r="FX334" s="24"/>
      <c r="FY334" s="24"/>
      <c r="FZ334" s="24"/>
      <c r="GA334" s="24"/>
      <c r="GB334" s="24"/>
      <c r="GC334" s="24"/>
      <c r="GD334" s="24"/>
      <c r="GE334" s="24"/>
      <c r="GF334" s="24"/>
      <c r="GG334" s="24"/>
      <c r="GH334" s="24"/>
      <c r="GI334" s="24"/>
      <c r="GJ334" s="24"/>
      <c r="GK334" s="24"/>
      <c r="GL334" s="24"/>
      <c r="GM334" s="24"/>
      <c r="GN334" s="24"/>
      <c r="GO334" s="24"/>
      <c r="GP334" s="24"/>
      <c r="GQ334" s="24"/>
      <c r="GR334" s="24"/>
    </row>
    <row r="335" spans="1:200" s="23" customFormat="1" ht="14.25" customHeight="1">
      <c r="A335" s="20"/>
      <c r="B335" s="21"/>
      <c r="C335" s="22"/>
      <c r="D335" s="22"/>
      <c r="E335" s="22"/>
      <c r="G335" s="22"/>
      <c r="H335" s="22"/>
      <c r="I335" s="22"/>
      <c r="K335" s="22"/>
      <c r="L335" s="22"/>
      <c r="M335" s="22"/>
      <c r="O335" s="22"/>
      <c r="P335" s="22"/>
      <c r="Q335" s="22"/>
      <c r="S335" s="22"/>
      <c r="T335" s="22"/>
      <c r="U335" s="22"/>
      <c r="W335" s="22"/>
      <c r="X335" s="22"/>
      <c r="Y335" s="22"/>
      <c r="AA335" s="22"/>
      <c r="AB335" s="22"/>
      <c r="AC335" s="22"/>
      <c r="AE335" s="24"/>
      <c r="AF335" s="24"/>
      <c r="AG335" s="24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6"/>
      <c r="AW335" s="24"/>
      <c r="AX335" s="20"/>
      <c r="AY335" s="21"/>
      <c r="AZ335" s="22"/>
      <c r="BA335" s="22"/>
      <c r="BB335" s="22"/>
      <c r="BD335" s="22"/>
      <c r="BE335" s="22"/>
      <c r="BF335" s="22"/>
      <c r="BH335" s="22"/>
      <c r="BI335" s="22"/>
      <c r="BJ335" s="22"/>
      <c r="BL335" s="22"/>
      <c r="BM335" s="22"/>
      <c r="BN335" s="22"/>
      <c r="BP335" s="22"/>
      <c r="BQ335" s="22"/>
      <c r="BR335" s="22"/>
      <c r="BT335" s="22"/>
      <c r="BU335" s="22"/>
      <c r="BV335" s="22"/>
      <c r="BX335" s="22"/>
      <c r="BY335" s="22"/>
      <c r="BZ335" s="22"/>
      <c r="CB335" s="24"/>
      <c r="CC335" s="24"/>
      <c r="CD335" s="24"/>
      <c r="CE335" s="25"/>
      <c r="CF335" s="25"/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6"/>
      <c r="CT335" s="24"/>
      <c r="CU335" s="24"/>
      <c r="CV335" s="24"/>
      <c r="CW335" s="24"/>
      <c r="CX335" s="24"/>
      <c r="CY335" s="24"/>
      <c r="CZ335" s="24"/>
      <c r="DA335" s="24"/>
      <c r="DB335" s="24"/>
      <c r="DC335" s="24"/>
      <c r="DD335" s="24"/>
      <c r="DE335" s="24"/>
      <c r="DF335" s="24"/>
      <c r="DG335" s="24"/>
      <c r="DH335" s="24"/>
      <c r="DI335" s="24"/>
      <c r="DJ335" s="24"/>
      <c r="DK335" s="24"/>
      <c r="DL335" s="24"/>
      <c r="DM335" s="24"/>
      <c r="DN335" s="24"/>
      <c r="DO335" s="24"/>
      <c r="DP335" s="24"/>
      <c r="DQ335" s="24"/>
      <c r="DR335" s="24"/>
      <c r="DS335" s="24"/>
      <c r="DT335" s="24"/>
      <c r="DU335" s="24"/>
      <c r="DV335" s="24"/>
      <c r="DW335" s="24"/>
      <c r="DX335" s="24"/>
      <c r="DY335" s="24"/>
      <c r="DZ335" s="24"/>
      <c r="EA335" s="24"/>
      <c r="EB335" s="24"/>
      <c r="EC335" s="24"/>
      <c r="ED335" s="24"/>
      <c r="EE335" s="24"/>
      <c r="EF335" s="24"/>
      <c r="EG335" s="24"/>
      <c r="EH335" s="24"/>
      <c r="EI335" s="24"/>
      <c r="EJ335" s="24"/>
      <c r="EK335" s="24"/>
      <c r="EL335" s="24"/>
      <c r="EM335" s="24"/>
      <c r="EN335" s="24"/>
      <c r="EO335" s="24"/>
      <c r="EP335" s="24"/>
      <c r="EQ335" s="24"/>
      <c r="ER335" s="24"/>
      <c r="ES335" s="24"/>
      <c r="ET335" s="24"/>
      <c r="EU335" s="24"/>
      <c r="EV335" s="24"/>
      <c r="EW335" s="24"/>
      <c r="EX335" s="24"/>
      <c r="EY335" s="24"/>
      <c r="EZ335" s="24"/>
      <c r="FA335" s="24"/>
      <c r="FB335" s="24"/>
      <c r="FC335" s="24"/>
      <c r="FD335" s="24"/>
      <c r="FE335" s="24"/>
      <c r="FF335" s="24"/>
      <c r="FG335" s="24"/>
      <c r="FH335" s="24"/>
      <c r="FI335" s="24"/>
      <c r="FJ335" s="24"/>
      <c r="FK335" s="24"/>
      <c r="FL335" s="24"/>
      <c r="FM335" s="24"/>
      <c r="FN335" s="24"/>
      <c r="FO335" s="24"/>
      <c r="FP335" s="24"/>
      <c r="FQ335" s="24"/>
      <c r="FR335" s="24"/>
      <c r="FS335" s="24"/>
      <c r="FT335" s="24"/>
      <c r="FU335" s="24"/>
      <c r="FV335" s="24"/>
      <c r="FW335" s="24"/>
      <c r="FX335" s="24"/>
      <c r="FY335" s="24"/>
      <c r="FZ335" s="24"/>
      <c r="GA335" s="24"/>
      <c r="GB335" s="24"/>
      <c r="GC335" s="24"/>
      <c r="GD335" s="24"/>
      <c r="GE335" s="24"/>
      <c r="GF335" s="24"/>
      <c r="GG335" s="24"/>
      <c r="GH335" s="24"/>
      <c r="GI335" s="24"/>
      <c r="GJ335" s="24"/>
      <c r="GK335" s="24"/>
      <c r="GL335" s="24"/>
      <c r="GM335" s="24"/>
      <c r="GN335" s="24"/>
      <c r="GO335" s="24"/>
      <c r="GP335" s="24"/>
      <c r="GQ335" s="24"/>
      <c r="GR335" s="24"/>
    </row>
    <row r="336" spans="1:200" s="23" customFormat="1" ht="14.25" customHeight="1">
      <c r="A336" s="20"/>
      <c r="B336" s="21"/>
      <c r="C336" s="22"/>
      <c r="D336" s="22"/>
      <c r="E336" s="22"/>
      <c r="G336" s="22"/>
      <c r="H336" s="22"/>
      <c r="I336" s="22"/>
      <c r="K336" s="22"/>
      <c r="L336" s="22"/>
      <c r="M336" s="22"/>
      <c r="O336" s="22"/>
      <c r="P336" s="22"/>
      <c r="Q336" s="22"/>
      <c r="S336" s="22"/>
      <c r="T336" s="22"/>
      <c r="U336" s="22"/>
      <c r="W336" s="22"/>
      <c r="X336" s="22"/>
      <c r="Y336" s="22"/>
      <c r="AA336" s="22"/>
      <c r="AB336" s="22"/>
      <c r="AC336" s="22"/>
      <c r="AE336" s="24"/>
      <c r="AF336" s="24"/>
      <c r="AG336" s="24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6"/>
      <c r="AW336" s="24"/>
      <c r="AX336" s="20"/>
      <c r="AY336" s="21"/>
      <c r="AZ336" s="22"/>
      <c r="BA336" s="22"/>
      <c r="BB336" s="22"/>
      <c r="BD336" s="22"/>
      <c r="BE336" s="22"/>
      <c r="BF336" s="22"/>
      <c r="BH336" s="22"/>
      <c r="BI336" s="22"/>
      <c r="BJ336" s="22"/>
      <c r="BL336" s="22"/>
      <c r="BM336" s="22"/>
      <c r="BN336" s="22"/>
      <c r="BP336" s="22"/>
      <c r="BQ336" s="22"/>
      <c r="BR336" s="22"/>
      <c r="BT336" s="22"/>
      <c r="BU336" s="22"/>
      <c r="BV336" s="22"/>
      <c r="BX336" s="22"/>
      <c r="BY336" s="22"/>
      <c r="BZ336" s="22"/>
      <c r="CB336" s="24"/>
      <c r="CC336" s="24"/>
      <c r="CD336" s="24"/>
      <c r="CE336" s="25"/>
      <c r="CF336" s="25"/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6"/>
      <c r="CT336" s="24"/>
      <c r="CU336" s="24"/>
      <c r="CV336" s="24"/>
      <c r="CW336" s="24"/>
      <c r="CX336" s="24"/>
      <c r="CY336" s="24"/>
      <c r="CZ336" s="24"/>
      <c r="DA336" s="24"/>
      <c r="DB336" s="24"/>
      <c r="DC336" s="24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4"/>
      <c r="DP336" s="24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4"/>
      <c r="EC336" s="24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4"/>
      <c r="EP336" s="24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4"/>
      <c r="FC336" s="24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4"/>
      <c r="FP336" s="24"/>
      <c r="FQ336" s="24"/>
      <c r="FR336" s="24"/>
      <c r="FS336" s="24"/>
      <c r="FT336" s="24"/>
      <c r="FU336" s="24"/>
      <c r="FV336" s="24"/>
      <c r="FW336" s="24"/>
      <c r="FX336" s="24"/>
      <c r="FY336" s="24"/>
      <c r="FZ336" s="24"/>
      <c r="GA336" s="24"/>
      <c r="GB336" s="24"/>
      <c r="GC336" s="24"/>
      <c r="GD336" s="24"/>
      <c r="GE336" s="24"/>
      <c r="GF336" s="24"/>
      <c r="GG336" s="24"/>
      <c r="GH336" s="24"/>
      <c r="GI336" s="24"/>
      <c r="GJ336" s="24"/>
      <c r="GK336" s="24"/>
      <c r="GL336" s="24"/>
      <c r="GM336" s="24"/>
      <c r="GN336" s="24"/>
      <c r="GO336" s="24"/>
      <c r="GP336" s="24"/>
      <c r="GQ336" s="24"/>
      <c r="GR336" s="24"/>
    </row>
    <row r="337" spans="1:220" s="23" customFormat="1" ht="14.25" customHeight="1">
      <c r="A337" s="20"/>
      <c r="B337" s="21"/>
      <c r="C337" s="22"/>
      <c r="D337" s="22"/>
      <c r="E337" s="22"/>
      <c r="G337" s="22"/>
      <c r="H337" s="22"/>
      <c r="I337" s="22"/>
      <c r="K337" s="22"/>
      <c r="L337" s="22"/>
      <c r="M337" s="22"/>
      <c r="O337" s="22"/>
      <c r="P337" s="22"/>
      <c r="Q337" s="22"/>
      <c r="S337" s="22"/>
      <c r="T337" s="22"/>
      <c r="U337" s="22"/>
      <c r="W337" s="22"/>
      <c r="X337" s="22"/>
      <c r="Y337" s="22"/>
      <c r="AA337" s="22"/>
      <c r="AB337" s="22"/>
      <c r="AC337" s="22"/>
      <c r="AE337" s="24"/>
      <c r="AF337" s="24"/>
      <c r="AG337" s="24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6"/>
      <c r="AW337" s="24"/>
      <c r="AX337" s="20"/>
      <c r="AY337" s="21"/>
      <c r="AZ337" s="22"/>
      <c r="BA337" s="22"/>
      <c r="BB337" s="22"/>
      <c r="BD337" s="22"/>
      <c r="BE337" s="22"/>
      <c r="BF337" s="22"/>
      <c r="BH337" s="22"/>
      <c r="BI337" s="22"/>
      <c r="BJ337" s="22"/>
      <c r="BL337" s="22"/>
      <c r="BM337" s="22"/>
      <c r="BN337" s="22"/>
      <c r="BP337" s="22"/>
      <c r="BQ337" s="22"/>
      <c r="BR337" s="22"/>
      <c r="BT337" s="22"/>
      <c r="BU337" s="22"/>
      <c r="BV337" s="22"/>
      <c r="BX337" s="22"/>
      <c r="BY337" s="22"/>
      <c r="BZ337" s="22"/>
      <c r="CB337" s="24"/>
      <c r="CC337" s="24"/>
      <c r="CD337" s="24"/>
      <c r="CE337" s="25"/>
      <c r="CF337" s="25"/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6"/>
      <c r="CT337" s="24"/>
      <c r="CU337" s="24"/>
      <c r="CV337" s="24"/>
      <c r="CW337" s="24"/>
      <c r="CX337" s="24"/>
      <c r="CY337" s="24"/>
      <c r="CZ337" s="24"/>
      <c r="DA337" s="24"/>
      <c r="DB337" s="24"/>
      <c r="DC337" s="24"/>
      <c r="DD337" s="24"/>
      <c r="DE337" s="24"/>
      <c r="DF337" s="24"/>
      <c r="DG337" s="24"/>
      <c r="DH337" s="24"/>
      <c r="DI337" s="24"/>
      <c r="DJ337" s="24"/>
      <c r="DK337" s="24"/>
      <c r="DL337" s="24"/>
      <c r="DM337" s="24"/>
      <c r="DN337" s="24"/>
      <c r="DO337" s="24"/>
      <c r="DP337" s="24"/>
      <c r="DQ337" s="24"/>
      <c r="DR337" s="24"/>
      <c r="DS337" s="24"/>
      <c r="DT337" s="24"/>
      <c r="DU337" s="24"/>
      <c r="DV337" s="24"/>
      <c r="DW337" s="24"/>
      <c r="DX337" s="24"/>
      <c r="DY337" s="24"/>
      <c r="DZ337" s="24"/>
      <c r="EA337" s="24"/>
      <c r="EB337" s="24"/>
      <c r="EC337" s="24"/>
      <c r="ED337" s="24"/>
      <c r="EE337" s="24"/>
      <c r="EF337" s="24"/>
      <c r="EG337" s="24"/>
      <c r="EH337" s="24"/>
      <c r="EI337" s="24"/>
      <c r="EJ337" s="24"/>
      <c r="EK337" s="24"/>
      <c r="EL337" s="24"/>
      <c r="EM337" s="24"/>
      <c r="EN337" s="24"/>
      <c r="EO337" s="24"/>
      <c r="EP337" s="24"/>
      <c r="EQ337" s="24"/>
      <c r="ER337" s="24"/>
      <c r="ES337" s="24"/>
      <c r="ET337" s="24"/>
      <c r="EU337" s="24"/>
      <c r="EV337" s="24"/>
      <c r="EW337" s="24"/>
      <c r="EX337" s="24"/>
      <c r="EY337" s="24"/>
      <c r="EZ337" s="24"/>
      <c r="FA337" s="24"/>
      <c r="FB337" s="24"/>
      <c r="FC337" s="24"/>
      <c r="FD337" s="24"/>
      <c r="FE337" s="24"/>
      <c r="FF337" s="24"/>
      <c r="FG337" s="24"/>
      <c r="FH337" s="24"/>
      <c r="FI337" s="24"/>
      <c r="FJ337" s="24"/>
      <c r="FK337" s="24"/>
      <c r="FL337" s="24"/>
      <c r="FM337" s="24"/>
      <c r="FN337" s="24"/>
      <c r="FO337" s="24"/>
      <c r="FP337" s="24"/>
      <c r="FQ337" s="24"/>
      <c r="FR337" s="24"/>
      <c r="FS337" s="24"/>
      <c r="FT337" s="24"/>
      <c r="FU337" s="24"/>
      <c r="FV337" s="24"/>
      <c r="FW337" s="24"/>
      <c r="FX337" s="24"/>
      <c r="FY337" s="24"/>
      <c r="FZ337" s="24"/>
      <c r="GA337" s="24"/>
      <c r="GB337" s="24"/>
      <c r="GC337" s="24"/>
      <c r="GD337" s="24"/>
      <c r="GE337" s="24"/>
      <c r="GF337" s="24"/>
      <c r="GG337" s="24"/>
      <c r="GH337" s="24"/>
      <c r="GI337" s="24"/>
      <c r="GJ337" s="24"/>
      <c r="GK337" s="24"/>
      <c r="GL337" s="24"/>
      <c r="GM337" s="24"/>
      <c r="GN337" s="24"/>
      <c r="GO337" s="24"/>
      <c r="GP337" s="24"/>
      <c r="GQ337" s="24"/>
      <c r="GR337" s="24"/>
    </row>
    <row r="338" spans="1:220" s="23" customFormat="1" ht="14.25" customHeight="1">
      <c r="A338" s="20"/>
      <c r="B338" s="21"/>
      <c r="C338" s="22"/>
      <c r="D338" s="22"/>
      <c r="E338" s="22"/>
      <c r="G338" s="22"/>
      <c r="H338" s="22"/>
      <c r="I338" s="22"/>
      <c r="K338" s="22"/>
      <c r="L338" s="22"/>
      <c r="M338" s="22"/>
      <c r="O338" s="22"/>
      <c r="P338" s="22"/>
      <c r="Q338" s="22"/>
      <c r="S338" s="22"/>
      <c r="T338" s="22"/>
      <c r="U338" s="22"/>
      <c r="W338" s="22"/>
      <c r="X338" s="22"/>
      <c r="Y338" s="22"/>
      <c r="AA338" s="22"/>
      <c r="AB338" s="22"/>
      <c r="AC338" s="22"/>
      <c r="AE338" s="24"/>
      <c r="AF338" s="24"/>
      <c r="AG338" s="24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6"/>
      <c r="AW338" s="24"/>
      <c r="AX338" s="20"/>
      <c r="AY338" s="21"/>
      <c r="AZ338" s="22"/>
      <c r="BA338" s="22"/>
      <c r="BB338" s="22"/>
      <c r="BD338" s="22"/>
      <c r="BE338" s="22"/>
      <c r="BF338" s="22"/>
      <c r="BH338" s="22"/>
      <c r="BI338" s="22"/>
      <c r="BJ338" s="22"/>
      <c r="BL338" s="22"/>
      <c r="BM338" s="22"/>
      <c r="BN338" s="22"/>
      <c r="BP338" s="22"/>
      <c r="BQ338" s="22"/>
      <c r="BR338" s="22"/>
      <c r="BT338" s="22"/>
      <c r="BU338" s="22"/>
      <c r="BV338" s="22"/>
      <c r="BX338" s="22"/>
      <c r="BY338" s="22"/>
      <c r="BZ338" s="22"/>
      <c r="CB338" s="24"/>
      <c r="CC338" s="24"/>
      <c r="CD338" s="24"/>
      <c r="CE338" s="25"/>
      <c r="CF338" s="25"/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6"/>
      <c r="CT338" s="24"/>
      <c r="CU338" s="24"/>
      <c r="CV338" s="24"/>
      <c r="CW338" s="24"/>
      <c r="CX338" s="24"/>
      <c r="CY338" s="24"/>
      <c r="CZ338" s="24"/>
      <c r="DA338" s="24"/>
      <c r="DB338" s="24"/>
      <c r="DC338" s="24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4"/>
      <c r="DP338" s="24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4"/>
      <c r="EC338" s="24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4"/>
      <c r="EP338" s="24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4"/>
      <c r="FC338" s="24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4"/>
      <c r="FP338" s="24"/>
      <c r="FQ338" s="24"/>
      <c r="FR338" s="24"/>
      <c r="FS338" s="24"/>
      <c r="FT338" s="24"/>
      <c r="FU338" s="24"/>
      <c r="FV338" s="24"/>
      <c r="FW338" s="24"/>
      <c r="FX338" s="24"/>
      <c r="FY338" s="24"/>
      <c r="FZ338" s="24"/>
      <c r="GA338" s="24"/>
      <c r="GB338" s="24"/>
      <c r="GC338" s="24"/>
      <c r="GD338" s="24"/>
      <c r="GE338" s="24"/>
      <c r="GF338" s="24"/>
      <c r="GG338" s="24"/>
      <c r="GH338" s="24"/>
      <c r="GI338" s="24"/>
      <c r="GJ338" s="24"/>
      <c r="GK338" s="24"/>
      <c r="GL338" s="24"/>
      <c r="GM338" s="24"/>
      <c r="GN338" s="24"/>
      <c r="GO338" s="24"/>
      <c r="GP338" s="24"/>
      <c r="GQ338" s="24"/>
      <c r="GR338" s="24"/>
    </row>
    <row r="339" spans="1:220" s="23" customFormat="1" ht="14.25" customHeight="1">
      <c r="A339" s="20"/>
      <c r="B339" s="21"/>
      <c r="C339" s="22"/>
      <c r="D339" s="22"/>
      <c r="E339" s="22"/>
      <c r="G339" s="22"/>
      <c r="H339" s="22"/>
      <c r="I339" s="22"/>
      <c r="K339" s="22"/>
      <c r="L339" s="22"/>
      <c r="M339" s="22"/>
      <c r="O339" s="22"/>
      <c r="P339" s="22"/>
      <c r="Q339" s="22"/>
      <c r="S339" s="22"/>
      <c r="T339" s="22"/>
      <c r="U339" s="22"/>
      <c r="W339" s="22"/>
      <c r="X339" s="22"/>
      <c r="Y339" s="22"/>
      <c r="AA339" s="22"/>
      <c r="AB339" s="22"/>
      <c r="AC339" s="22"/>
      <c r="AE339" s="24"/>
      <c r="AF339" s="24"/>
      <c r="AG339" s="24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6"/>
      <c r="AW339" s="24"/>
      <c r="AX339" s="20"/>
      <c r="AY339" s="21"/>
      <c r="AZ339" s="22"/>
      <c r="BA339" s="22"/>
      <c r="BB339" s="22"/>
      <c r="BD339" s="22"/>
      <c r="BE339" s="22"/>
      <c r="BF339" s="22"/>
      <c r="BH339" s="22"/>
      <c r="BI339" s="22"/>
      <c r="BJ339" s="22"/>
      <c r="BL339" s="22"/>
      <c r="BM339" s="22"/>
      <c r="BN339" s="22"/>
      <c r="BP339" s="22"/>
      <c r="BQ339" s="22"/>
      <c r="BR339" s="22"/>
      <c r="BT339" s="22"/>
      <c r="BU339" s="22"/>
      <c r="BV339" s="22"/>
      <c r="BX339" s="22"/>
      <c r="BY339" s="22"/>
      <c r="BZ339" s="22"/>
      <c r="CB339" s="24"/>
      <c r="CC339" s="24"/>
      <c r="CD339" s="24"/>
      <c r="CE339" s="25"/>
      <c r="CF339" s="25"/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6"/>
      <c r="CT339" s="24"/>
      <c r="CU339" s="24"/>
      <c r="CV339" s="24"/>
      <c r="CW339" s="24"/>
      <c r="CX339" s="24"/>
      <c r="CY339" s="24"/>
      <c r="CZ339" s="24"/>
      <c r="DA339" s="24"/>
      <c r="DB339" s="24"/>
      <c r="DC339" s="24"/>
      <c r="DD339" s="24"/>
      <c r="DE339" s="24"/>
      <c r="DF339" s="24"/>
      <c r="DG339" s="24"/>
      <c r="DH339" s="24"/>
      <c r="DI339" s="24"/>
      <c r="DJ339" s="24"/>
      <c r="DK339" s="24"/>
      <c r="DL339" s="24"/>
      <c r="DM339" s="24"/>
      <c r="DN339" s="24"/>
      <c r="DO339" s="24"/>
      <c r="DP339" s="24"/>
      <c r="DQ339" s="24"/>
      <c r="DR339" s="24"/>
      <c r="DS339" s="24"/>
      <c r="DT339" s="24"/>
      <c r="DU339" s="24"/>
      <c r="DV339" s="24"/>
      <c r="DW339" s="24"/>
      <c r="DX339" s="24"/>
      <c r="DY339" s="24"/>
      <c r="DZ339" s="24"/>
      <c r="EA339" s="24"/>
      <c r="EB339" s="24"/>
      <c r="EC339" s="24"/>
      <c r="ED339" s="24"/>
      <c r="EE339" s="24"/>
      <c r="EF339" s="24"/>
      <c r="EG339" s="24"/>
      <c r="EH339" s="24"/>
      <c r="EI339" s="24"/>
      <c r="EJ339" s="24"/>
      <c r="EK339" s="24"/>
      <c r="EL339" s="24"/>
      <c r="EM339" s="24"/>
      <c r="EN339" s="24"/>
      <c r="EO339" s="24"/>
      <c r="EP339" s="24"/>
      <c r="EQ339" s="24"/>
      <c r="ER339" s="24"/>
      <c r="ES339" s="24"/>
      <c r="ET339" s="24"/>
      <c r="EU339" s="24"/>
      <c r="EV339" s="24"/>
      <c r="EW339" s="24"/>
      <c r="EX339" s="24"/>
      <c r="EY339" s="24"/>
      <c r="EZ339" s="24"/>
      <c r="FA339" s="24"/>
      <c r="FB339" s="24"/>
      <c r="FC339" s="24"/>
      <c r="FD339" s="24"/>
      <c r="FE339" s="24"/>
      <c r="FF339" s="24"/>
      <c r="FG339" s="24"/>
      <c r="FH339" s="24"/>
      <c r="FI339" s="24"/>
      <c r="FJ339" s="24"/>
      <c r="FK339" s="24"/>
      <c r="FL339" s="24"/>
      <c r="FM339" s="24"/>
      <c r="FN339" s="24"/>
      <c r="FO339" s="24"/>
      <c r="FP339" s="24"/>
      <c r="FQ339" s="24"/>
      <c r="FR339" s="24"/>
      <c r="FS339" s="24"/>
      <c r="FT339" s="24"/>
      <c r="FU339" s="24"/>
      <c r="FV339" s="24"/>
      <c r="FW339" s="24"/>
      <c r="FX339" s="24"/>
      <c r="FY339" s="24"/>
      <c r="FZ339" s="24"/>
      <c r="GA339" s="24"/>
      <c r="GB339" s="24"/>
      <c r="GC339" s="24"/>
      <c r="GD339" s="24"/>
      <c r="GE339" s="24"/>
      <c r="GF339" s="24"/>
      <c r="GG339" s="24"/>
      <c r="GH339" s="24"/>
      <c r="GI339" s="24"/>
      <c r="GJ339" s="24"/>
      <c r="GK339" s="24"/>
      <c r="GL339" s="24"/>
      <c r="GM339" s="24"/>
      <c r="GN339" s="24"/>
      <c r="GO339" s="24"/>
      <c r="GP339" s="24"/>
      <c r="GQ339" s="24"/>
      <c r="GR339" s="24"/>
    </row>
    <row r="340" spans="1:220" s="23" customFormat="1" ht="14.25" customHeight="1">
      <c r="A340" s="20"/>
      <c r="B340" s="21"/>
      <c r="C340" s="22"/>
      <c r="D340" s="22"/>
      <c r="E340" s="22"/>
      <c r="G340" s="22"/>
      <c r="H340" s="22"/>
      <c r="I340" s="22"/>
      <c r="K340" s="22"/>
      <c r="L340" s="22"/>
      <c r="M340" s="22"/>
      <c r="O340" s="22"/>
      <c r="P340" s="22"/>
      <c r="Q340" s="22"/>
      <c r="S340" s="22"/>
      <c r="T340" s="22"/>
      <c r="U340" s="22"/>
      <c r="W340" s="22"/>
      <c r="X340" s="22"/>
      <c r="Y340" s="22"/>
      <c r="AA340" s="22"/>
      <c r="AB340" s="22"/>
      <c r="AC340" s="22"/>
      <c r="AE340" s="24"/>
      <c r="AF340" s="24"/>
      <c r="AG340" s="24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6"/>
      <c r="AW340" s="24"/>
      <c r="AX340" s="20"/>
      <c r="AY340" s="21"/>
      <c r="AZ340" s="22"/>
      <c r="BA340" s="22"/>
      <c r="BB340" s="22"/>
      <c r="BD340" s="22"/>
      <c r="BE340" s="22"/>
      <c r="BF340" s="22"/>
      <c r="BH340" s="22"/>
      <c r="BI340" s="22"/>
      <c r="BJ340" s="22"/>
      <c r="BL340" s="22"/>
      <c r="BM340" s="22"/>
      <c r="BN340" s="22"/>
      <c r="BP340" s="22"/>
      <c r="BQ340" s="22"/>
      <c r="BR340" s="22"/>
      <c r="BT340" s="22"/>
      <c r="BU340" s="22"/>
      <c r="BV340" s="22"/>
      <c r="BX340" s="22"/>
      <c r="BY340" s="22"/>
      <c r="BZ340" s="22"/>
      <c r="CB340" s="24"/>
      <c r="CC340" s="24"/>
      <c r="CD340" s="24"/>
      <c r="CE340" s="25"/>
      <c r="CF340" s="25"/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6"/>
      <c r="CT340" s="24"/>
      <c r="CU340" s="24"/>
      <c r="CV340" s="24"/>
      <c r="CW340" s="24"/>
      <c r="CX340" s="24"/>
      <c r="CY340" s="24"/>
      <c r="CZ340" s="24"/>
      <c r="DA340" s="24"/>
      <c r="DB340" s="24"/>
      <c r="DC340" s="24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4"/>
      <c r="DP340" s="24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4"/>
      <c r="EC340" s="24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4"/>
      <c r="EP340" s="24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4"/>
      <c r="FC340" s="24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4"/>
      <c r="FP340" s="24"/>
      <c r="FQ340" s="24"/>
      <c r="FR340" s="24"/>
      <c r="FS340" s="24"/>
      <c r="FT340" s="24"/>
      <c r="FU340" s="24"/>
      <c r="FV340" s="24"/>
      <c r="FW340" s="24"/>
      <c r="FX340" s="24"/>
      <c r="FY340" s="24"/>
      <c r="FZ340" s="24"/>
      <c r="GA340" s="24"/>
      <c r="GB340" s="24"/>
      <c r="GC340" s="24"/>
      <c r="GD340" s="24"/>
      <c r="GE340" s="24"/>
      <c r="GF340" s="24"/>
      <c r="GG340" s="24"/>
      <c r="GH340" s="24"/>
      <c r="GI340" s="24"/>
      <c r="GJ340" s="24"/>
      <c r="GK340" s="24"/>
      <c r="GL340" s="24"/>
      <c r="GM340" s="24"/>
      <c r="GN340" s="24"/>
      <c r="GO340" s="24"/>
      <c r="GP340" s="24"/>
      <c r="GQ340" s="24"/>
      <c r="GR340" s="24"/>
    </row>
    <row r="341" spans="1:220" s="23" customFormat="1" ht="14.25" customHeight="1">
      <c r="A341" s="20"/>
      <c r="B341" s="21"/>
      <c r="C341" s="22"/>
      <c r="D341" s="22"/>
      <c r="E341" s="22"/>
      <c r="G341" s="22"/>
      <c r="H341" s="22"/>
      <c r="I341" s="22"/>
      <c r="K341" s="22"/>
      <c r="L341" s="22"/>
      <c r="M341" s="22"/>
      <c r="O341" s="22"/>
      <c r="P341" s="22"/>
      <c r="Q341" s="22"/>
      <c r="S341" s="22"/>
      <c r="T341" s="22"/>
      <c r="U341" s="22"/>
      <c r="W341" s="22"/>
      <c r="X341" s="22"/>
      <c r="Y341" s="22"/>
      <c r="AA341" s="22"/>
      <c r="AB341" s="22"/>
      <c r="AC341" s="22"/>
      <c r="AE341" s="24"/>
      <c r="AF341" s="24"/>
      <c r="AG341" s="24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6"/>
      <c r="AW341" s="24"/>
      <c r="AX341" s="20"/>
      <c r="AY341" s="21"/>
      <c r="AZ341" s="22"/>
      <c r="BA341" s="22"/>
      <c r="BB341" s="22"/>
      <c r="BD341" s="22"/>
      <c r="BE341" s="22"/>
      <c r="BF341" s="22"/>
      <c r="BH341" s="22"/>
      <c r="BI341" s="22"/>
      <c r="BJ341" s="22"/>
      <c r="BL341" s="22"/>
      <c r="BM341" s="22"/>
      <c r="BN341" s="22"/>
      <c r="BP341" s="22"/>
      <c r="BQ341" s="22"/>
      <c r="BR341" s="22"/>
      <c r="BT341" s="22"/>
      <c r="BU341" s="22"/>
      <c r="BV341" s="22"/>
      <c r="BX341" s="22"/>
      <c r="BY341" s="22"/>
      <c r="BZ341" s="22"/>
      <c r="CB341" s="24"/>
      <c r="CC341" s="24"/>
      <c r="CD341" s="24"/>
      <c r="CE341" s="25"/>
      <c r="CF341" s="25"/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6"/>
      <c r="CT341" s="24"/>
      <c r="CU341" s="24"/>
      <c r="CV341" s="24"/>
      <c r="CW341" s="24"/>
      <c r="CX341" s="24"/>
      <c r="CY341" s="24"/>
      <c r="CZ341" s="24"/>
      <c r="DA341" s="24"/>
      <c r="DB341" s="24"/>
      <c r="DC341" s="24"/>
      <c r="DD341" s="24"/>
      <c r="DE341" s="24"/>
      <c r="DF341" s="24"/>
      <c r="DG341" s="24"/>
      <c r="DH341" s="24"/>
      <c r="DI341" s="24"/>
      <c r="DJ341" s="24"/>
      <c r="DK341" s="24"/>
      <c r="DL341" s="24"/>
      <c r="DM341" s="24"/>
      <c r="DN341" s="24"/>
      <c r="DO341" s="24"/>
      <c r="DP341" s="24"/>
      <c r="DQ341" s="24"/>
      <c r="DR341" s="24"/>
      <c r="DS341" s="24"/>
      <c r="DT341" s="24"/>
      <c r="DU341" s="24"/>
      <c r="DV341" s="24"/>
      <c r="DW341" s="24"/>
      <c r="DX341" s="24"/>
      <c r="DY341" s="24"/>
      <c r="DZ341" s="24"/>
      <c r="EA341" s="24"/>
      <c r="EB341" s="24"/>
      <c r="EC341" s="24"/>
      <c r="ED341" s="24"/>
      <c r="EE341" s="24"/>
      <c r="EF341" s="24"/>
      <c r="EG341" s="24"/>
      <c r="EH341" s="24"/>
      <c r="EI341" s="24"/>
      <c r="EJ341" s="24"/>
      <c r="EK341" s="24"/>
      <c r="EL341" s="24"/>
      <c r="EM341" s="24"/>
      <c r="EN341" s="24"/>
      <c r="EO341" s="24"/>
      <c r="EP341" s="24"/>
      <c r="EQ341" s="24"/>
      <c r="ER341" s="24"/>
      <c r="ES341" s="24"/>
      <c r="ET341" s="24"/>
      <c r="EU341" s="24"/>
      <c r="EV341" s="24"/>
      <c r="EW341" s="24"/>
      <c r="EX341" s="24"/>
      <c r="EY341" s="24"/>
      <c r="EZ341" s="24"/>
      <c r="FA341" s="24"/>
      <c r="FB341" s="24"/>
      <c r="FC341" s="24"/>
      <c r="FD341" s="24"/>
      <c r="FE341" s="24"/>
      <c r="FF341" s="24"/>
      <c r="FG341" s="24"/>
      <c r="FH341" s="24"/>
      <c r="FI341" s="24"/>
      <c r="FJ341" s="24"/>
      <c r="FK341" s="24"/>
      <c r="FL341" s="24"/>
      <c r="FM341" s="24"/>
      <c r="FN341" s="24"/>
      <c r="FO341" s="24"/>
      <c r="FP341" s="24"/>
      <c r="FQ341" s="24"/>
      <c r="FR341" s="24"/>
      <c r="FS341" s="24"/>
      <c r="FT341" s="24"/>
      <c r="FU341" s="24"/>
      <c r="FV341" s="24"/>
      <c r="FW341" s="24"/>
      <c r="FX341" s="24"/>
      <c r="FY341" s="24"/>
      <c r="FZ341" s="24"/>
      <c r="GA341" s="24"/>
      <c r="GB341" s="24"/>
      <c r="GC341" s="24"/>
      <c r="GD341" s="24"/>
      <c r="GE341" s="24"/>
      <c r="GF341" s="24"/>
      <c r="GG341" s="24"/>
      <c r="GH341" s="24"/>
      <c r="GI341" s="24"/>
      <c r="GJ341" s="24"/>
      <c r="GK341" s="24"/>
      <c r="GL341" s="24"/>
      <c r="GM341" s="24"/>
      <c r="GN341" s="24"/>
      <c r="GO341" s="24"/>
      <c r="GP341" s="24"/>
      <c r="GQ341" s="24"/>
      <c r="GR341" s="24"/>
    </row>
    <row r="342" spans="1:220" s="23" customFormat="1" ht="14.25" customHeight="1">
      <c r="A342" s="20"/>
      <c r="B342" s="21"/>
      <c r="C342" s="22"/>
      <c r="D342" s="22"/>
      <c r="E342" s="22"/>
      <c r="G342" s="22"/>
      <c r="H342" s="22"/>
      <c r="I342" s="22"/>
      <c r="K342" s="22"/>
      <c r="L342" s="22"/>
      <c r="M342" s="22"/>
      <c r="O342" s="22"/>
      <c r="P342" s="22"/>
      <c r="Q342" s="22"/>
      <c r="S342" s="22"/>
      <c r="T342" s="22"/>
      <c r="U342" s="22"/>
      <c r="W342" s="22"/>
      <c r="X342" s="22"/>
      <c r="Y342" s="22"/>
      <c r="AA342" s="22"/>
      <c r="AB342" s="22"/>
      <c r="AC342" s="22"/>
      <c r="AE342" s="24"/>
      <c r="AF342" s="24"/>
      <c r="AG342" s="24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6"/>
      <c r="AW342" s="24"/>
      <c r="AX342" s="20"/>
      <c r="AY342" s="21"/>
      <c r="AZ342" s="22"/>
      <c r="BA342" s="22"/>
      <c r="BB342" s="22"/>
      <c r="BD342" s="22"/>
      <c r="BE342" s="22"/>
      <c r="BF342" s="22"/>
      <c r="BH342" s="22"/>
      <c r="BI342" s="22"/>
      <c r="BJ342" s="22"/>
      <c r="BL342" s="22"/>
      <c r="BM342" s="22"/>
      <c r="BN342" s="22"/>
      <c r="BP342" s="22"/>
      <c r="BQ342" s="22"/>
      <c r="BR342" s="22"/>
      <c r="BT342" s="22"/>
      <c r="BU342" s="22"/>
      <c r="BV342" s="22"/>
      <c r="BX342" s="22"/>
      <c r="BY342" s="22"/>
      <c r="BZ342" s="22"/>
      <c r="CB342" s="24"/>
      <c r="CC342" s="24"/>
      <c r="CD342" s="24"/>
      <c r="CE342" s="25"/>
      <c r="CF342" s="25"/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6"/>
      <c r="CT342" s="24"/>
      <c r="CU342" s="24"/>
      <c r="CV342" s="24"/>
      <c r="CW342" s="24"/>
      <c r="CX342" s="24"/>
      <c r="CY342" s="24"/>
      <c r="CZ342" s="24"/>
      <c r="DA342" s="24"/>
      <c r="DB342" s="24"/>
      <c r="DC342" s="24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4"/>
      <c r="DP342" s="24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4"/>
      <c r="EC342" s="24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4"/>
      <c r="EP342" s="24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4"/>
      <c r="FC342" s="24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4"/>
      <c r="FP342" s="24"/>
      <c r="FQ342" s="24"/>
      <c r="FR342" s="24"/>
      <c r="FS342" s="24"/>
      <c r="FT342" s="24"/>
      <c r="FU342" s="24"/>
      <c r="FV342" s="24"/>
      <c r="FW342" s="24"/>
      <c r="FX342" s="24"/>
      <c r="FY342" s="24"/>
      <c r="FZ342" s="24"/>
      <c r="GA342" s="24"/>
      <c r="GB342" s="24"/>
      <c r="GC342" s="24"/>
      <c r="GD342" s="24"/>
      <c r="GE342" s="24"/>
      <c r="GF342" s="24"/>
      <c r="GG342" s="24"/>
      <c r="GH342" s="24"/>
      <c r="GI342" s="24"/>
      <c r="GJ342" s="24"/>
      <c r="GK342" s="24"/>
      <c r="GL342" s="24"/>
      <c r="GM342" s="24"/>
      <c r="GN342" s="24"/>
      <c r="GO342" s="24"/>
      <c r="GP342" s="24"/>
      <c r="GQ342" s="24"/>
      <c r="GR342" s="24"/>
    </row>
    <row r="343" spans="1:220" s="23" customFormat="1" ht="14.25" customHeight="1">
      <c r="A343" s="20"/>
      <c r="B343" s="21"/>
      <c r="C343" s="22"/>
      <c r="D343" s="22"/>
      <c r="E343" s="22"/>
      <c r="G343" s="22"/>
      <c r="H343" s="22"/>
      <c r="I343" s="22"/>
      <c r="K343" s="22"/>
      <c r="L343" s="22"/>
      <c r="M343" s="22"/>
      <c r="O343" s="22"/>
      <c r="P343" s="22"/>
      <c r="Q343" s="22"/>
      <c r="S343" s="22"/>
      <c r="T343" s="22"/>
      <c r="U343" s="22"/>
      <c r="W343" s="22"/>
      <c r="X343" s="22"/>
      <c r="Y343" s="22"/>
      <c r="AA343" s="22"/>
      <c r="AB343" s="22"/>
      <c r="AC343" s="22"/>
      <c r="AE343" s="24"/>
      <c r="AF343" s="24"/>
      <c r="AG343" s="24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6"/>
      <c r="AW343" s="24"/>
      <c r="AX343" s="20"/>
      <c r="AY343" s="21"/>
      <c r="AZ343" s="22"/>
      <c r="BA343" s="22"/>
      <c r="BB343" s="22"/>
      <c r="BD343" s="22"/>
      <c r="BE343" s="22"/>
      <c r="BF343" s="22"/>
      <c r="BH343" s="22"/>
      <c r="BI343" s="22"/>
      <c r="BJ343" s="22"/>
      <c r="BL343" s="22"/>
      <c r="BM343" s="22"/>
      <c r="BN343" s="22"/>
      <c r="BP343" s="22"/>
      <c r="BQ343" s="22"/>
      <c r="BR343" s="22"/>
      <c r="BT343" s="22"/>
      <c r="BU343" s="22"/>
      <c r="BV343" s="22"/>
      <c r="BX343" s="22"/>
      <c r="BY343" s="22"/>
      <c r="BZ343" s="22"/>
      <c r="CB343" s="24"/>
      <c r="CC343" s="24"/>
      <c r="CD343" s="24"/>
      <c r="CE343" s="25"/>
      <c r="CF343" s="25"/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6"/>
      <c r="CT343" s="24"/>
      <c r="CU343" s="24"/>
      <c r="CV343" s="24"/>
      <c r="CW343" s="24"/>
      <c r="CX343" s="24"/>
      <c r="CY343" s="24"/>
      <c r="CZ343" s="24"/>
      <c r="DA343" s="24"/>
      <c r="DB343" s="24"/>
      <c r="DC343" s="24"/>
      <c r="DD343" s="24"/>
      <c r="DE343" s="24"/>
      <c r="DF343" s="24"/>
      <c r="DG343" s="24"/>
      <c r="DH343" s="24"/>
      <c r="DI343" s="24"/>
      <c r="DJ343" s="24"/>
      <c r="DK343" s="24"/>
      <c r="DL343" s="24"/>
      <c r="DM343" s="24"/>
      <c r="DN343" s="24"/>
      <c r="DO343" s="24"/>
      <c r="DP343" s="24"/>
      <c r="DQ343" s="24"/>
      <c r="DR343" s="24"/>
      <c r="DS343" s="24"/>
      <c r="DT343" s="24"/>
      <c r="DU343" s="24"/>
      <c r="DV343" s="24"/>
      <c r="DW343" s="24"/>
      <c r="DX343" s="24"/>
      <c r="DY343" s="24"/>
      <c r="DZ343" s="24"/>
      <c r="EA343" s="24"/>
      <c r="EB343" s="24"/>
      <c r="EC343" s="24"/>
      <c r="ED343" s="24"/>
      <c r="EE343" s="24"/>
      <c r="EF343" s="24"/>
      <c r="EG343" s="24"/>
      <c r="EH343" s="24"/>
      <c r="EI343" s="24"/>
      <c r="EJ343" s="24"/>
      <c r="EK343" s="24"/>
      <c r="EL343" s="24"/>
      <c r="EM343" s="24"/>
      <c r="EN343" s="24"/>
      <c r="EO343" s="24"/>
      <c r="EP343" s="24"/>
      <c r="EQ343" s="24"/>
      <c r="ER343" s="24"/>
      <c r="ES343" s="24"/>
      <c r="ET343" s="24"/>
      <c r="EU343" s="24"/>
      <c r="EV343" s="24"/>
      <c r="EW343" s="24"/>
      <c r="EX343" s="24"/>
      <c r="EY343" s="24"/>
      <c r="EZ343" s="24"/>
      <c r="FA343" s="24"/>
      <c r="FB343" s="24"/>
      <c r="FC343" s="24"/>
      <c r="FD343" s="24"/>
      <c r="FE343" s="24"/>
      <c r="FF343" s="24"/>
      <c r="FG343" s="24"/>
      <c r="FH343" s="24"/>
      <c r="FI343" s="24"/>
      <c r="FJ343" s="24"/>
      <c r="FK343" s="24"/>
      <c r="FL343" s="24"/>
      <c r="FM343" s="24"/>
      <c r="FN343" s="24"/>
      <c r="FO343" s="24"/>
      <c r="FP343" s="24"/>
      <c r="FQ343" s="24"/>
      <c r="FR343" s="24"/>
      <c r="FS343" s="24"/>
      <c r="FT343" s="24"/>
      <c r="FU343" s="24"/>
      <c r="FV343" s="24"/>
      <c r="FW343" s="24"/>
      <c r="FX343" s="24"/>
      <c r="FY343" s="24"/>
      <c r="FZ343" s="24"/>
      <c r="GA343" s="24"/>
      <c r="GB343" s="24"/>
      <c r="GC343" s="24"/>
      <c r="GD343" s="24"/>
      <c r="GE343" s="24"/>
      <c r="GF343" s="24"/>
      <c r="GG343" s="24"/>
      <c r="GH343" s="24"/>
      <c r="GI343" s="24"/>
      <c r="GJ343" s="24"/>
      <c r="GK343" s="24"/>
      <c r="GL343" s="24"/>
      <c r="GM343" s="24"/>
      <c r="GN343" s="24"/>
      <c r="GO343" s="24"/>
      <c r="GP343" s="24"/>
      <c r="GQ343" s="24"/>
      <c r="GR343" s="24"/>
    </row>
    <row r="344" spans="1:220" s="23" customFormat="1" ht="14.25" customHeight="1">
      <c r="A344" s="20"/>
      <c r="B344" s="21"/>
      <c r="C344" s="22"/>
      <c r="D344" s="22"/>
      <c r="E344" s="22"/>
      <c r="G344" s="22"/>
      <c r="H344" s="22"/>
      <c r="I344" s="22"/>
      <c r="K344" s="22"/>
      <c r="L344" s="22"/>
      <c r="M344" s="22"/>
      <c r="O344" s="22"/>
      <c r="P344" s="22"/>
      <c r="Q344" s="22"/>
      <c r="S344" s="22"/>
      <c r="T344" s="22"/>
      <c r="U344" s="22"/>
      <c r="W344" s="22"/>
      <c r="X344" s="22"/>
      <c r="Y344" s="22"/>
      <c r="AA344" s="22"/>
      <c r="AB344" s="22"/>
      <c r="AC344" s="22"/>
      <c r="AE344" s="24"/>
      <c r="AF344" s="24"/>
      <c r="AG344" s="24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6"/>
      <c r="AW344" s="24"/>
      <c r="AX344" s="20"/>
      <c r="AY344" s="21"/>
      <c r="AZ344" s="22"/>
      <c r="BA344" s="22"/>
      <c r="BB344" s="22"/>
      <c r="BD344" s="22"/>
      <c r="BE344" s="22"/>
      <c r="BF344" s="22"/>
      <c r="BH344" s="22"/>
      <c r="BI344" s="22"/>
      <c r="BJ344" s="22"/>
      <c r="BL344" s="22"/>
      <c r="BM344" s="22"/>
      <c r="BN344" s="22"/>
      <c r="BP344" s="22"/>
      <c r="BQ344" s="22"/>
      <c r="BR344" s="22"/>
      <c r="BT344" s="22"/>
      <c r="BU344" s="22"/>
      <c r="BV344" s="22"/>
      <c r="BX344" s="22"/>
      <c r="BY344" s="22"/>
      <c r="BZ344" s="22"/>
      <c r="CB344" s="24"/>
      <c r="CC344" s="24"/>
      <c r="CD344" s="24"/>
      <c r="CE344" s="25"/>
      <c r="CF344" s="25"/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6"/>
      <c r="CT344" s="24"/>
      <c r="CU344" s="24"/>
      <c r="CV344" s="24"/>
      <c r="CW344" s="24"/>
      <c r="CX344" s="24"/>
      <c r="CY344" s="24"/>
      <c r="CZ344" s="24"/>
      <c r="DA344" s="24"/>
      <c r="DB344" s="24"/>
      <c r="DC344" s="24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4"/>
      <c r="DP344" s="24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4"/>
      <c r="EC344" s="24"/>
      <c r="ED344" s="24"/>
      <c r="EE344" s="24"/>
      <c r="EF344" s="24"/>
      <c r="EG344" s="24"/>
      <c r="EH344" s="24"/>
      <c r="EI344" s="24"/>
      <c r="EJ344" s="24"/>
      <c r="EK344" s="24"/>
      <c r="EL344" s="24"/>
      <c r="EM344" s="24"/>
      <c r="EN344" s="24"/>
      <c r="EO344" s="24"/>
      <c r="EP344" s="24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4"/>
      <c r="FC344" s="24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4"/>
      <c r="FP344" s="24"/>
      <c r="FQ344" s="24"/>
      <c r="FR344" s="24"/>
      <c r="FS344" s="24"/>
      <c r="FT344" s="24"/>
      <c r="FU344" s="24"/>
      <c r="FV344" s="24"/>
      <c r="FW344" s="24"/>
      <c r="FX344" s="24"/>
      <c r="FY344" s="24"/>
      <c r="FZ344" s="24"/>
      <c r="GA344" s="24"/>
      <c r="GB344" s="24"/>
      <c r="GC344" s="24"/>
      <c r="GD344" s="24"/>
      <c r="GE344" s="24"/>
      <c r="GF344" s="24"/>
      <c r="GG344" s="24"/>
      <c r="GH344" s="24"/>
      <c r="GI344" s="24"/>
      <c r="GJ344" s="24"/>
      <c r="GK344" s="24"/>
      <c r="GL344" s="24"/>
      <c r="GM344" s="24"/>
      <c r="GN344" s="24"/>
      <c r="GO344" s="24"/>
      <c r="GP344" s="24"/>
      <c r="GQ344" s="24"/>
      <c r="GR344" s="24"/>
    </row>
    <row r="345" spans="1:220" s="23" customFormat="1" ht="14.25" customHeight="1">
      <c r="A345" s="20"/>
      <c r="B345" s="21"/>
      <c r="C345" s="22"/>
      <c r="D345" s="22"/>
      <c r="E345" s="22"/>
      <c r="G345" s="22"/>
      <c r="H345" s="22"/>
      <c r="I345" s="22"/>
      <c r="K345" s="22"/>
      <c r="L345" s="22"/>
      <c r="M345" s="22"/>
      <c r="O345" s="22"/>
      <c r="P345" s="22"/>
      <c r="Q345" s="22"/>
      <c r="S345" s="22"/>
      <c r="T345" s="22"/>
      <c r="U345" s="22"/>
      <c r="W345" s="22"/>
      <c r="X345" s="22"/>
      <c r="Y345" s="22"/>
      <c r="AA345" s="22"/>
      <c r="AB345" s="22"/>
      <c r="AC345" s="22"/>
      <c r="AE345" s="24"/>
      <c r="AF345" s="24"/>
      <c r="AG345" s="24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6"/>
      <c r="AW345" s="24"/>
      <c r="AX345" s="20"/>
      <c r="AY345" s="21"/>
      <c r="AZ345" s="22"/>
      <c r="BA345" s="22"/>
      <c r="BB345" s="22"/>
      <c r="BD345" s="22"/>
      <c r="BE345" s="22"/>
      <c r="BF345" s="22"/>
      <c r="BH345" s="22"/>
      <c r="BI345" s="22"/>
      <c r="BJ345" s="22"/>
      <c r="BL345" s="22"/>
      <c r="BM345" s="22"/>
      <c r="BN345" s="22"/>
      <c r="BP345" s="22"/>
      <c r="BQ345" s="22"/>
      <c r="BR345" s="22"/>
      <c r="BT345" s="22"/>
      <c r="BU345" s="22"/>
      <c r="BV345" s="22"/>
      <c r="BX345" s="22"/>
      <c r="BY345" s="22"/>
      <c r="BZ345" s="22"/>
      <c r="CB345" s="24"/>
      <c r="CC345" s="24"/>
      <c r="CD345" s="24"/>
      <c r="CE345" s="25"/>
      <c r="CF345" s="25"/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6"/>
      <c r="CT345" s="24"/>
      <c r="CU345" s="24"/>
      <c r="CV345" s="24"/>
      <c r="CW345" s="24"/>
      <c r="CX345" s="24"/>
      <c r="CY345" s="24"/>
      <c r="CZ345" s="24"/>
      <c r="DA345" s="24"/>
      <c r="DB345" s="24"/>
      <c r="DC345" s="24"/>
      <c r="DD345" s="24"/>
      <c r="DE345" s="24"/>
      <c r="DF345" s="24"/>
      <c r="DG345" s="24"/>
      <c r="DH345" s="24"/>
      <c r="DI345" s="24"/>
      <c r="DJ345" s="24"/>
      <c r="DK345" s="24"/>
      <c r="DL345" s="24"/>
      <c r="DM345" s="24"/>
      <c r="DN345" s="24"/>
      <c r="DO345" s="24"/>
      <c r="DP345" s="24"/>
      <c r="DQ345" s="24"/>
      <c r="DR345" s="24"/>
      <c r="DS345" s="24"/>
      <c r="DT345" s="24"/>
      <c r="DU345" s="24"/>
      <c r="DV345" s="24"/>
      <c r="DW345" s="24"/>
      <c r="DX345" s="24"/>
      <c r="DY345" s="24"/>
      <c r="DZ345" s="24"/>
      <c r="EA345" s="24"/>
      <c r="EB345" s="24"/>
      <c r="EC345" s="24"/>
      <c r="ED345" s="24"/>
      <c r="EE345" s="24"/>
      <c r="EF345" s="24"/>
      <c r="EG345" s="24"/>
      <c r="EH345" s="24"/>
      <c r="EI345" s="24"/>
      <c r="EJ345" s="24"/>
      <c r="EK345" s="24"/>
      <c r="EL345" s="24"/>
      <c r="EM345" s="24"/>
      <c r="EN345" s="24"/>
      <c r="EO345" s="24"/>
      <c r="EP345" s="24"/>
      <c r="EQ345" s="24"/>
      <c r="ER345" s="24"/>
      <c r="ES345" s="24"/>
      <c r="ET345" s="24"/>
      <c r="EU345" s="24"/>
      <c r="EV345" s="24"/>
      <c r="EW345" s="24"/>
      <c r="EX345" s="24"/>
      <c r="EY345" s="24"/>
      <c r="EZ345" s="24"/>
      <c r="FA345" s="24"/>
      <c r="FB345" s="24"/>
      <c r="FC345" s="24"/>
      <c r="FD345" s="24"/>
      <c r="FE345" s="24"/>
      <c r="FF345" s="24"/>
      <c r="FG345" s="24"/>
      <c r="FH345" s="24"/>
      <c r="FI345" s="24"/>
      <c r="FJ345" s="24"/>
      <c r="FK345" s="24"/>
      <c r="FL345" s="24"/>
      <c r="FM345" s="24"/>
      <c r="FN345" s="24"/>
      <c r="FO345" s="24"/>
      <c r="FP345" s="24"/>
      <c r="FQ345" s="24"/>
      <c r="FR345" s="24"/>
      <c r="FS345" s="24"/>
      <c r="FT345" s="24"/>
      <c r="FU345" s="24"/>
      <c r="FV345" s="24"/>
      <c r="FW345" s="24"/>
      <c r="FX345" s="24"/>
      <c r="FY345" s="24"/>
      <c r="FZ345" s="24"/>
      <c r="GA345" s="24"/>
      <c r="GB345" s="24"/>
      <c r="GC345" s="24"/>
      <c r="GD345" s="24"/>
      <c r="GE345" s="24"/>
      <c r="GF345" s="24"/>
      <c r="GG345" s="24"/>
      <c r="GH345" s="24"/>
      <c r="GI345" s="24"/>
      <c r="GJ345" s="24"/>
      <c r="GK345" s="24"/>
      <c r="GL345" s="24"/>
      <c r="GM345" s="24"/>
      <c r="GN345" s="24"/>
      <c r="GO345" s="24"/>
      <c r="GP345" s="24"/>
      <c r="GQ345" s="24"/>
      <c r="GR345" s="24"/>
    </row>
    <row r="346" spans="1:220" s="23" customFormat="1" ht="14.25" customHeight="1">
      <c r="A346" s="20"/>
      <c r="B346" s="21"/>
      <c r="C346" s="22"/>
      <c r="D346" s="22"/>
      <c r="E346" s="22"/>
      <c r="G346" s="22"/>
      <c r="H346" s="22"/>
      <c r="I346" s="22"/>
      <c r="K346" s="22"/>
      <c r="L346" s="22"/>
      <c r="M346" s="22"/>
      <c r="O346" s="22"/>
      <c r="P346" s="22"/>
      <c r="Q346" s="22"/>
      <c r="S346" s="22"/>
      <c r="T346" s="22"/>
      <c r="U346" s="22"/>
      <c r="W346" s="22"/>
      <c r="X346" s="22"/>
      <c r="Y346" s="22"/>
      <c r="AA346" s="22"/>
      <c r="AB346" s="22"/>
      <c r="AC346" s="22"/>
      <c r="AE346" s="24"/>
      <c r="AF346" s="24"/>
      <c r="AG346" s="24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6"/>
      <c r="AW346" s="24"/>
      <c r="AX346" s="20"/>
      <c r="AY346" s="21"/>
      <c r="AZ346" s="22"/>
      <c r="BA346" s="22"/>
      <c r="BB346" s="22"/>
      <c r="BD346" s="22"/>
      <c r="BE346" s="22"/>
      <c r="BF346" s="22"/>
      <c r="BH346" s="22"/>
      <c r="BI346" s="22"/>
      <c r="BJ346" s="22"/>
      <c r="BL346" s="22"/>
      <c r="BM346" s="22"/>
      <c r="BN346" s="22"/>
      <c r="BP346" s="22"/>
      <c r="BQ346" s="22"/>
      <c r="BR346" s="22"/>
      <c r="BT346" s="22"/>
      <c r="BU346" s="22"/>
      <c r="BV346" s="22"/>
      <c r="BX346" s="22"/>
      <c r="BY346" s="22"/>
      <c r="BZ346" s="22"/>
      <c r="CB346" s="24"/>
      <c r="CC346" s="24"/>
      <c r="CD346" s="24"/>
      <c r="CE346" s="25"/>
      <c r="CF346" s="25"/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6"/>
      <c r="CT346" s="24"/>
      <c r="CU346" s="24"/>
      <c r="CV346" s="24"/>
      <c r="CW346" s="24"/>
      <c r="CX346" s="24"/>
      <c r="CY346" s="24"/>
      <c r="CZ346" s="24"/>
      <c r="DA346" s="24"/>
      <c r="DB346" s="24"/>
      <c r="DC346" s="24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4"/>
      <c r="DP346" s="24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4"/>
      <c r="EC346" s="24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4"/>
      <c r="EP346" s="24"/>
      <c r="EQ346" s="24"/>
      <c r="ER346" s="24"/>
      <c r="ES346" s="24"/>
      <c r="ET346" s="24"/>
      <c r="EU346" s="24"/>
      <c r="EV346" s="24"/>
      <c r="EW346" s="24"/>
      <c r="EX346" s="24"/>
      <c r="EY346" s="24"/>
      <c r="EZ346" s="24"/>
      <c r="FA346" s="24"/>
      <c r="FB346" s="24"/>
      <c r="FC346" s="24"/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4"/>
      <c r="FP346" s="24"/>
      <c r="FQ346" s="24"/>
      <c r="FR346" s="24"/>
      <c r="FS346" s="24"/>
      <c r="FT346" s="24"/>
      <c r="FU346" s="24"/>
      <c r="FV346" s="24"/>
      <c r="FW346" s="24"/>
      <c r="FX346" s="24"/>
      <c r="FY346" s="24"/>
      <c r="FZ346" s="24"/>
      <c r="GA346" s="24"/>
      <c r="GB346" s="24"/>
      <c r="GC346" s="24"/>
      <c r="GD346" s="24"/>
      <c r="GE346" s="24"/>
      <c r="GF346" s="24"/>
      <c r="GG346" s="24"/>
      <c r="GH346" s="24"/>
      <c r="GI346" s="24"/>
      <c r="GJ346" s="24"/>
      <c r="GK346" s="24"/>
      <c r="GL346" s="24"/>
      <c r="GM346" s="24"/>
      <c r="GN346" s="24"/>
      <c r="GO346" s="24"/>
      <c r="GP346" s="24"/>
      <c r="GQ346" s="24"/>
      <c r="GR346" s="24"/>
    </row>
    <row r="347" spans="1:220" s="23" customFormat="1" ht="14.25" customHeight="1">
      <c r="A347" s="20"/>
      <c r="B347" s="21"/>
      <c r="C347" s="22"/>
      <c r="D347" s="22"/>
      <c r="E347" s="22"/>
      <c r="G347" s="22"/>
      <c r="H347" s="22"/>
      <c r="I347" s="22"/>
      <c r="K347" s="22"/>
      <c r="L347" s="22"/>
      <c r="M347" s="22"/>
      <c r="O347" s="22"/>
      <c r="P347" s="22"/>
      <c r="Q347" s="22"/>
      <c r="S347" s="22"/>
      <c r="T347" s="22"/>
      <c r="U347" s="22"/>
      <c r="W347" s="22"/>
      <c r="X347" s="22"/>
      <c r="Y347" s="22"/>
      <c r="AA347" s="22"/>
      <c r="AB347" s="22"/>
      <c r="AC347" s="22"/>
      <c r="AE347" s="24"/>
      <c r="AF347" s="24"/>
      <c r="AG347" s="24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6"/>
      <c r="AW347" s="24"/>
      <c r="AX347" s="20"/>
      <c r="AY347" s="21"/>
      <c r="AZ347" s="22"/>
      <c r="BA347" s="22"/>
      <c r="BB347" s="22"/>
      <c r="BD347" s="22"/>
      <c r="BE347" s="22"/>
      <c r="BF347" s="22"/>
      <c r="BH347" s="22"/>
      <c r="BI347" s="22"/>
      <c r="BJ347" s="22"/>
      <c r="BL347" s="22"/>
      <c r="BM347" s="22"/>
      <c r="BN347" s="22"/>
      <c r="BP347" s="22"/>
      <c r="BQ347" s="22"/>
      <c r="BR347" s="22"/>
      <c r="BT347" s="22"/>
      <c r="BU347" s="22"/>
      <c r="BV347" s="22"/>
      <c r="BX347" s="22"/>
      <c r="BY347" s="22"/>
      <c r="BZ347" s="22"/>
      <c r="CB347" s="24"/>
      <c r="CC347" s="24"/>
      <c r="CD347" s="24"/>
      <c r="CE347" s="25"/>
      <c r="CF347" s="25"/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6"/>
      <c r="CT347" s="24"/>
      <c r="CU347" s="24"/>
      <c r="CV347" s="24"/>
      <c r="CW347" s="24"/>
      <c r="CX347" s="24"/>
      <c r="CY347" s="24"/>
      <c r="CZ347" s="24"/>
      <c r="DA347" s="24"/>
      <c r="DB347" s="24"/>
      <c r="DC347" s="24"/>
      <c r="DD347" s="24"/>
      <c r="DE347" s="24"/>
      <c r="DF347" s="24"/>
      <c r="DG347" s="24"/>
      <c r="DH347" s="24"/>
      <c r="DI347" s="24"/>
      <c r="DJ347" s="24"/>
      <c r="DK347" s="24"/>
      <c r="DL347" s="24"/>
      <c r="DM347" s="24"/>
      <c r="DN347" s="24"/>
      <c r="DO347" s="24"/>
      <c r="DP347" s="24"/>
      <c r="DQ347" s="24"/>
      <c r="DR347" s="24"/>
      <c r="DS347" s="24"/>
      <c r="DT347" s="24"/>
      <c r="DU347" s="24"/>
      <c r="DV347" s="24"/>
      <c r="DW347" s="24"/>
      <c r="DX347" s="24"/>
      <c r="DY347" s="24"/>
      <c r="DZ347" s="24"/>
      <c r="EA347" s="24"/>
      <c r="EB347" s="24"/>
      <c r="EC347" s="24"/>
      <c r="ED347" s="24"/>
      <c r="EE347" s="24"/>
      <c r="EF347" s="24"/>
      <c r="EG347" s="24"/>
      <c r="EH347" s="24"/>
      <c r="EI347" s="24"/>
      <c r="EJ347" s="24"/>
      <c r="EK347" s="24"/>
      <c r="EL347" s="24"/>
      <c r="EM347" s="24"/>
      <c r="EN347" s="24"/>
      <c r="EO347" s="24"/>
      <c r="EP347" s="24"/>
      <c r="EQ347" s="24"/>
      <c r="ER347" s="24"/>
      <c r="ES347" s="24"/>
      <c r="ET347" s="24"/>
      <c r="EU347" s="24"/>
      <c r="EV347" s="24"/>
      <c r="EW347" s="24"/>
      <c r="EX347" s="24"/>
      <c r="EY347" s="24"/>
      <c r="EZ347" s="24"/>
      <c r="FA347" s="24"/>
      <c r="FB347" s="24"/>
      <c r="FC347" s="24"/>
      <c r="FD347" s="24"/>
      <c r="FE347" s="24"/>
      <c r="FF347" s="24"/>
      <c r="FG347" s="24"/>
      <c r="FH347" s="24"/>
      <c r="FI347" s="24"/>
      <c r="FJ347" s="24"/>
      <c r="FK347" s="24"/>
      <c r="FL347" s="24"/>
      <c r="FM347" s="24"/>
      <c r="FN347" s="24"/>
      <c r="FO347" s="24"/>
      <c r="FP347" s="24"/>
      <c r="FQ347" s="24"/>
      <c r="FR347" s="24"/>
      <c r="FS347" s="24"/>
      <c r="FT347" s="24"/>
      <c r="FU347" s="24"/>
      <c r="FV347" s="24"/>
      <c r="FW347" s="24"/>
      <c r="FX347" s="24"/>
      <c r="FY347" s="24"/>
      <c r="FZ347" s="24"/>
      <c r="GA347" s="24"/>
      <c r="GB347" s="24"/>
      <c r="GC347" s="24"/>
      <c r="GD347" s="24"/>
      <c r="GE347" s="24"/>
      <c r="GF347" s="24"/>
      <c r="GG347" s="24"/>
      <c r="GH347" s="24"/>
      <c r="GI347" s="24"/>
      <c r="GJ347" s="24"/>
      <c r="GK347" s="24"/>
      <c r="GL347" s="24"/>
      <c r="GM347" s="24"/>
      <c r="GN347" s="24"/>
      <c r="GO347" s="24"/>
      <c r="GP347" s="24"/>
      <c r="GQ347" s="24"/>
      <c r="GR347" s="24"/>
    </row>
    <row r="348" spans="1:220" s="23" customFormat="1" ht="14.25" customHeight="1">
      <c r="A348" s="20"/>
      <c r="B348" s="21"/>
      <c r="C348" s="22"/>
      <c r="D348" s="22"/>
      <c r="E348" s="22"/>
      <c r="G348" s="22"/>
      <c r="H348" s="22"/>
      <c r="I348" s="22"/>
      <c r="K348" s="22"/>
      <c r="L348" s="22"/>
      <c r="M348" s="22"/>
      <c r="O348" s="22"/>
      <c r="P348" s="22"/>
      <c r="Q348" s="22"/>
      <c r="S348" s="22"/>
      <c r="T348" s="22"/>
      <c r="U348" s="22"/>
      <c r="W348" s="22"/>
      <c r="X348" s="22"/>
      <c r="Y348" s="22"/>
      <c r="AA348" s="22"/>
      <c r="AB348" s="22"/>
      <c r="AC348" s="22"/>
      <c r="AE348" s="24"/>
      <c r="AF348" s="24"/>
      <c r="AG348" s="24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6"/>
      <c r="AW348" s="24"/>
      <c r="AX348" s="20"/>
      <c r="AY348" s="21"/>
      <c r="AZ348" s="22"/>
      <c r="BA348" s="22"/>
      <c r="BB348" s="22"/>
      <c r="BD348" s="22"/>
      <c r="BE348" s="22"/>
      <c r="BF348" s="22"/>
      <c r="BH348" s="22"/>
      <c r="BI348" s="22"/>
      <c r="BJ348" s="22"/>
      <c r="BL348" s="22"/>
      <c r="BM348" s="22"/>
      <c r="BN348" s="22"/>
      <c r="BP348" s="22"/>
      <c r="BQ348" s="22"/>
      <c r="BR348" s="22"/>
      <c r="BT348" s="22"/>
      <c r="BU348" s="22"/>
      <c r="BV348" s="22"/>
      <c r="BX348" s="22"/>
      <c r="BY348" s="22"/>
      <c r="BZ348" s="22"/>
      <c r="CB348" s="24"/>
      <c r="CC348" s="24"/>
      <c r="CD348" s="24"/>
      <c r="CE348" s="25"/>
      <c r="CF348" s="25"/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6"/>
      <c r="CT348" s="24"/>
      <c r="CU348" s="24"/>
      <c r="CV348" s="24"/>
      <c r="CW348" s="24"/>
      <c r="CX348" s="24"/>
      <c r="CY348" s="24"/>
      <c r="CZ348" s="24"/>
      <c r="DA348" s="24"/>
      <c r="DB348" s="24"/>
      <c r="DC348" s="24"/>
      <c r="DD348" s="24"/>
      <c r="DE348" s="24"/>
      <c r="DF348" s="24"/>
      <c r="DG348" s="24"/>
      <c r="DH348" s="24"/>
      <c r="DI348" s="24"/>
      <c r="DJ348" s="24"/>
      <c r="DK348" s="24"/>
      <c r="DL348" s="24"/>
      <c r="DM348" s="24"/>
      <c r="DN348" s="24"/>
      <c r="DO348" s="24"/>
      <c r="DP348" s="24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4"/>
      <c r="EC348" s="24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4"/>
      <c r="EP348" s="24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4"/>
      <c r="FC348" s="24"/>
      <c r="FD348" s="24"/>
      <c r="FE348" s="24"/>
      <c r="FF348" s="24"/>
      <c r="FG348" s="24"/>
      <c r="FH348" s="24"/>
      <c r="FI348" s="24"/>
      <c r="FJ348" s="24"/>
      <c r="FK348" s="24"/>
      <c r="FL348" s="24"/>
      <c r="FM348" s="24"/>
      <c r="FN348" s="24"/>
      <c r="FO348" s="24"/>
      <c r="FP348" s="24"/>
      <c r="FQ348" s="24"/>
      <c r="FR348" s="24"/>
      <c r="FS348" s="24"/>
      <c r="FT348" s="24"/>
      <c r="FU348" s="24"/>
      <c r="FV348" s="24"/>
      <c r="FW348" s="24"/>
      <c r="FX348" s="24"/>
      <c r="FY348" s="24"/>
      <c r="FZ348" s="24"/>
      <c r="GA348" s="24"/>
      <c r="GB348" s="24"/>
      <c r="GC348" s="24"/>
      <c r="GD348" s="24"/>
      <c r="GE348" s="24"/>
      <c r="GF348" s="24"/>
      <c r="GG348" s="24"/>
      <c r="GH348" s="24"/>
      <c r="GI348" s="24"/>
      <c r="GJ348" s="24"/>
      <c r="GK348" s="24"/>
      <c r="GL348" s="24"/>
      <c r="GM348" s="24"/>
      <c r="GN348" s="24"/>
      <c r="GO348" s="24"/>
      <c r="GP348" s="24"/>
      <c r="GQ348" s="24"/>
      <c r="GR348" s="24"/>
    </row>
    <row r="349" spans="1:220" s="23" customFormat="1" ht="14.25" customHeight="1">
      <c r="A349" s="20"/>
      <c r="B349" s="21"/>
      <c r="C349" s="22"/>
      <c r="D349" s="22"/>
      <c r="E349" s="22"/>
      <c r="G349" s="22"/>
      <c r="H349" s="22"/>
      <c r="I349" s="22"/>
      <c r="K349" s="22"/>
      <c r="L349" s="22"/>
      <c r="M349" s="22"/>
      <c r="O349" s="22"/>
      <c r="P349" s="22"/>
      <c r="Q349" s="22"/>
      <c r="S349" s="22"/>
      <c r="T349" s="22"/>
      <c r="U349" s="22"/>
      <c r="W349" s="22"/>
      <c r="X349" s="22"/>
      <c r="Y349" s="22"/>
      <c r="AA349" s="22"/>
      <c r="AB349" s="22"/>
      <c r="AC349" s="22"/>
      <c r="AE349" s="24"/>
      <c r="AF349" s="24"/>
      <c r="AG349" s="24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6"/>
      <c r="AW349" s="24"/>
      <c r="AX349" s="20"/>
      <c r="AY349" s="21"/>
      <c r="AZ349" s="22"/>
      <c r="BA349" s="22"/>
      <c r="BB349" s="22"/>
      <c r="BD349" s="22"/>
      <c r="BE349" s="22"/>
      <c r="BF349" s="22"/>
      <c r="BH349" s="22"/>
      <c r="BI349" s="22"/>
      <c r="BJ349" s="22"/>
      <c r="BL349" s="22"/>
      <c r="BM349" s="22"/>
      <c r="BN349" s="22"/>
      <c r="BP349" s="22"/>
      <c r="BQ349" s="22"/>
      <c r="BR349" s="22"/>
      <c r="BT349" s="22"/>
      <c r="BU349" s="22"/>
      <c r="BV349" s="22"/>
      <c r="BX349" s="22"/>
      <c r="BY349" s="22"/>
      <c r="BZ349" s="22"/>
      <c r="CB349" s="24"/>
      <c r="CC349" s="24"/>
      <c r="CD349" s="24"/>
      <c r="CE349" s="25"/>
      <c r="CF349" s="25"/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6"/>
      <c r="CT349" s="24"/>
      <c r="CU349" s="24"/>
      <c r="CV349" s="24"/>
      <c r="CW349" s="24"/>
      <c r="CX349" s="24"/>
      <c r="CY349" s="24"/>
      <c r="CZ349" s="24"/>
      <c r="DA349" s="24"/>
      <c r="DB349" s="24"/>
      <c r="DC349" s="24"/>
      <c r="DD349" s="24"/>
      <c r="DE349" s="24"/>
      <c r="DF349" s="24"/>
      <c r="DG349" s="24"/>
      <c r="DH349" s="24"/>
      <c r="DI349" s="24"/>
      <c r="DJ349" s="24"/>
      <c r="DK349" s="24"/>
      <c r="DL349" s="24"/>
      <c r="DM349" s="24"/>
      <c r="DN349" s="24"/>
      <c r="DO349" s="24"/>
      <c r="DP349" s="24"/>
      <c r="DQ349" s="24"/>
      <c r="DR349" s="24"/>
      <c r="DS349" s="24"/>
      <c r="DT349" s="24"/>
      <c r="DU349" s="24"/>
      <c r="DV349" s="24"/>
      <c r="DW349" s="24"/>
      <c r="DX349" s="24"/>
      <c r="DY349" s="24"/>
      <c r="DZ349" s="24"/>
      <c r="EA349" s="24"/>
      <c r="EB349" s="24"/>
      <c r="EC349" s="24"/>
      <c r="ED349" s="24"/>
      <c r="EE349" s="24"/>
      <c r="EF349" s="24"/>
      <c r="EG349" s="24"/>
      <c r="EH349" s="24"/>
      <c r="EI349" s="24"/>
      <c r="EJ349" s="24"/>
      <c r="EK349" s="24"/>
      <c r="EL349" s="24"/>
      <c r="EM349" s="24"/>
      <c r="EN349" s="24"/>
      <c r="EO349" s="24"/>
      <c r="EP349" s="24"/>
      <c r="EQ349" s="24"/>
      <c r="ER349" s="24"/>
      <c r="ES349" s="24"/>
      <c r="ET349" s="24"/>
      <c r="EU349" s="24"/>
      <c r="EV349" s="24"/>
      <c r="EW349" s="24"/>
      <c r="EX349" s="24"/>
      <c r="EY349" s="24"/>
      <c r="EZ349" s="24"/>
      <c r="FA349" s="24"/>
      <c r="FB349" s="24"/>
      <c r="FC349" s="24"/>
      <c r="FD349" s="24"/>
      <c r="FE349" s="24"/>
      <c r="FF349" s="24"/>
      <c r="FG349" s="24"/>
      <c r="FH349" s="24"/>
      <c r="FI349" s="24"/>
      <c r="FJ349" s="24"/>
      <c r="FK349" s="24"/>
      <c r="FL349" s="24"/>
      <c r="FM349" s="24"/>
      <c r="FN349" s="24"/>
      <c r="FO349" s="24"/>
      <c r="FP349" s="24"/>
      <c r="FQ349" s="24"/>
      <c r="FR349" s="24"/>
      <c r="FS349" s="24"/>
      <c r="FT349" s="24"/>
      <c r="FU349" s="24"/>
      <c r="FV349" s="24"/>
      <c r="FW349" s="24"/>
      <c r="FX349" s="24"/>
      <c r="FY349" s="24"/>
      <c r="FZ349" s="24"/>
      <c r="GA349" s="24"/>
      <c r="GB349" s="24"/>
      <c r="GC349" s="24"/>
      <c r="GD349" s="24"/>
      <c r="GE349" s="24"/>
      <c r="GF349" s="24"/>
      <c r="GG349" s="24"/>
      <c r="GH349" s="24"/>
      <c r="GI349" s="24"/>
      <c r="GJ349" s="24"/>
      <c r="GK349" s="24"/>
      <c r="GL349" s="24"/>
      <c r="GM349" s="24"/>
      <c r="GN349" s="24"/>
      <c r="GO349" s="24"/>
      <c r="GP349" s="24"/>
      <c r="GQ349" s="24"/>
      <c r="GR349" s="24"/>
    </row>
    <row r="350" spans="1:220" s="23" customFormat="1" ht="14.25" customHeight="1">
      <c r="A350" s="20"/>
      <c r="B350" s="21"/>
      <c r="C350" s="22"/>
      <c r="D350" s="22"/>
      <c r="E350" s="22"/>
      <c r="G350" s="22"/>
      <c r="H350" s="22"/>
      <c r="I350" s="22"/>
      <c r="K350" s="22"/>
      <c r="L350" s="22"/>
      <c r="M350" s="22"/>
      <c r="O350" s="22"/>
      <c r="P350" s="22"/>
      <c r="Q350" s="22"/>
      <c r="S350" s="22"/>
      <c r="T350" s="22"/>
      <c r="U350" s="22"/>
      <c r="W350" s="22"/>
      <c r="X350" s="22"/>
      <c r="Y350" s="22"/>
      <c r="AA350" s="22"/>
      <c r="AB350" s="22"/>
      <c r="AC350" s="22"/>
      <c r="AE350" s="24"/>
      <c r="AF350" s="24"/>
      <c r="AG350" s="24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6"/>
      <c r="AW350" s="24"/>
      <c r="AX350" s="20"/>
      <c r="AY350" s="21"/>
      <c r="AZ350" s="22"/>
      <c r="BA350" s="22"/>
      <c r="BB350" s="22"/>
      <c r="BD350" s="22"/>
      <c r="BE350" s="22"/>
      <c r="BF350" s="22"/>
      <c r="BH350" s="22"/>
      <c r="BI350" s="22"/>
      <c r="BJ350" s="22"/>
      <c r="BL350" s="22"/>
      <c r="BM350" s="22"/>
      <c r="BN350" s="22"/>
      <c r="BP350" s="22"/>
      <c r="BQ350" s="22"/>
      <c r="BR350" s="22"/>
      <c r="BT350" s="22"/>
      <c r="BU350" s="22"/>
      <c r="BV350" s="22"/>
      <c r="BX350" s="22"/>
      <c r="BY350" s="22"/>
      <c r="BZ350" s="22"/>
      <c r="CB350" s="24"/>
      <c r="CC350" s="24"/>
      <c r="CD350" s="24"/>
      <c r="CE350" s="25"/>
      <c r="CF350" s="25"/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6"/>
      <c r="CT350" s="24"/>
      <c r="CU350" s="24"/>
      <c r="CV350" s="24"/>
      <c r="CW350" s="24"/>
      <c r="CX350" s="24"/>
      <c r="CY350" s="24"/>
      <c r="CZ350" s="24"/>
      <c r="DA350" s="24"/>
      <c r="DB350" s="24"/>
      <c r="DC350" s="24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4"/>
      <c r="DP350" s="24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4"/>
      <c r="EC350" s="24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4"/>
      <c r="EP350" s="24"/>
      <c r="EQ350" s="24"/>
      <c r="ER350" s="24"/>
      <c r="ES350" s="24"/>
      <c r="ET350" s="24"/>
      <c r="EU350" s="24"/>
      <c r="EV350" s="24"/>
      <c r="EW350" s="24"/>
      <c r="EX350" s="24"/>
      <c r="EY350" s="24"/>
      <c r="EZ350" s="24"/>
      <c r="FA350" s="24"/>
      <c r="FB350" s="24"/>
      <c r="FC350" s="24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4"/>
      <c r="FP350" s="24"/>
      <c r="FQ350" s="24"/>
      <c r="FR350" s="24"/>
      <c r="FS350" s="24"/>
      <c r="FT350" s="24"/>
      <c r="FU350" s="24"/>
      <c r="FV350" s="24"/>
      <c r="FW350" s="24"/>
      <c r="FX350" s="24"/>
      <c r="FY350" s="24"/>
      <c r="FZ350" s="24"/>
      <c r="GA350" s="24"/>
      <c r="GB350" s="24"/>
      <c r="GC350" s="24"/>
      <c r="GD350" s="24"/>
      <c r="GE350" s="24"/>
      <c r="GF350" s="24"/>
      <c r="GG350" s="24"/>
      <c r="GH350" s="24"/>
      <c r="GI350" s="24"/>
      <c r="GJ350" s="24"/>
      <c r="GK350" s="24"/>
      <c r="GL350" s="24"/>
      <c r="GM350" s="24"/>
      <c r="GN350" s="24"/>
      <c r="GO350" s="24"/>
      <c r="GP350" s="24"/>
      <c r="GQ350" s="24"/>
      <c r="GR350" s="24"/>
    </row>
    <row r="351" spans="1:220" s="23" customFormat="1" ht="14.25" customHeight="1">
      <c r="A351" s="20"/>
      <c r="B351" s="21"/>
      <c r="C351" s="22"/>
      <c r="D351" s="22"/>
      <c r="E351" s="22"/>
      <c r="G351" s="22"/>
      <c r="H351" s="22"/>
      <c r="I351" s="22"/>
      <c r="K351" s="22"/>
      <c r="L351" s="22"/>
      <c r="M351" s="22"/>
      <c r="O351" s="22"/>
      <c r="P351" s="22"/>
      <c r="Q351" s="22"/>
      <c r="S351" s="22"/>
      <c r="T351" s="22"/>
      <c r="U351" s="22"/>
      <c r="W351" s="22"/>
      <c r="X351" s="22"/>
      <c r="Y351" s="22"/>
      <c r="AA351" s="22"/>
      <c r="AB351" s="22"/>
      <c r="AC351" s="22"/>
      <c r="AE351" s="24"/>
      <c r="AF351" s="24"/>
      <c r="AG351" s="24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6"/>
      <c r="AW351" s="24"/>
      <c r="AX351" s="20"/>
      <c r="AY351" s="21"/>
      <c r="AZ351" s="22"/>
      <c r="BA351" s="22"/>
      <c r="BB351" s="22"/>
      <c r="BD351" s="22"/>
      <c r="BE351" s="22"/>
      <c r="BF351" s="22"/>
      <c r="BH351" s="22"/>
      <c r="BI351" s="22"/>
      <c r="BJ351" s="22"/>
      <c r="BL351" s="22"/>
      <c r="BM351" s="22"/>
      <c r="BN351" s="22"/>
      <c r="BP351" s="22"/>
      <c r="BQ351" s="22"/>
      <c r="BR351" s="22"/>
      <c r="BT351" s="22"/>
      <c r="BU351" s="22"/>
      <c r="BV351" s="22"/>
      <c r="BX351" s="22"/>
      <c r="BY351" s="22"/>
      <c r="BZ351" s="22"/>
      <c r="CB351" s="24"/>
      <c r="CC351" s="24"/>
      <c r="CD351" s="24"/>
      <c r="CE351" s="25"/>
      <c r="CF351" s="25"/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6"/>
      <c r="CT351" s="24"/>
      <c r="CU351" s="24"/>
      <c r="CV351" s="24"/>
      <c r="CW351" s="24"/>
      <c r="CX351" s="24"/>
      <c r="CY351" s="24"/>
      <c r="CZ351" s="24"/>
      <c r="DA351" s="24"/>
      <c r="DB351" s="24"/>
      <c r="DC351" s="24"/>
      <c r="DD351" s="24"/>
      <c r="DE351" s="24"/>
      <c r="DF351" s="24"/>
      <c r="DG351" s="24"/>
      <c r="DH351" s="24"/>
      <c r="DI351" s="24"/>
      <c r="DJ351" s="24"/>
      <c r="DK351" s="24"/>
      <c r="DL351" s="24"/>
      <c r="DM351" s="24"/>
      <c r="DN351" s="24"/>
      <c r="DO351" s="24"/>
      <c r="DP351" s="24"/>
      <c r="DQ351" s="24"/>
      <c r="DR351" s="24"/>
      <c r="DS351" s="24"/>
      <c r="DT351" s="24"/>
      <c r="DU351" s="24"/>
      <c r="DV351" s="24"/>
      <c r="DW351" s="24"/>
      <c r="DX351" s="24"/>
      <c r="DY351" s="24"/>
      <c r="DZ351" s="24"/>
      <c r="EA351" s="24"/>
      <c r="EB351" s="24"/>
      <c r="EC351" s="24"/>
      <c r="ED351" s="24"/>
      <c r="EE351" s="24"/>
      <c r="EF351" s="24"/>
      <c r="EG351" s="24"/>
      <c r="EH351" s="24"/>
      <c r="EI351" s="24"/>
      <c r="EJ351" s="24"/>
      <c r="EK351" s="24"/>
      <c r="EL351" s="24"/>
      <c r="EM351" s="24"/>
      <c r="EN351" s="24"/>
      <c r="EO351" s="24"/>
      <c r="EP351" s="24"/>
      <c r="EQ351" s="24"/>
      <c r="ER351" s="24"/>
      <c r="ES351" s="24"/>
      <c r="ET351" s="24"/>
      <c r="EU351" s="24"/>
      <c r="EV351" s="24"/>
      <c r="EW351" s="24"/>
      <c r="EX351" s="24"/>
      <c r="EY351" s="24"/>
      <c r="EZ351" s="24"/>
      <c r="FA351" s="24"/>
      <c r="FB351" s="24"/>
      <c r="FC351" s="24"/>
      <c r="FD351" s="24"/>
      <c r="FE351" s="24"/>
      <c r="FF351" s="24"/>
      <c r="FG351" s="24"/>
      <c r="FH351" s="24"/>
      <c r="FI351" s="24"/>
      <c r="FJ351" s="24"/>
      <c r="FK351" s="24"/>
      <c r="FL351" s="24"/>
      <c r="FM351" s="24"/>
      <c r="FN351" s="24"/>
      <c r="FO351" s="24"/>
      <c r="FP351" s="24"/>
      <c r="FQ351" s="24"/>
      <c r="FR351" s="24"/>
      <c r="FS351" s="24"/>
      <c r="FT351" s="24"/>
      <c r="FU351" s="24"/>
      <c r="FV351" s="24"/>
      <c r="FW351" s="24"/>
      <c r="FX351" s="24"/>
      <c r="FY351" s="24"/>
      <c r="FZ351" s="24"/>
      <c r="GA351" s="24"/>
      <c r="GB351" s="24"/>
      <c r="GC351" s="24"/>
      <c r="GD351" s="24"/>
      <c r="GE351" s="24"/>
      <c r="GF351" s="24"/>
      <c r="GG351" s="24"/>
      <c r="GH351" s="24"/>
      <c r="GI351" s="24"/>
      <c r="GJ351" s="24"/>
      <c r="GK351" s="24"/>
      <c r="GL351" s="24"/>
      <c r="GM351" s="24"/>
      <c r="GN351" s="24"/>
      <c r="GO351" s="24"/>
      <c r="GP351" s="24"/>
      <c r="GQ351" s="24"/>
      <c r="GR351" s="24"/>
      <c r="GS351" s="24"/>
      <c r="GT351" s="24"/>
      <c r="GU351" s="24"/>
      <c r="GV351" s="24"/>
      <c r="GW351" s="24"/>
      <c r="GX351" s="24"/>
      <c r="GY351" s="24"/>
      <c r="GZ351" s="24"/>
      <c r="HA351" s="24"/>
      <c r="HB351" s="24"/>
      <c r="HC351" s="24"/>
      <c r="HD351" s="24"/>
      <c r="HE351" s="24"/>
      <c r="HF351" s="24"/>
      <c r="HG351" s="24"/>
      <c r="HH351" s="24"/>
      <c r="HI351" s="24"/>
      <c r="HJ351" s="24"/>
      <c r="HK351" s="24"/>
      <c r="HL351" s="24"/>
    </row>
    <row r="352" spans="1:220" s="23" customFormat="1" ht="14.25" customHeight="1">
      <c r="A352" s="20"/>
      <c r="B352" s="21"/>
      <c r="C352" s="22"/>
      <c r="D352" s="22"/>
      <c r="E352" s="22"/>
      <c r="G352" s="22"/>
      <c r="H352" s="22"/>
      <c r="I352" s="22"/>
      <c r="K352" s="22"/>
      <c r="L352" s="22"/>
      <c r="M352" s="22"/>
      <c r="O352" s="22"/>
      <c r="P352" s="22"/>
      <c r="Q352" s="22"/>
      <c r="S352" s="22"/>
      <c r="T352" s="22"/>
      <c r="U352" s="22"/>
      <c r="W352" s="22"/>
      <c r="X352" s="22"/>
      <c r="Y352" s="22"/>
      <c r="AA352" s="22"/>
      <c r="AB352" s="22"/>
      <c r="AC352" s="22"/>
      <c r="AE352" s="24"/>
      <c r="AF352" s="24"/>
      <c r="AG352" s="24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6"/>
      <c r="AW352" s="24"/>
      <c r="AX352" s="20"/>
      <c r="AY352" s="21"/>
      <c r="AZ352" s="22"/>
      <c r="BA352" s="22"/>
      <c r="BB352" s="22"/>
      <c r="BD352" s="22"/>
      <c r="BE352" s="22"/>
      <c r="BF352" s="22"/>
      <c r="BH352" s="22"/>
      <c r="BI352" s="22"/>
      <c r="BJ352" s="22"/>
      <c r="BL352" s="22"/>
      <c r="BM352" s="22"/>
      <c r="BN352" s="22"/>
      <c r="BP352" s="22"/>
      <c r="BQ352" s="22"/>
      <c r="BR352" s="22"/>
      <c r="BT352" s="22"/>
      <c r="BU352" s="22"/>
      <c r="BV352" s="22"/>
      <c r="BX352" s="22"/>
      <c r="BY352" s="22"/>
      <c r="BZ352" s="22"/>
      <c r="CB352" s="24"/>
      <c r="CC352" s="24"/>
      <c r="CD352" s="24"/>
      <c r="CE352" s="25"/>
      <c r="CF352" s="25"/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6"/>
      <c r="CT352" s="24"/>
      <c r="CU352" s="24"/>
      <c r="CV352" s="24"/>
      <c r="CW352" s="24"/>
      <c r="CX352" s="24"/>
      <c r="CY352" s="24"/>
      <c r="CZ352" s="24"/>
      <c r="DA352" s="24"/>
      <c r="DB352" s="24"/>
      <c r="DC352" s="24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4"/>
      <c r="DP352" s="24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4"/>
      <c r="EC352" s="24"/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4"/>
      <c r="EP352" s="24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4"/>
      <c r="FC352" s="24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4"/>
      <c r="FP352" s="24"/>
      <c r="FQ352" s="24"/>
      <c r="FR352" s="24"/>
      <c r="FS352" s="24"/>
      <c r="FT352" s="24"/>
      <c r="FU352" s="24"/>
      <c r="FV352" s="24"/>
      <c r="FW352" s="24"/>
      <c r="FX352" s="24"/>
      <c r="FY352" s="24"/>
      <c r="FZ352" s="24"/>
      <c r="GA352" s="24"/>
      <c r="GB352" s="24"/>
      <c r="GC352" s="24"/>
      <c r="GD352" s="24"/>
      <c r="GE352" s="24"/>
      <c r="GF352" s="24"/>
      <c r="GG352" s="24"/>
      <c r="GH352" s="24"/>
      <c r="GI352" s="24"/>
      <c r="GJ352" s="24"/>
      <c r="GK352" s="24"/>
      <c r="GL352" s="24"/>
      <c r="GM352" s="24"/>
      <c r="GN352" s="24"/>
      <c r="GO352" s="24"/>
      <c r="GP352" s="24"/>
      <c r="GQ352" s="24"/>
      <c r="GR352" s="24"/>
      <c r="GS352" s="24"/>
      <c r="GT352" s="24"/>
      <c r="GU352" s="24"/>
      <c r="GV352" s="24"/>
      <c r="GW352" s="24"/>
      <c r="GX352" s="24"/>
      <c r="GY352" s="24"/>
      <c r="GZ352" s="24"/>
      <c r="HA352" s="24"/>
      <c r="HB352" s="24"/>
      <c r="HC352" s="24"/>
      <c r="HD352" s="24"/>
      <c r="HE352" s="24"/>
      <c r="HF352" s="24"/>
      <c r="HG352" s="24"/>
      <c r="HH352" s="24"/>
      <c r="HI352" s="24"/>
      <c r="HJ352" s="24"/>
      <c r="HK352" s="24"/>
      <c r="HL352" s="24"/>
    </row>
    <row r="353" spans="1:220" s="23" customFormat="1" ht="14.25" customHeight="1">
      <c r="A353" s="20"/>
      <c r="B353" s="21"/>
      <c r="C353" s="22"/>
      <c r="D353" s="22"/>
      <c r="E353" s="22"/>
      <c r="G353" s="22"/>
      <c r="H353" s="22"/>
      <c r="I353" s="22"/>
      <c r="K353" s="22"/>
      <c r="L353" s="22"/>
      <c r="M353" s="22"/>
      <c r="O353" s="22"/>
      <c r="P353" s="22"/>
      <c r="Q353" s="22"/>
      <c r="S353" s="22"/>
      <c r="T353" s="22"/>
      <c r="U353" s="22"/>
      <c r="W353" s="22"/>
      <c r="X353" s="22"/>
      <c r="Y353" s="22"/>
      <c r="AA353" s="22"/>
      <c r="AB353" s="22"/>
      <c r="AC353" s="22"/>
      <c r="AE353" s="24"/>
      <c r="AF353" s="24"/>
      <c r="AG353" s="24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6"/>
      <c r="AW353" s="24"/>
      <c r="AX353" s="20"/>
      <c r="AY353" s="21"/>
      <c r="AZ353" s="22"/>
      <c r="BA353" s="22"/>
      <c r="BB353" s="22"/>
      <c r="BD353" s="22"/>
      <c r="BE353" s="22"/>
      <c r="BF353" s="22"/>
      <c r="BH353" s="22"/>
      <c r="BI353" s="22"/>
      <c r="BJ353" s="22"/>
      <c r="BL353" s="22"/>
      <c r="BM353" s="22"/>
      <c r="BN353" s="22"/>
      <c r="BP353" s="22"/>
      <c r="BQ353" s="22"/>
      <c r="BR353" s="22"/>
      <c r="BT353" s="22"/>
      <c r="BU353" s="22"/>
      <c r="BV353" s="22"/>
      <c r="BX353" s="22"/>
      <c r="BY353" s="22"/>
      <c r="BZ353" s="22"/>
      <c r="CB353" s="24"/>
      <c r="CC353" s="24"/>
      <c r="CD353" s="24"/>
      <c r="CE353" s="25"/>
      <c r="CF353" s="25"/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6"/>
      <c r="CT353" s="24"/>
      <c r="CU353" s="24"/>
      <c r="CV353" s="24"/>
      <c r="CW353" s="24"/>
      <c r="CX353" s="24"/>
      <c r="CY353" s="24"/>
      <c r="CZ353" s="24"/>
      <c r="DA353" s="24"/>
      <c r="DB353" s="24"/>
      <c r="DC353" s="24"/>
      <c r="DD353" s="24"/>
      <c r="DE353" s="24"/>
      <c r="DF353" s="24"/>
      <c r="DG353" s="24"/>
      <c r="DH353" s="24"/>
      <c r="DI353" s="24"/>
      <c r="DJ353" s="24"/>
      <c r="DK353" s="24"/>
      <c r="DL353" s="24"/>
      <c r="DM353" s="24"/>
      <c r="DN353" s="24"/>
      <c r="DO353" s="24"/>
      <c r="DP353" s="24"/>
      <c r="DQ353" s="24"/>
      <c r="DR353" s="24"/>
      <c r="DS353" s="24"/>
      <c r="DT353" s="24"/>
      <c r="DU353" s="24"/>
      <c r="DV353" s="24"/>
      <c r="DW353" s="24"/>
      <c r="DX353" s="24"/>
      <c r="DY353" s="24"/>
      <c r="DZ353" s="24"/>
      <c r="EA353" s="24"/>
      <c r="EB353" s="24"/>
      <c r="EC353" s="24"/>
      <c r="ED353" s="24"/>
      <c r="EE353" s="24"/>
      <c r="EF353" s="24"/>
      <c r="EG353" s="24"/>
      <c r="EH353" s="24"/>
      <c r="EI353" s="24"/>
      <c r="EJ353" s="24"/>
      <c r="EK353" s="24"/>
      <c r="EL353" s="24"/>
      <c r="EM353" s="24"/>
      <c r="EN353" s="24"/>
      <c r="EO353" s="24"/>
      <c r="EP353" s="24"/>
      <c r="EQ353" s="24"/>
      <c r="ER353" s="24"/>
      <c r="ES353" s="24"/>
      <c r="ET353" s="24"/>
      <c r="EU353" s="24"/>
      <c r="EV353" s="24"/>
      <c r="EW353" s="24"/>
      <c r="EX353" s="24"/>
      <c r="EY353" s="24"/>
      <c r="EZ353" s="24"/>
      <c r="FA353" s="24"/>
      <c r="FB353" s="24"/>
      <c r="FC353" s="24"/>
      <c r="FD353" s="24"/>
      <c r="FE353" s="24"/>
      <c r="FF353" s="24"/>
      <c r="FG353" s="24"/>
      <c r="FH353" s="24"/>
      <c r="FI353" s="24"/>
      <c r="FJ353" s="24"/>
      <c r="FK353" s="24"/>
      <c r="FL353" s="24"/>
      <c r="FM353" s="24"/>
      <c r="FN353" s="24"/>
      <c r="FO353" s="24"/>
      <c r="FP353" s="24"/>
      <c r="FQ353" s="24"/>
      <c r="FR353" s="24"/>
      <c r="FS353" s="24"/>
      <c r="FT353" s="24"/>
      <c r="FU353" s="24"/>
      <c r="FV353" s="24"/>
      <c r="FW353" s="24"/>
      <c r="FX353" s="24"/>
      <c r="FY353" s="24"/>
      <c r="FZ353" s="24"/>
      <c r="GA353" s="24"/>
      <c r="GB353" s="24"/>
      <c r="GC353" s="24"/>
      <c r="GD353" s="24"/>
      <c r="GE353" s="24"/>
      <c r="GF353" s="24"/>
      <c r="GG353" s="24"/>
      <c r="GH353" s="24"/>
      <c r="GI353" s="24"/>
      <c r="GJ353" s="24"/>
      <c r="GK353" s="24"/>
      <c r="GL353" s="24"/>
      <c r="GM353" s="24"/>
      <c r="GN353" s="24"/>
      <c r="GO353" s="24"/>
      <c r="GP353" s="24"/>
      <c r="GQ353" s="24"/>
      <c r="GR353" s="24"/>
      <c r="GS353" s="24"/>
      <c r="GT353" s="24"/>
      <c r="GU353" s="24"/>
      <c r="GV353" s="24"/>
      <c r="GW353" s="24"/>
      <c r="GX353" s="24"/>
      <c r="GY353" s="24"/>
      <c r="GZ353" s="24"/>
      <c r="HA353" s="24"/>
      <c r="HB353" s="24"/>
      <c r="HC353" s="24"/>
      <c r="HD353" s="24"/>
      <c r="HE353" s="24"/>
      <c r="HF353" s="24"/>
      <c r="HG353" s="24"/>
      <c r="HH353" s="24"/>
      <c r="HI353" s="24"/>
      <c r="HJ353" s="24"/>
      <c r="HK353" s="24"/>
      <c r="HL353" s="24"/>
    </row>
    <row r="354" spans="1:220" s="23" customFormat="1" ht="14.25" customHeight="1">
      <c r="A354" s="20"/>
      <c r="B354" s="21"/>
      <c r="C354" s="22"/>
      <c r="D354" s="22"/>
      <c r="E354" s="22"/>
      <c r="G354" s="22"/>
      <c r="H354" s="22"/>
      <c r="I354" s="22"/>
      <c r="K354" s="22"/>
      <c r="L354" s="22"/>
      <c r="M354" s="22"/>
      <c r="O354" s="22"/>
      <c r="P354" s="22"/>
      <c r="Q354" s="22"/>
      <c r="S354" s="22"/>
      <c r="T354" s="22"/>
      <c r="U354" s="22"/>
      <c r="W354" s="22"/>
      <c r="X354" s="22"/>
      <c r="Y354" s="22"/>
      <c r="AA354" s="22"/>
      <c r="AB354" s="22"/>
      <c r="AC354" s="22"/>
      <c r="AE354" s="24"/>
      <c r="AF354" s="24"/>
      <c r="AG354" s="24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6"/>
      <c r="AW354" s="24"/>
      <c r="AX354" s="20"/>
      <c r="AY354" s="21"/>
      <c r="AZ354" s="22"/>
      <c r="BA354" s="22"/>
      <c r="BB354" s="22"/>
      <c r="BD354" s="22"/>
      <c r="BE354" s="22"/>
      <c r="BF354" s="22"/>
      <c r="BH354" s="22"/>
      <c r="BI354" s="22"/>
      <c r="BJ354" s="22"/>
      <c r="BL354" s="22"/>
      <c r="BM354" s="22"/>
      <c r="BN354" s="22"/>
      <c r="BP354" s="22"/>
      <c r="BQ354" s="22"/>
      <c r="BR354" s="22"/>
      <c r="BT354" s="22"/>
      <c r="BU354" s="22"/>
      <c r="BV354" s="22"/>
      <c r="BX354" s="22"/>
      <c r="BY354" s="22"/>
      <c r="BZ354" s="22"/>
      <c r="CB354" s="24"/>
      <c r="CC354" s="24"/>
      <c r="CD354" s="24"/>
      <c r="CE354" s="25"/>
      <c r="CF354" s="25"/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6"/>
      <c r="CT354" s="24"/>
      <c r="CU354" s="24"/>
      <c r="CV354" s="24"/>
      <c r="CW354" s="24"/>
      <c r="CX354" s="24"/>
      <c r="CY354" s="24"/>
      <c r="CZ354" s="24"/>
      <c r="DA354" s="24"/>
      <c r="DB354" s="24"/>
      <c r="DC354" s="24"/>
      <c r="DD354" s="24"/>
      <c r="DE354" s="24"/>
      <c r="DF354" s="24"/>
      <c r="DG354" s="24"/>
      <c r="DH354" s="24"/>
      <c r="DI354" s="24"/>
      <c r="DJ354" s="24"/>
      <c r="DK354" s="24"/>
      <c r="DL354" s="24"/>
      <c r="DM354" s="24"/>
      <c r="DN354" s="24"/>
      <c r="DO354" s="24"/>
      <c r="DP354" s="24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4"/>
      <c r="EC354" s="24"/>
      <c r="ED354" s="24"/>
      <c r="EE354" s="24"/>
      <c r="EF354" s="24"/>
      <c r="EG354" s="24"/>
      <c r="EH354" s="24"/>
      <c r="EI354" s="24"/>
      <c r="EJ354" s="24"/>
      <c r="EK354" s="24"/>
      <c r="EL354" s="24"/>
      <c r="EM354" s="24"/>
      <c r="EN354" s="24"/>
      <c r="EO354" s="24"/>
      <c r="EP354" s="24"/>
      <c r="EQ354" s="24"/>
      <c r="ER354" s="24"/>
      <c r="ES354" s="24"/>
      <c r="ET354" s="24"/>
      <c r="EU354" s="24"/>
      <c r="EV354" s="24"/>
      <c r="EW354" s="24"/>
      <c r="EX354" s="24"/>
      <c r="EY354" s="24"/>
      <c r="EZ354" s="24"/>
      <c r="FA354" s="24"/>
      <c r="FB354" s="24"/>
      <c r="FC354" s="24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4"/>
      <c r="FP354" s="24"/>
      <c r="FQ354" s="24"/>
      <c r="FR354" s="24"/>
      <c r="FS354" s="24"/>
      <c r="FT354" s="24"/>
      <c r="FU354" s="24"/>
      <c r="FV354" s="24"/>
      <c r="FW354" s="24"/>
      <c r="FX354" s="24"/>
      <c r="FY354" s="24"/>
      <c r="FZ354" s="24"/>
      <c r="GA354" s="24"/>
      <c r="GB354" s="24"/>
      <c r="GC354" s="24"/>
      <c r="GD354" s="24"/>
      <c r="GE354" s="24"/>
      <c r="GF354" s="24"/>
      <c r="GG354" s="24"/>
      <c r="GH354" s="24"/>
      <c r="GI354" s="24"/>
      <c r="GJ354" s="24"/>
      <c r="GK354" s="24"/>
      <c r="GL354" s="24"/>
      <c r="GM354" s="24"/>
      <c r="GN354" s="24"/>
      <c r="GO354" s="24"/>
      <c r="GP354" s="24"/>
      <c r="GQ354" s="24"/>
      <c r="GR354" s="24"/>
      <c r="GS354" s="24"/>
      <c r="GT354" s="24"/>
      <c r="GU354" s="24"/>
      <c r="GV354" s="24"/>
      <c r="GW354" s="24"/>
      <c r="GX354" s="24"/>
      <c r="GY354" s="24"/>
      <c r="GZ354" s="24"/>
      <c r="HA354" s="24"/>
      <c r="HB354" s="24"/>
      <c r="HC354" s="24"/>
      <c r="HD354" s="24"/>
      <c r="HE354" s="24"/>
      <c r="HF354" s="24"/>
      <c r="HG354" s="24"/>
      <c r="HH354" s="24"/>
      <c r="HI354" s="24"/>
      <c r="HJ354" s="24"/>
      <c r="HK354" s="24"/>
      <c r="HL354" s="24"/>
    </row>
    <row r="355" spans="1:220" s="23" customFormat="1" ht="14.25" customHeight="1">
      <c r="A355" s="20"/>
      <c r="B355" s="21"/>
      <c r="C355" s="22"/>
      <c r="D355" s="22"/>
      <c r="E355" s="22"/>
      <c r="G355" s="22"/>
      <c r="H355" s="22"/>
      <c r="I355" s="22"/>
      <c r="K355" s="22"/>
      <c r="L355" s="22"/>
      <c r="M355" s="22"/>
      <c r="O355" s="22"/>
      <c r="P355" s="22"/>
      <c r="Q355" s="22"/>
      <c r="S355" s="22"/>
      <c r="T355" s="22"/>
      <c r="U355" s="22"/>
      <c r="W355" s="22"/>
      <c r="X355" s="22"/>
      <c r="Y355" s="22"/>
      <c r="AA355" s="22"/>
      <c r="AB355" s="22"/>
      <c r="AC355" s="22"/>
      <c r="AE355" s="24"/>
      <c r="AF355" s="24"/>
      <c r="AG355" s="24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6"/>
      <c r="AW355" s="24"/>
      <c r="AX355" s="20"/>
      <c r="AY355" s="21"/>
      <c r="AZ355" s="22"/>
      <c r="BA355" s="22"/>
      <c r="BB355" s="22"/>
      <c r="BD355" s="22"/>
      <c r="BE355" s="22"/>
      <c r="BF355" s="22"/>
      <c r="BH355" s="22"/>
      <c r="BI355" s="22"/>
      <c r="BJ355" s="22"/>
      <c r="BL355" s="22"/>
      <c r="BM355" s="22"/>
      <c r="BN355" s="22"/>
      <c r="BP355" s="22"/>
      <c r="BQ355" s="22"/>
      <c r="BR355" s="22"/>
      <c r="BT355" s="22"/>
      <c r="BU355" s="22"/>
      <c r="BV355" s="22"/>
      <c r="BX355" s="22"/>
      <c r="BY355" s="22"/>
      <c r="BZ355" s="22"/>
      <c r="CB355" s="24"/>
      <c r="CC355" s="24"/>
      <c r="CD355" s="24"/>
      <c r="CE355" s="25"/>
      <c r="CF355" s="25"/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6"/>
      <c r="CT355" s="24"/>
      <c r="CU355" s="24"/>
      <c r="CV355" s="24"/>
      <c r="CW355" s="24"/>
      <c r="CX355" s="24"/>
      <c r="CY355" s="24"/>
      <c r="CZ355" s="24"/>
      <c r="DA355" s="24"/>
      <c r="DB355" s="24"/>
      <c r="DC355" s="24"/>
      <c r="DD355" s="24"/>
      <c r="DE355" s="24"/>
      <c r="DF355" s="24"/>
      <c r="DG355" s="24"/>
      <c r="DH355" s="24"/>
      <c r="DI355" s="24"/>
      <c r="DJ355" s="24"/>
      <c r="DK355" s="24"/>
      <c r="DL355" s="24"/>
      <c r="DM355" s="24"/>
      <c r="DN355" s="24"/>
      <c r="DO355" s="24"/>
      <c r="DP355" s="24"/>
      <c r="DQ355" s="24"/>
      <c r="DR355" s="24"/>
      <c r="DS355" s="24"/>
      <c r="DT355" s="24"/>
      <c r="DU355" s="24"/>
      <c r="DV355" s="24"/>
      <c r="DW355" s="24"/>
      <c r="DX355" s="24"/>
      <c r="DY355" s="24"/>
      <c r="DZ355" s="24"/>
      <c r="EA355" s="24"/>
      <c r="EB355" s="24"/>
      <c r="EC355" s="24"/>
      <c r="ED355" s="24"/>
      <c r="EE355" s="24"/>
      <c r="EF355" s="24"/>
      <c r="EG355" s="24"/>
      <c r="EH355" s="24"/>
      <c r="EI355" s="24"/>
      <c r="EJ355" s="24"/>
      <c r="EK355" s="24"/>
      <c r="EL355" s="24"/>
      <c r="EM355" s="24"/>
      <c r="EN355" s="24"/>
      <c r="EO355" s="24"/>
      <c r="EP355" s="24"/>
      <c r="EQ355" s="24"/>
      <c r="ER355" s="24"/>
      <c r="ES355" s="24"/>
      <c r="ET355" s="24"/>
      <c r="EU355" s="24"/>
      <c r="EV355" s="24"/>
      <c r="EW355" s="24"/>
      <c r="EX355" s="24"/>
      <c r="EY355" s="24"/>
      <c r="EZ355" s="24"/>
      <c r="FA355" s="24"/>
      <c r="FB355" s="24"/>
      <c r="FC355" s="24"/>
      <c r="FD355" s="24"/>
      <c r="FE355" s="24"/>
      <c r="FF355" s="24"/>
      <c r="FG355" s="24"/>
      <c r="FH355" s="24"/>
      <c r="FI355" s="24"/>
      <c r="FJ355" s="24"/>
      <c r="FK355" s="24"/>
      <c r="FL355" s="24"/>
      <c r="FM355" s="24"/>
      <c r="FN355" s="24"/>
      <c r="FO355" s="24"/>
      <c r="FP355" s="24"/>
      <c r="FQ355" s="24"/>
      <c r="FR355" s="24"/>
      <c r="FS355" s="24"/>
      <c r="FT355" s="24"/>
      <c r="FU355" s="24"/>
      <c r="FV355" s="24"/>
      <c r="FW355" s="24"/>
      <c r="FX355" s="24"/>
      <c r="FY355" s="24"/>
      <c r="FZ355" s="24"/>
      <c r="GA355" s="24"/>
      <c r="GB355" s="24"/>
      <c r="GC355" s="24"/>
      <c r="GD355" s="24"/>
      <c r="GE355" s="24"/>
      <c r="GF355" s="24"/>
      <c r="GG355" s="24"/>
      <c r="GH355" s="24"/>
      <c r="GI355" s="24"/>
      <c r="GJ355" s="24"/>
      <c r="GK355" s="24"/>
      <c r="GL355" s="24"/>
      <c r="GM355" s="24"/>
      <c r="GN355" s="24"/>
      <c r="GO355" s="24"/>
      <c r="GP355" s="24"/>
      <c r="GQ355" s="24"/>
      <c r="GR355" s="24"/>
      <c r="GS355" s="24"/>
      <c r="GT355" s="24"/>
      <c r="GU355" s="24"/>
      <c r="GV355" s="24"/>
      <c r="GW355" s="24"/>
      <c r="GX355" s="24"/>
      <c r="GY355" s="24"/>
      <c r="GZ355" s="24"/>
      <c r="HA355" s="24"/>
      <c r="HB355" s="24"/>
      <c r="HC355" s="24"/>
      <c r="HD355" s="24"/>
      <c r="HE355" s="24"/>
      <c r="HF355" s="24"/>
      <c r="HG355" s="24"/>
      <c r="HH355" s="24"/>
      <c r="HI355" s="24"/>
      <c r="HJ355" s="24"/>
      <c r="HK355" s="24"/>
      <c r="HL355" s="24"/>
    </row>
    <row r="356" spans="1:220" s="23" customFormat="1" ht="14.25" customHeight="1">
      <c r="A356" s="20"/>
      <c r="B356" s="21"/>
      <c r="C356" s="22"/>
      <c r="D356" s="22"/>
      <c r="E356" s="22"/>
      <c r="G356" s="22"/>
      <c r="H356" s="22"/>
      <c r="I356" s="22"/>
      <c r="K356" s="22"/>
      <c r="L356" s="22"/>
      <c r="M356" s="22"/>
      <c r="O356" s="22"/>
      <c r="P356" s="22"/>
      <c r="Q356" s="22"/>
      <c r="S356" s="22"/>
      <c r="T356" s="22"/>
      <c r="U356" s="22"/>
      <c r="W356" s="22"/>
      <c r="X356" s="22"/>
      <c r="Y356" s="22"/>
      <c r="AA356" s="22"/>
      <c r="AB356" s="22"/>
      <c r="AC356" s="22"/>
      <c r="AE356" s="24"/>
      <c r="AF356" s="24"/>
      <c r="AG356" s="24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6"/>
      <c r="AW356" s="24"/>
      <c r="AX356" s="20"/>
      <c r="AY356" s="21"/>
      <c r="AZ356" s="22"/>
      <c r="BA356" s="22"/>
      <c r="BB356" s="22"/>
      <c r="BD356" s="22"/>
      <c r="BE356" s="22"/>
      <c r="BF356" s="22"/>
      <c r="BH356" s="22"/>
      <c r="BI356" s="22"/>
      <c r="BJ356" s="22"/>
      <c r="BL356" s="22"/>
      <c r="BM356" s="22"/>
      <c r="BN356" s="22"/>
      <c r="BP356" s="22"/>
      <c r="BQ356" s="22"/>
      <c r="BR356" s="22"/>
      <c r="BT356" s="22"/>
      <c r="BU356" s="22"/>
      <c r="BV356" s="22"/>
      <c r="BX356" s="22"/>
      <c r="BY356" s="22"/>
      <c r="BZ356" s="22"/>
      <c r="CB356" s="24"/>
      <c r="CC356" s="24"/>
      <c r="CD356" s="24"/>
      <c r="CE356" s="25"/>
      <c r="CF356" s="25"/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6"/>
      <c r="CT356" s="24"/>
      <c r="CU356" s="24"/>
      <c r="CV356" s="24"/>
      <c r="CW356" s="24"/>
      <c r="CX356" s="24"/>
      <c r="CY356" s="24"/>
      <c r="CZ356" s="24"/>
      <c r="DA356" s="24"/>
      <c r="DB356" s="24"/>
      <c r="DC356" s="24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4"/>
      <c r="DP356" s="24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4"/>
      <c r="EC356" s="24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4"/>
      <c r="EP356" s="24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/>
      <c r="FA356" s="24"/>
      <c r="FB356" s="24"/>
      <c r="FC356" s="24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4"/>
      <c r="FP356" s="24"/>
      <c r="FQ356" s="24"/>
      <c r="FR356" s="24"/>
      <c r="FS356" s="24"/>
      <c r="FT356" s="24"/>
      <c r="FU356" s="24"/>
      <c r="FV356" s="24"/>
      <c r="FW356" s="24"/>
      <c r="FX356" s="24"/>
      <c r="FY356" s="24"/>
      <c r="FZ356" s="24"/>
      <c r="GA356" s="24"/>
      <c r="GB356" s="24"/>
      <c r="GC356" s="24"/>
      <c r="GD356" s="24"/>
      <c r="GE356" s="24"/>
      <c r="GF356" s="24"/>
      <c r="GG356" s="24"/>
      <c r="GH356" s="24"/>
      <c r="GI356" s="24"/>
      <c r="GJ356" s="24"/>
      <c r="GK356" s="24"/>
      <c r="GL356" s="24"/>
      <c r="GM356" s="24"/>
      <c r="GN356" s="24"/>
      <c r="GO356" s="24"/>
      <c r="GP356" s="24"/>
      <c r="GQ356" s="24"/>
      <c r="GR356" s="24"/>
      <c r="GS356" s="24"/>
      <c r="GT356" s="24"/>
      <c r="GU356" s="24"/>
      <c r="GV356" s="24"/>
      <c r="GW356" s="24"/>
      <c r="GX356" s="24"/>
      <c r="GY356" s="24"/>
      <c r="GZ356" s="24"/>
      <c r="HA356" s="24"/>
      <c r="HB356" s="24"/>
      <c r="HC356" s="24"/>
      <c r="HD356" s="24"/>
      <c r="HE356" s="24"/>
      <c r="HF356" s="24"/>
      <c r="HG356" s="24"/>
      <c r="HH356" s="24"/>
      <c r="HI356" s="24"/>
      <c r="HJ356" s="24"/>
      <c r="HK356" s="24"/>
      <c r="HL356" s="24"/>
    </row>
  </sheetData>
  <mergeCells count="455">
    <mergeCell ref="A1:AD2"/>
    <mergeCell ref="AH1:AI1"/>
    <mergeCell ref="AX1:CA2"/>
    <mergeCell ref="CE1:CF1"/>
    <mergeCell ref="AH2:AI2"/>
    <mergeCell ref="CE2:CF2"/>
    <mergeCell ref="C7:F7"/>
    <mergeCell ref="G7:J7"/>
    <mergeCell ref="A3:A9"/>
    <mergeCell ref="B3:B9"/>
    <mergeCell ref="C3:F3"/>
    <mergeCell ref="G3:J3"/>
    <mergeCell ref="K3:N3"/>
    <mergeCell ref="O3:R3"/>
    <mergeCell ref="Q5:R5"/>
    <mergeCell ref="M9:N9"/>
    <mergeCell ref="O9:P9"/>
    <mergeCell ref="Q9:R9"/>
    <mergeCell ref="AL3:AM3"/>
    <mergeCell ref="AN3:AO3"/>
    <mergeCell ref="AP3:AQ3"/>
    <mergeCell ref="AR3:AS3"/>
    <mergeCell ref="S3:V3"/>
    <mergeCell ref="W3:Z3"/>
    <mergeCell ref="AA3:AD3"/>
    <mergeCell ref="AE3:AE4"/>
    <mergeCell ref="AF3:AF9"/>
    <mergeCell ref="AG3:AG13"/>
    <mergeCell ref="S5:T5"/>
    <mergeCell ref="U5:V5"/>
    <mergeCell ref="W5:X5"/>
    <mergeCell ref="Y5:Z5"/>
    <mergeCell ref="CO3:CP3"/>
    <mergeCell ref="CQ3:CR3"/>
    <mergeCell ref="C4:F4"/>
    <mergeCell ref="G4:J4"/>
    <mergeCell ref="K4:N4"/>
    <mergeCell ref="O4:R4"/>
    <mergeCell ref="S4:V4"/>
    <mergeCell ref="W4:Z4"/>
    <mergeCell ref="AA4:AD4"/>
    <mergeCell ref="AH4:AI4"/>
    <mergeCell ref="CD3:CD13"/>
    <mergeCell ref="CE3:CF3"/>
    <mergeCell ref="CG3:CH3"/>
    <mergeCell ref="CI3:CJ3"/>
    <mergeCell ref="CK3:CL3"/>
    <mergeCell ref="CM3:CN3"/>
    <mergeCell ref="CE4:CF4"/>
    <mergeCell ref="CG4:CH4"/>
    <mergeCell ref="CI4:CJ4"/>
    <mergeCell ref="CK4:CL4"/>
    <mergeCell ref="BL3:BO3"/>
    <mergeCell ref="BP3:BS3"/>
    <mergeCell ref="BT3:BW3"/>
    <mergeCell ref="BX3:CA3"/>
    <mergeCell ref="CM4:CN4"/>
    <mergeCell ref="CO4:CP4"/>
    <mergeCell ref="CQ4:CR4"/>
    <mergeCell ref="C5:D5"/>
    <mergeCell ref="E5:F5"/>
    <mergeCell ref="G5:H5"/>
    <mergeCell ref="I5:J5"/>
    <mergeCell ref="K5:L5"/>
    <mergeCell ref="M5:N5"/>
    <mergeCell ref="O5:P5"/>
    <mergeCell ref="AJ4:AK4"/>
    <mergeCell ref="AL4:AM4"/>
    <mergeCell ref="AN4:AO4"/>
    <mergeCell ref="AP4:AQ4"/>
    <mergeCell ref="AR4:AS4"/>
    <mergeCell ref="AT4:AU4"/>
    <mergeCell ref="CB3:CB4"/>
    <mergeCell ref="CC3:CC9"/>
    <mergeCell ref="BL4:BO4"/>
    <mergeCell ref="BP4:BS4"/>
    <mergeCell ref="BT4:BW4"/>
    <mergeCell ref="BX4:CA4"/>
    <mergeCell ref="AT3:AU3"/>
    <mergeCell ref="AX3:AX9"/>
    <mergeCell ref="C9:D9"/>
    <mergeCell ref="E9:F9"/>
    <mergeCell ref="G9:H9"/>
    <mergeCell ref="I9:J9"/>
    <mergeCell ref="K9:L9"/>
    <mergeCell ref="BT5:BU5"/>
    <mergeCell ref="BV5:BW5"/>
    <mergeCell ref="BX5:BY5"/>
    <mergeCell ref="BZ5:CA5"/>
    <mergeCell ref="BH5:BI5"/>
    <mergeCell ref="BJ5:BK5"/>
    <mergeCell ref="BL5:BM5"/>
    <mergeCell ref="BN5:BO5"/>
    <mergeCell ref="BP5:BQ5"/>
    <mergeCell ref="BR5:BS5"/>
    <mergeCell ref="AP5:AQ5"/>
    <mergeCell ref="AR5:AS5"/>
    <mergeCell ref="AT5:AU5"/>
    <mergeCell ref="AZ5:BA5"/>
    <mergeCell ref="BB5:BC5"/>
    <mergeCell ref="BD5:BE5"/>
    <mergeCell ref="AA5:AB5"/>
    <mergeCell ref="AC5:AD5"/>
    <mergeCell ref="AH5:AI5"/>
    <mergeCell ref="W9:X9"/>
    <mergeCell ref="Y9:Z9"/>
    <mergeCell ref="AA9:AB9"/>
    <mergeCell ref="AC9:AD9"/>
    <mergeCell ref="CI5:CJ5"/>
    <mergeCell ref="CK5:CL5"/>
    <mergeCell ref="CM5:CN5"/>
    <mergeCell ref="CO5:CP5"/>
    <mergeCell ref="CQ5:CR5"/>
    <mergeCell ref="CE5:CF5"/>
    <mergeCell ref="CG5:CH5"/>
    <mergeCell ref="AJ5:AK5"/>
    <mergeCell ref="AL5:AM5"/>
    <mergeCell ref="AN5:AO5"/>
    <mergeCell ref="AY3:AY9"/>
    <mergeCell ref="AZ3:BC3"/>
    <mergeCell ref="BD3:BG3"/>
    <mergeCell ref="BH3:BK3"/>
    <mergeCell ref="AZ4:BC4"/>
    <mergeCell ref="BD4:BG4"/>
    <mergeCell ref="BH4:BK4"/>
    <mergeCell ref="BF5:BG5"/>
    <mergeCell ref="AH3:AI3"/>
    <mergeCell ref="AJ3:AK3"/>
    <mergeCell ref="BX9:BY9"/>
    <mergeCell ref="BZ9:CA9"/>
    <mergeCell ref="A15:A27"/>
    <mergeCell ref="AX15:AX27"/>
    <mergeCell ref="C28:F28"/>
    <mergeCell ref="G28:J28"/>
    <mergeCell ref="K28:N28"/>
    <mergeCell ref="O28:R28"/>
    <mergeCell ref="S28:V28"/>
    <mergeCell ref="W28:Z28"/>
    <mergeCell ref="BL9:BM9"/>
    <mergeCell ref="BN9:BO9"/>
    <mergeCell ref="BP9:BQ9"/>
    <mergeCell ref="BR9:BS9"/>
    <mergeCell ref="BT9:BU9"/>
    <mergeCell ref="BV9:BW9"/>
    <mergeCell ref="AZ9:BA9"/>
    <mergeCell ref="BB9:BC9"/>
    <mergeCell ref="BD9:BE9"/>
    <mergeCell ref="BF9:BG9"/>
    <mergeCell ref="BH9:BI9"/>
    <mergeCell ref="BJ9:BK9"/>
    <mergeCell ref="S9:T9"/>
    <mergeCell ref="U9:V9"/>
    <mergeCell ref="BD29:BG29"/>
    <mergeCell ref="BH29:BK29"/>
    <mergeCell ref="BL29:BO29"/>
    <mergeCell ref="BP29:BS29"/>
    <mergeCell ref="BT29:BW29"/>
    <mergeCell ref="BX29:CA29"/>
    <mergeCell ref="BT28:BW28"/>
    <mergeCell ref="BX28:CA28"/>
    <mergeCell ref="C29:F29"/>
    <mergeCell ref="G29:J29"/>
    <mergeCell ref="K29:N29"/>
    <mergeCell ref="O29:R29"/>
    <mergeCell ref="S29:V29"/>
    <mergeCell ref="W29:Z29"/>
    <mergeCell ref="AA29:AD29"/>
    <mergeCell ref="AZ29:BC29"/>
    <mergeCell ref="AA28:AD28"/>
    <mergeCell ref="AZ28:BC28"/>
    <mergeCell ref="BD28:BG28"/>
    <mergeCell ref="BH28:BK28"/>
    <mergeCell ref="BL28:BO28"/>
    <mergeCell ref="BP28:BS28"/>
    <mergeCell ref="S30:V30"/>
    <mergeCell ref="AA30:AD30"/>
    <mergeCell ref="BP30:BS30"/>
    <mergeCell ref="BX30:CA30"/>
    <mergeCell ref="K31:S32"/>
    <mergeCell ref="BH31:BP32"/>
    <mergeCell ref="AH32:AI32"/>
    <mergeCell ref="AJ32:AK32"/>
    <mergeCell ref="AL32:AM32"/>
    <mergeCell ref="AN32:AO32"/>
    <mergeCell ref="CK32:CL32"/>
    <mergeCell ref="CM32:CN32"/>
    <mergeCell ref="CO32:CP32"/>
    <mergeCell ref="CQ32:CR32"/>
    <mergeCell ref="K33:S33"/>
    <mergeCell ref="AH33:AI33"/>
    <mergeCell ref="AJ33:AK33"/>
    <mergeCell ref="AL33:AM33"/>
    <mergeCell ref="AN33:AO33"/>
    <mergeCell ref="AP33:AQ33"/>
    <mergeCell ref="AP32:AQ32"/>
    <mergeCell ref="AR32:AS32"/>
    <mergeCell ref="AT32:AU32"/>
    <mergeCell ref="CE32:CF32"/>
    <mergeCell ref="CG32:CH32"/>
    <mergeCell ref="CI32:CJ32"/>
    <mergeCell ref="CK33:CL33"/>
    <mergeCell ref="CM33:CN33"/>
    <mergeCell ref="CO33:CP33"/>
    <mergeCell ref="CQ33:CR33"/>
    <mergeCell ref="K34:S34"/>
    <mergeCell ref="AH34:AI34"/>
    <mergeCell ref="AJ34:AK34"/>
    <mergeCell ref="AL34:AM34"/>
    <mergeCell ref="AN34:AO34"/>
    <mergeCell ref="AP34:AQ34"/>
    <mergeCell ref="AR33:AS33"/>
    <mergeCell ref="AT33:AU33"/>
    <mergeCell ref="BH33:BP33"/>
    <mergeCell ref="CE33:CF33"/>
    <mergeCell ref="CG33:CH33"/>
    <mergeCell ref="CI33:CJ33"/>
    <mergeCell ref="CQ34:CR34"/>
    <mergeCell ref="C35:P36"/>
    <mergeCell ref="AZ35:BM36"/>
    <mergeCell ref="AR34:AS34"/>
    <mergeCell ref="AT34:AU34"/>
    <mergeCell ref="BH34:BP34"/>
    <mergeCell ref="CE34:CF34"/>
    <mergeCell ref="CG34:CH34"/>
    <mergeCell ref="CI34:CJ34"/>
    <mergeCell ref="A38:AD39"/>
    <mergeCell ref="AH38:AI38"/>
    <mergeCell ref="AX38:CA39"/>
    <mergeCell ref="CE38:CF38"/>
    <mergeCell ref="AH39:AI39"/>
    <mergeCell ref="CE39:CF39"/>
    <mergeCell ref="CK34:CL34"/>
    <mergeCell ref="CM34:CN34"/>
    <mergeCell ref="CO34:CP34"/>
    <mergeCell ref="A40:A46"/>
    <mergeCell ref="B40:B46"/>
    <mergeCell ref="C40:F40"/>
    <mergeCell ref="G40:J40"/>
    <mergeCell ref="K40:N40"/>
    <mergeCell ref="O40:R40"/>
    <mergeCell ref="Q42:R42"/>
    <mergeCell ref="M46:N46"/>
    <mergeCell ref="O46:P46"/>
    <mergeCell ref="Q46:R46"/>
    <mergeCell ref="AL40:AM40"/>
    <mergeCell ref="AN40:AO40"/>
    <mergeCell ref="AP40:AQ40"/>
    <mergeCell ref="AR40:AS40"/>
    <mergeCell ref="S40:V40"/>
    <mergeCell ref="W40:Z40"/>
    <mergeCell ref="AA40:AD40"/>
    <mergeCell ref="AE40:AE41"/>
    <mergeCell ref="AF40:AF46"/>
    <mergeCell ref="AG40:AG50"/>
    <mergeCell ref="S42:T42"/>
    <mergeCell ref="U42:V42"/>
    <mergeCell ref="W42:X42"/>
    <mergeCell ref="Y42:Z42"/>
    <mergeCell ref="CO40:CP40"/>
    <mergeCell ref="CQ40:CR40"/>
    <mergeCell ref="C41:F41"/>
    <mergeCell ref="G41:J41"/>
    <mergeCell ref="K41:N41"/>
    <mergeCell ref="O41:R41"/>
    <mergeCell ref="S41:V41"/>
    <mergeCell ref="W41:Z41"/>
    <mergeCell ref="AA41:AD41"/>
    <mergeCell ref="AH41:AI41"/>
    <mergeCell ref="CD40:CD50"/>
    <mergeCell ref="CE40:CF40"/>
    <mergeCell ref="CG40:CH40"/>
    <mergeCell ref="CI40:CJ40"/>
    <mergeCell ref="CK40:CL40"/>
    <mergeCell ref="CM40:CN40"/>
    <mergeCell ref="CE41:CF41"/>
    <mergeCell ref="CG41:CH41"/>
    <mergeCell ref="CI41:CJ41"/>
    <mergeCell ref="CK41:CL41"/>
    <mergeCell ref="BL40:BO40"/>
    <mergeCell ref="BP40:BS40"/>
    <mergeCell ref="BT40:BW40"/>
    <mergeCell ref="BX40:CA40"/>
    <mergeCell ref="CM41:CN41"/>
    <mergeCell ref="CO41:CP41"/>
    <mergeCell ref="CQ41:CR41"/>
    <mergeCell ref="C42:D42"/>
    <mergeCell ref="E42:F42"/>
    <mergeCell ref="G42:H42"/>
    <mergeCell ref="I42:J42"/>
    <mergeCell ref="K42:L42"/>
    <mergeCell ref="M42:N42"/>
    <mergeCell ref="O42:P42"/>
    <mergeCell ref="AJ41:AK41"/>
    <mergeCell ref="AL41:AM41"/>
    <mergeCell ref="AN41:AO41"/>
    <mergeCell ref="AP41:AQ41"/>
    <mergeCell ref="AR41:AS41"/>
    <mergeCell ref="AT41:AU41"/>
    <mergeCell ref="CB40:CB41"/>
    <mergeCell ref="CC40:CC46"/>
    <mergeCell ref="BL41:BO41"/>
    <mergeCell ref="BP41:BS41"/>
    <mergeCell ref="BT41:BW41"/>
    <mergeCell ref="BX41:CA41"/>
    <mergeCell ref="AT40:AU40"/>
    <mergeCell ref="AX40:AX46"/>
    <mergeCell ref="C46:D46"/>
    <mergeCell ref="E46:F46"/>
    <mergeCell ref="G46:H46"/>
    <mergeCell ref="I46:J46"/>
    <mergeCell ref="K46:L46"/>
    <mergeCell ref="BT42:BU42"/>
    <mergeCell ref="BV42:BW42"/>
    <mergeCell ref="BX42:BY42"/>
    <mergeCell ref="BZ42:CA42"/>
    <mergeCell ref="BH42:BI42"/>
    <mergeCell ref="BJ42:BK42"/>
    <mergeCell ref="BL42:BM42"/>
    <mergeCell ref="BN42:BO42"/>
    <mergeCell ref="BP42:BQ42"/>
    <mergeCell ref="BR42:BS42"/>
    <mergeCell ref="AP42:AQ42"/>
    <mergeCell ref="AR42:AS42"/>
    <mergeCell ref="AT42:AU42"/>
    <mergeCell ref="AZ42:BA42"/>
    <mergeCell ref="BB42:BC42"/>
    <mergeCell ref="BD42:BE42"/>
    <mergeCell ref="AA42:AB42"/>
    <mergeCell ref="AC42:AD42"/>
    <mergeCell ref="AH42:AI42"/>
    <mergeCell ref="W46:X46"/>
    <mergeCell ref="Y46:Z46"/>
    <mergeCell ref="AA46:AB46"/>
    <mergeCell ref="AC46:AD46"/>
    <mergeCell ref="CI42:CJ42"/>
    <mergeCell ref="CK42:CL42"/>
    <mergeCell ref="CM42:CN42"/>
    <mergeCell ref="CO42:CP42"/>
    <mergeCell ref="CQ42:CR42"/>
    <mergeCell ref="CE42:CF42"/>
    <mergeCell ref="CG42:CH42"/>
    <mergeCell ref="AJ42:AK42"/>
    <mergeCell ref="AL42:AM42"/>
    <mergeCell ref="AN42:AO42"/>
    <mergeCell ref="AY40:AY46"/>
    <mergeCell ref="AZ40:BC40"/>
    <mergeCell ref="BD40:BG40"/>
    <mergeCell ref="BH40:BK40"/>
    <mergeCell ref="AZ41:BC41"/>
    <mergeCell ref="BD41:BG41"/>
    <mergeCell ref="BH41:BK41"/>
    <mergeCell ref="BF42:BG42"/>
    <mergeCell ref="AH40:AI40"/>
    <mergeCell ref="AJ40:AK40"/>
    <mergeCell ref="BX46:BY46"/>
    <mergeCell ref="BZ46:CA46"/>
    <mergeCell ref="A52:A63"/>
    <mergeCell ref="AX52:AX63"/>
    <mergeCell ref="C64:F64"/>
    <mergeCell ref="G64:J64"/>
    <mergeCell ref="K64:N64"/>
    <mergeCell ref="O64:R64"/>
    <mergeCell ref="S64:V64"/>
    <mergeCell ref="W64:Z64"/>
    <mergeCell ref="BL46:BM46"/>
    <mergeCell ref="BN46:BO46"/>
    <mergeCell ref="BP46:BQ46"/>
    <mergeCell ref="BR46:BS46"/>
    <mergeCell ref="BT46:BU46"/>
    <mergeCell ref="BV46:BW46"/>
    <mergeCell ref="AZ46:BA46"/>
    <mergeCell ref="BB46:BC46"/>
    <mergeCell ref="BD46:BE46"/>
    <mergeCell ref="BF46:BG46"/>
    <mergeCell ref="BH46:BI46"/>
    <mergeCell ref="BJ46:BK46"/>
    <mergeCell ref="S46:T46"/>
    <mergeCell ref="U46:V46"/>
    <mergeCell ref="BD65:BG65"/>
    <mergeCell ref="BH65:BK65"/>
    <mergeCell ref="BL65:BO65"/>
    <mergeCell ref="BP65:BS65"/>
    <mergeCell ref="BT65:BW65"/>
    <mergeCell ref="BX65:CA65"/>
    <mergeCell ref="BT64:BW64"/>
    <mergeCell ref="BX64:CA64"/>
    <mergeCell ref="C65:F65"/>
    <mergeCell ref="G65:J65"/>
    <mergeCell ref="K65:N65"/>
    <mergeCell ref="O65:R65"/>
    <mergeCell ref="S65:V65"/>
    <mergeCell ref="W65:Z65"/>
    <mergeCell ref="AA65:AD65"/>
    <mergeCell ref="AZ65:BC65"/>
    <mergeCell ref="AA64:AD64"/>
    <mergeCell ref="AZ64:BC64"/>
    <mergeCell ref="BD64:BG64"/>
    <mergeCell ref="BH64:BK64"/>
    <mergeCell ref="BL64:BO64"/>
    <mergeCell ref="BP64:BS64"/>
    <mergeCell ref="S66:V66"/>
    <mergeCell ref="AA66:AD66"/>
    <mergeCell ref="BP66:BS66"/>
    <mergeCell ref="BX66:CA66"/>
    <mergeCell ref="K67:S68"/>
    <mergeCell ref="BH67:BP68"/>
    <mergeCell ref="AH68:AI68"/>
    <mergeCell ref="AJ68:AK68"/>
    <mergeCell ref="AL68:AM68"/>
    <mergeCell ref="AN68:AO68"/>
    <mergeCell ref="K69:S69"/>
    <mergeCell ref="AH69:AI69"/>
    <mergeCell ref="AJ69:AK69"/>
    <mergeCell ref="AL69:AM69"/>
    <mergeCell ref="AN69:AO69"/>
    <mergeCell ref="AP69:AQ69"/>
    <mergeCell ref="AP68:AQ68"/>
    <mergeCell ref="AR68:AS68"/>
    <mergeCell ref="AT68:AU68"/>
    <mergeCell ref="AT69:AU69"/>
    <mergeCell ref="BH69:BP69"/>
    <mergeCell ref="CE69:CF69"/>
    <mergeCell ref="CG69:CH69"/>
    <mergeCell ref="CI69:CJ69"/>
    <mergeCell ref="CK68:CL68"/>
    <mergeCell ref="CM68:CN68"/>
    <mergeCell ref="CO68:CP68"/>
    <mergeCell ref="CQ68:CR68"/>
    <mergeCell ref="CE68:CF68"/>
    <mergeCell ref="CG68:CH68"/>
    <mergeCell ref="CI68:CJ68"/>
    <mergeCell ref="O7:R7"/>
    <mergeCell ref="CK70:CL70"/>
    <mergeCell ref="CM70:CN70"/>
    <mergeCell ref="CO70:CP70"/>
    <mergeCell ref="CQ70:CR70"/>
    <mergeCell ref="C71:P72"/>
    <mergeCell ref="AZ71:BM72"/>
    <mergeCell ref="AR70:AS70"/>
    <mergeCell ref="AT70:AU70"/>
    <mergeCell ref="BH70:BP70"/>
    <mergeCell ref="CE70:CF70"/>
    <mergeCell ref="CG70:CH70"/>
    <mergeCell ref="CI70:CJ70"/>
    <mergeCell ref="CK69:CL69"/>
    <mergeCell ref="CM69:CN69"/>
    <mergeCell ref="CO69:CP69"/>
    <mergeCell ref="CQ69:CR69"/>
    <mergeCell ref="K70:S70"/>
    <mergeCell ref="AH70:AI70"/>
    <mergeCell ref="AJ70:AK70"/>
    <mergeCell ref="AL70:AM70"/>
    <mergeCell ref="AN70:AO70"/>
    <mergeCell ref="AP70:AQ70"/>
    <mergeCell ref="AR69:AS69"/>
  </mergeCells>
  <conditionalFormatting sqref="AE5">
    <cfRule type="cellIs" dxfId="10" priority="7" operator="lessThan">
      <formula>$AK$2</formula>
    </cfRule>
    <cfRule type="cellIs" dxfId="9" priority="8" operator="greaterThan">
      <formula>$AK$2</formula>
    </cfRule>
  </conditionalFormatting>
  <conditionalFormatting sqref="AE42">
    <cfRule type="cellIs" dxfId="8" priority="3" operator="lessThan">
      <formula>$AK$2</formula>
    </cfRule>
    <cfRule type="cellIs" dxfId="7" priority="4" operator="greaterThan">
      <formula>$AK$2</formula>
    </cfRule>
  </conditionalFormatting>
  <conditionalFormatting sqref="CB5">
    <cfRule type="cellIs" dxfId="6" priority="5" operator="lessThan">
      <formula>$AK$2</formula>
    </cfRule>
    <cfRule type="cellIs" dxfId="5" priority="6" operator="greaterThan">
      <formula>$AK$2</formula>
    </cfRule>
  </conditionalFormatting>
  <conditionalFormatting sqref="CB42">
    <cfRule type="cellIs" dxfId="4" priority="1" operator="lessThan">
      <formula>$AK$2</formula>
    </cfRule>
    <cfRule type="cellIs" dxfId="3" priority="2" operator="greaterThan">
      <formula>$AK$2</formula>
    </cfRule>
  </conditionalFormatting>
  <pageMargins left="0.7" right="0.7" top="0.78740157499999996" bottom="0.78740157499999996" header="0.3" footer="0.3"/>
  <pageSetup paperSize="9" scale="49" orientation="landscape" horizontalDpi="0" verticalDpi="0"/>
  <colBreaks count="1" manualBreakCount="1">
    <brk id="48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CB27-6781-AE41-9800-E9DEEDBA3AB2}">
  <dimension ref="A1"/>
  <sheetViews>
    <sheetView zoomScale="50" workbookViewId="0">
      <selection activeCell="K34" sqref="K34:S34"/>
    </sheetView>
  </sheetViews>
  <sheetFormatPr baseColWidth="10" defaultRowHeight="15"/>
  <sheetData/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409BC-1724-984C-80E9-1126F3D50ED6}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476F-4AA3-8D42-9625-5E27F5862C0E}">
  <dimension ref="A1"/>
  <sheetViews>
    <sheetView workbookViewId="0">
      <selection sqref="A1:CT72"/>
    </sheetView>
  </sheetViews>
  <sheetFormatPr baseColWidth="10" defaultRowHeight="15"/>
  <sheetData/>
  <pageMargins left="0.7" right="0.7" top="0.78740157499999996" bottom="0.78740157499999996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4094-F466-1143-9E9F-3B437C34EB97}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EF69"/>
  <sheetViews>
    <sheetView topLeftCell="A14" zoomScaleNormal="100" workbookViewId="0">
      <selection activeCell="A48" sqref="A48"/>
    </sheetView>
  </sheetViews>
  <sheetFormatPr baseColWidth="10" defaultColWidth="8.83203125" defaultRowHeight="15"/>
  <cols>
    <col min="1" max="1" width="11.33203125" customWidth="1"/>
    <col min="2" max="2" width="9.1640625" customWidth="1"/>
    <col min="3" max="4" width="17" customWidth="1"/>
    <col min="5" max="19" width="4.33203125" customWidth="1"/>
    <col min="20" max="22" width="6.1640625" customWidth="1"/>
    <col min="23" max="23" width="6.33203125" hidden="1" customWidth="1"/>
    <col min="24" max="24" width="6.1640625" customWidth="1"/>
    <col min="25" max="25" width="6.33203125" hidden="1" customWidth="1"/>
    <col min="26" max="26" width="6" customWidth="1"/>
    <col min="27" max="27" width="6.1640625" style="87" hidden="1" customWidth="1"/>
    <col min="28" max="28" width="8.1640625" customWidth="1"/>
    <col min="29" max="31" width="6.1640625" customWidth="1"/>
    <col min="32" max="32" width="6.33203125" hidden="1" customWidth="1"/>
    <col min="33" max="33" width="6.1640625" customWidth="1"/>
    <col min="34" max="34" width="6.1640625" hidden="1" customWidth="1"/>
    <col min="35" max="35" width="6" customWidth="1"/>
    <col min="36" max="36" width="6.1640625" style="87" hidden="1" customWidth="1"/>
    <col min="37" max="37" width="8.1640625" customWidth="1"/>
    <col min="38" max="40" width="6.1640625" customWidth="1"/>
    <col min="41" max="41" width="6.33203125" hidden="1" customWidth="1"/>
    <col min="42" max="42" width="6.1640625" customWidth="1"/>
    <col min="43" max="43" width="6.1640625" hidden="1" customWidth="1"/>
    <col min="44" max="44" width="6" customWidth="1"/>
    <col min="45" max="45" width="6.1640625" style="87" hidden="1" customWidth="1"/>
    <col min="46" max="46" width="8.1640625" customWidth="1"/>
    <col min="47" max="49" width="6.1640625" customWidth="1"/>
    <col min="50" max="50" width="6.1640625" hidden="1" customWidth="1"/>
    <col min="51" max="51" width="6.1640625" customWidth="1"/>
    <col min="52" max="52" width="6.1640625" hidden="1" customWidth="1"/>
    <col min="53" max="53" width="6" customWidth="1"/>
    <col min="54" max="54" width="6.1640625" style="87" hidden="1" customWidth="1"/>
    <col min="55" max="55" width="8.1640625" customWidth="1"/>
    <col min="56" max="58" width="6.1640625" customWidth="1"/>
    <col min="59" max="59" width="6.1640625" hidden="1" customWidth="1"/>
    <col min="60" max="60" width="6.1640625" customWidth="1"/>
    <col min="61" max="61" width="6.1640625" hidden="1" customWidth="1"/>
    <col min="62" max="62" width="6" customWidth="1"/>
    <col min="63" max="63" width="6.1640625" style="87" hidden="1" customWidth="1"/>
    <col min="64" max="64" width="8.1640625" customWidth="1"/>
    <col min="65" max="67" width="6.1640625" customWidth="1"/>
    <col min="68" max="68" width="6.1640625" hidden="1" customWidth="1"/>
    <col min="69" max="69" width="6.1640625" customWidth="1"/>
    <col min="70" max="70" width="6.1640625" hidden="1" customWidth="1"/>
    <col min="71" max="71" width="6" customWidth="1"/>
    <col min="72" max="72" width="6.1640625" style="87" hidden="1" customWidth="1"/>
    <col min="73" max="73" width="8.1640625" customWidth="1"/>
    <col min="74" max="76" width="6.1640625" customWidth="1"/>
    <col min="77" max="77" width="6.1640625" hidden="1" customWidth="1"/>
    <col min="78" max="78" width="6.1640625" customWidth="1"/>
    <col min="79" max="79" width="6.1640625" hidden="1" customWidth="1"/>
    <col min="80" max="80" width="6" customWidth="1"/>
    <col min="81" max="81" width="6.1640625" style="87" hidden="1" customWidth="1"/>
    <col min="82" max="82" width="8.1640625" customWidth="1"/>
    <col min="83" max="85" width="6.1640625" customWidth="1"/>
    <col min="86" max="86" width="6.1640625" hidden="1" customWidth="1"/>
    <col min="87" max="87" width="6.1640625" customWidth="1"/>
    <col min="88" max="88" width="6.1640625" hidden="1" customWidth="1"/>
    <col min="89" max="89" width="6" customWidth="1"/>
    <col min="90" max="90" width="6.1640625" style="87" hidden="1" customWidth="1"/>
    <col min="91" max="91" width="8.1640625" customWidth="1"/>
    <col min="92" max="94" width="6.1640625" customWidth="1"/>
    <col min="95" max="95" width="6.1640625" hidden="1" customWidth="1"/>
    <col min="96" max="96" width="6.1640625" customWidth="1"/>
    <col min="97" max="97" width="6.1640625" hidden="1" customWidth="1"/>
    <col min="98" max="98" width="6" customWidth="1"/>
    <col min="99" max="99" width="6.1640625" style="87" hidden="1" customWidth="1"/>
    <col min="100" max="100" width="8.1640625" customWidth="1"/>
    <col min="101" max="103" width="6.1640625" customWidth="1"/>
    <col min="104" max="104" width="6.1640625" hidden="1" customWidth="1"/>
    <col min="105" max="105" width="6.1640625" customWidth="1"/>
    <col min="106" max="106" width="6.1640625" hidden="1" customWidth="1"/>
    <col min="107" max="107" width="6" customWidth="1"/>
    <col min="108" max="108" width="6.1640625" style="87" hidden="1" customWidth="1"/>
    <col min="109" max="109" width="8.1640625" customWidth="1"/>
    <col min="110" max="112" width="6.1640625" customWidth="1"/>
    <col min="113" max="113" width="6.1640625" hidden="1" customWidth="1"/>
    <col min="114" max="114" width="6.1640625" customWidth="1"/>
    <col min="115" max="115" width="6.1640625" hidden="1" customWidth="1"/>
    <col min="116" max="116" width="6" customWidth="1"/>
    <col min="117" max="117" width="6.1640625" style="87" hidden="1" customWidth="1"/>
    <col min="118" max="118" width="8.1640625" customWidth="1"/>
    <col min="119" max="121" width="6.1640625" customWidth="1"/>
    <col min="122" max="122" width="6.1640625" hidden="1" customWidth="1"/>
    <col min="123" max="123" width="6.1640625" customWidth="1"/>
    <col min="124" max="124" width="6.1640625" hidden="1" customWidth="1"/>
    <col min="125" max="125" width="6" customWidth="1"/>
    <col min="126" max="126" width="6.1640625" style="87" hidden="1" customWidth="1"/>
    <col min="127" max="127" width="8.1640625" customWidth="1"/>
    <col min="128" max="132" width="6.1640625" customWidth="1"/>
    <col min="133" max="133" width="12.1640625" customWidth="1"/>
    <col min="134" max="1025" width="11.33203125" customWidth="1"/>
  </cols>
  <sheetData>
    <row r="1" spans="1:136">
      <c r="A1" s="370"/>
      <c r="B1" s="370"/>
      <c r="C1" s="370"/>
      <c r="D1" s="370"/>
      <c r="E1" s="371"/>
      <c r="F1" s="371"/>
      <c r="G1" s="371"/>
      <c r="H1" s="371"/>
      <c r="I1" s="371"/>
      <c r="J1" s="371"/>
      <c r="K1" s="371"/>
      <c r="L1" s="371"/>
      <c r="M1" s="371"/>
      <c r="N1" s="371"/>
      <c r="O1" s="371"/>
      <c r="P1" s="371"/>
      <c r="Q1" s="371"/>
      <c r="R1" s="371"/>
      <c r="S1" s="371"/>
      <c r="T1" s="371"/>
      <c r="U1" s="371"/>
      <c r="V1" s="371"/>
      <c r="W1" s="371"/>
      <c r="X1" s="371"/>
      <c r="Y1" s="37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  <c r="AL1" s="371"/>
      <c r="AM1" s="371"/>
      <c r="AN1" s="371"/>
      <c r="AO1" s="371"/>
      <c r="AP1" s="371"/>
      <c r="AQ1" s="371"/>
      <c r="AR1" s="371"/>
      <c r="AS1" s="371"/>
      <c r="AT1" s="371"/>
      <c r="AU1" s="371"/>
      <c r="AV1" s="371"/>
      <c r="AW1" s="371"/>
      <c r="AX1" s="371"/>
      <c r="AY1" s="371"/>
      <c r="AZ1" s="371"/>
      <c r="BA1" s="371"/>
      <c r="BB1" s="371"/>
      <c r="BC1" s="371"/>
      <c r="BD1" s="371"/>
      <c r="BE1" s="371"/>
      <c r="BF1" s="371"/>
      <c r="BG1" s="371"/>
      <c r="BH1" s="371"/>
      <c r="BI1" s="371"/>
      <c r="BJ1" s="371"/>
      <c r="BK1" s="371"/>
      <c r="BL1" s="371"/>
      <c r="BM1" s="371"/>
      <c r="BN1" s="371"/>
      <c r="BO1" s="371"/>
      <c r="BP1" s="371"/>
      <c r="BQ1" s="371"/>
      <c r="BR1" s="371"/>
      <c r="BS1" s="371"/>
      <c r="BT1" s="371"/>
      <c r="BU1" s="371"/>
      <c r="BV1" s="371"/>
      <c r="BW1" s="371"/>
      <c r="BX1" s="371"/>
      <c r="BY1" s="371"/>
      <c r="BZ1" s="371"/>
      <c r="CA1" s="371"/>
      <c r="CB1" s="371"/>
      <c r="CC1" s="371"/>
      <c r="CD1" s="371"/>
      <c r="CE1" s="371"/>
      <c r="CF1" s="371"/>
      <c r="CG1" s="371"/>
      <c r="CH1" s="371"/>
      <c r="CI1" s="371"/>
      <c r="CJ1" s="371"/>
      <c r="CK1" s="371"/>
      <c r="CL1" s="371"/>
      <c r="CM1" s="371"/>
      <c r="CN1" s="371"/>
      <c r="CO1" s="371"/>
      <c r="CP1" s="371"/>
      <c r="CQ1" s="371"/>
      <c r="CR1" s="371"/>
      <c r="CS1" s="371"/>
      <c r="CT1" s="371"/>
      <c r="CU1" s="371"/>
      <c r="CV1" s="371"/>
      <c r="CW1" s="371"/>
      <c r="CX1" s="371"/>
      <c r="CY1" s="371"/>
      <c r="CZ1" s="371"/>
      <c r="DA1" s="371"/>
      <c r="DB1" s="371"/>
      <c r="DC1" s="371"/>
      <c r="DD1" s="371"/>
      <c r="DE1" s="371"/>
      <c r="DF1" s="371"/>
      <c r="DG1" s="371"/>
      <c r="DH1" s="371"/>
      <c r="DI1" s="371"/>
      <c r="DJ1" s="371"/>
      <c r="DK1" s="371"/>
      <c r="DL1" s="371"/>
      <c r="DM1" s="371"/>
      <c r="DN1" s="371"/>
      <c r="DO1" s="371"/>
      <c r="DP1" s="371"/>
      <c r="DQ1" s="371"/>
      <c r="DR1" s="371"/>
      <c r="DS1" s="371"/>
      <c r="DT1" s="371"/>
      <c r="DU1" s="371"/>
      <c r="DV1" s="371"/>
      <c r="DW1" s="371"/>
      <c r="DX1" s="371"/>
      <c r="DY1" s="371"/>
      <c r="DZ1" s="371"/>
      <c r="EA1" s="371"/>
      <c r="EB1" s="371"/>
      <c r="EC1" s="371"/>
      <c r="ED1" s="1"/>
      <c r="EE1" s="1"/>
      <c r="EF1" s="1"/>
    </row>
    <row r="2" spans="1:136" ht="16">
      <c r="A2" s="372" t="s">
        <v>282</v>
      </c>
      <c r="B2" s="372"/>
      <c r="C2" s="372"/>
      <c r="D2" s="372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371"/>
      <c r="AJ2" s="371"/>
      <c r="AK2" s="371"/>
      <c r="AL2" s="371"/>
      <c r="AM2" s="371"/>
      <c r="AN2" s="371"/>
      <c r="AO2" s="371"/>
      <c r="AP2" s="371"/>
      <c r="AQ2" s="371"/>
      <c r="AR2" s="371"/>
      <c r="AS2" s="371"/>
      <c r="AT2" s="371"/>
      <c r="AU2" s="371"/>
      <c r="AV2" s="371"/>
      <c r="AW2" s="371"/>
      <c r="AX2" s="371"/>
      <c r="AY2" s="371"/>
      <c r="AZ2" s="371"/>
      <c r="BA2" s="371"/>
      <c r="BB2" s="371"/>
      <c r="BC2" s="371"/>
      <c r="BD2" s="371"/>
      <c r="BE2" s="371"/>
      <c r="BF2" s="371"/>
      <c r="BG2" s="371"/>
      <c r="BH2" s="371"/>
      <c r="BI2" s="371"/>
      <c r="BJ2" s="371"/>
      <c r="BK2" s="371"/>
      <c r="BL2" s="371"/>
      <c r="BM2" s="371"/>
      <c r="BN2" s="371"/>
      <c r="BO2" s="371"/>
      <c r="BP2" s="371"/>
      <c r="BQ2" s="371"/>
      <c r="BR2" s="371"/>
      <c r="BS2" s="371"/>
      <c r="BT2" s="371"/>
      <c r="BU2" s="371"/>
      <c r="BV2" s="371"/>
      <c r="BW2" s="371"/>
      <c r="BX2" s="371"/>
      <c r="BY2" s="371"/>
      <c r="BZ2" s="371"/>
      <c r="CA2" s="371"/>
      <c r="CB2" s="371"/>
      <c r="CC2" s="371"/>
      <c r="CD2" s="371"/>
      <c r="CE2" s="371"/>
      <c r="CF2" s="371"/>
      <c r="CG2" s="371"/>
      <c r="CH2" s="371"/>
      <c r="CI2" s="371"/>
      <c r="CJ2" s="371"/>
      <c r="CK2" s="371"/>
      <c r="CL2" s="371"/>
      <c r="CM2" s="371"/>
      <c r="CN2" s="371"/>
      <c r="CO2" s="371"/>
      <c r="CP2" s="371"/>
      <c r="CQ2" s="371"/>
      <c r="CR2" s="371"/>
      <c r="CS2" s="371"/>
      <c r="CT2" s="371"/>
      <c r="CU2" s="371"/>
      <c r="CV2" s="371"/>
      <c r="CW2" s="371"/>
      <c r="CX2" s="371"/>
      <c r="CY2" s="371"/>
      <c r="CZ2" s="371"/>
      <c r="DA2" s="371"/>
      <c r="DB2" s="371"/>
      <c r="DC2" s="371"/>
      <c r="DD2" s="371"/>
      <c r="DE2" s="371"/>
      <c r="DF2" s="371"/>
      <c r="DG2" s="371"/>
      <c r="DH2" s="371"/>
      <c r="DI2" s="371"/>
      <c r="DJ2" s="371"/>
      <c r="DK2" s="371"/>
      <c r="DL2" s="371"/>
      <c r="DM2" s="371"/>
      <c r="DN2" s="371"/>
      <c r="DO2" s="371"/>
      <c r="DP2" s="371"/>
      <c r="DQ2" s="371"/>
      <c r="DR2" s="371"/>
      <c r="DS2" s="371"/>
      <c r="DT2" s="371"/>
      <c r="DU2" s="371"/>
      <c r="DV2" s="371"/>
      <c r="DW2" s="371"/>
      <c r="DX2" s="371"/>
      <c r="DY2" s="371"/>
      <c r="DZ2" s="371"/>
      <c r="EA2" s="371"/>
      <c r="EB2" s="371"/>
      <c r="EC2" s="371"/>
      <c r="ED2" s="1"/>
      <c r="EE2" s="1"/>
      <c r="EF2" s="1"/>
    </row>
    <row r="3" spans="1:136">
      <c r="A3" s="373" t="s">
        <v>283</v>
      </c>
      <c r="B3" s="373"/>
      <c r="C3" s="373"/>
      <c r="D3" s="88">
        <f>SUM(A12:A47)</f>
        <v>29</v>
      </c>
      <c r="E3" s="371"/>
      <c r="F3" s="371"/>
      <c r="G3" s="371"/>
      <c r="H3" s="371"/>
      <c r="I3" s="371"/>
      <c r="J3" s="371"/>
      <c r="K3" s="371"/>
      <c r="L3" s="371"/>
      <c r="M3" s="371"/>
      <c r="N3" s="371"/>
      <c r="O3" s="371"/>
      <c r="P3" s="371"/>
      <c r="Q3" s="371"/>
      <c r="R3" s="371"/>
      <c r="S3" s="371"/>
      <c r="T3" s="371"/>
      <c r="U3" s="371"/>
      <c r="V3" s="371"/>
      <c r="W3" s="371"/>
      <c r="X3" s="371"/>
      <c r="Y3" s="371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  <c r="AN3" s="371"/>
      <c r="AO3" s="371"/>
      <c r="AP3" s="371"/>
      <c r="AQ3" s="371"/>
      <c r="AR3" s="371"/>
      <c r="AS3" s="371"/>
      <c r="AT3" s="371"/>
      <c r="AU3" s="371"/>
      <c r="AV3" s="371"/>
      <c r="AW3" s="371"/>
      <c r="AX3" s="371"/>
      <c r="AY3" s="371"/>
      <c r="AZ3" s="371"/>
      <c r="BA3" s="371"/>
      <c r="BB3" s="371"/>
      <c r="BC3" s="371"/>
      <c r="BD3" s="371"/>
      <c r="BE3" s="371"/>
      <c r="BF3" s="371"/>
      <c r="BG3" s="371"/>
      <c r="BH3" s="371"/>
      <c r="BI3" s="371"/>
      <c r="BJ3" s="371"/>
      <c r="BK3" s="371"/>
      <c r="BL3" s="371"/>
      <c r="BM3" s="371"/>
      <c r="BN3" s="371"/>
      <c r="BO3" s="371"/>
      <c r="BP3" s="371"/>
      <c r="BQ3" s="371"/>
      <c r="BR3" s="371"/>
      <c r="BS3" s="371"/>
      <c r="BT3" s="371"/>
      <c r="BU3" s="371"/>
      <c r="BV3" s="371"/>
      <c r="BW3" s="371"/>
      <c r="BX3" s="371"/>
      <c r="BY3" s="371"/>
      <c r="BZ3" s="371"/>
      <c r="CA3" s="371"/>
      <c r="CB3" s="371"/>
      <c r="CC3" s="371"/>
      <c r="CD3" s="371"/>
      <c r="CE3" s="371"/>
      <c r="CF3" s="371"/>
      <c r="CG3" s="371"/>
      <c r="CH3" s="371"/>
      <c r="CI3" s="371"/>
      <c r="CJ3" s="371"/>
      <c r="CK3" s="371"/>
      <c r="CL3" s="371"/>
      <c r="CM3" s="371"/>
      <c r="CN3" s="371"/>
      <c r="CO3" s="371"/>
      <c r="CP3" s="371"/>
      <c r="CQ3" s="371"/>
      <c r="CR3" s="371"/>
      <c r="CS3" s="371"/>
      <c r="CT3" s="371"/>
      <c r="CU3" s="371"/>
      <c r="CV3" s="371"/>
      <c r="CW3" s="371"/>
      <c r="CX3" s="371"/>
      <c r="CY3" s="371"/>
      <c r="CZ3" s="371"/>
      <c r="DA3" s="371"/>
      <c r="DB3" s="371"/>
      <c r="DC3" s="371"/>
      <c r="DD3" s="371"/>
      <c r="DE3" s="371"/>
      <c r="DF3" s="371"/>
      <c r="DG3" s="371"/>
      <c r="DH3" s="371"/>
      <c r="DI3" s="371"/>
      <c r="DJ3" s="371"/>
      <c r="DK3" s="371"/>
      <c r="DL3" s="371"/>
      <c r="DM3" s="371"/>
      <c r="DN3" s="371"/>
      <c r="DO3" s="371"/>
      <c r="DP3" s="371"/>
      <c r="DQ3" s="371"/>
      <c r="DR3" s="371"/>
      <c r="DS3" s="371"/>
      <c r="DT3" s="371"/>
      <c r="DU3" s="371"/>
      <c r="DV3" s="371"/>
      <c r="DW3" s="371"/>
      <c r="DX3" s="371"/>
      <c r="DY3" s="371"/>
      <c r="DZ3" s="371"/>
      <c r="EA3" s="371"/>
      <c r="EB3" s="371"/>
      <c r="EC3" s="371"/>
      <c r="ED3" s="1"/>
      <c r="EE3" s="1"/>
      <c r="EF3" s="1"/>
    </row>
    <row r="4" spans="1:136" ht="16">
      <c r="A4" s="374" t="s">
        <v>0</v>
      </c>
      <c r="B4" s="374"/>
      <c r="C4" s="374"/>
      <c r="D4" s="374"/>
      <c r="E4" s="375" t="e">
        <f>#REF!</f>
        <v>#REF!</v>
      </c>
      <c r="F4" s="375"/>
      <c r="G4" s="375"/>
      <c r="H4" s="375"/>
      <c r="I4" s="375"/>
      <c r="J4" s="375"/>
      <c r="K4" s="375"/>
      <c r="L4" s="89"/>
      <c r="M4" s="89"/>
      <c r="N4" s="89"/>
      <c r="O4" s="89"/>
      <c r="P4" s="89"/>
      <c r="Q4" s="89"/>
      <c r="R4" s="89"/>
      <c r="S4" s="90"/>
      <c r="T4" s="91"/>
      <c r="U4" s="91"/>
      <c r="V4" s="91"/>
      <c r="W4" s="91"/>
      <c r="X4" s="91"/>
      <c r="Y4" s="91"/>
      <c r="Z4" s="91"/>
      <c r="AA4" s="92"/>
      <c r="AB4" s="91"/>
      <c r="AC4" s="91"/>
      <c r="AD4" s="91"/>
      <c r="AE4" s="91"/>
      <c r="AF4" s="91"/>
      <c r="AG4" s="91"/>
      <c r="AH4" s="91"/>
      <c r="AI4" s="91"/>
      <c r="AJ4" s="92"/>
      <c r="AK4" s="91"/>
      <c r="AL4" s="91"/>
      <c r="AM4" s="91"/>
      <c r="AN4" s="91"/>
      <c r="AO4" s="91"/>
      <c r="AP4" s="91"/>
      <c r="AQ4" s="91"/>
      <c r="AR4" s="91"/>
      <c r="AS4" s="92"/>
      <c r="AT4" s="91"/>
      <c r="AU4" s="91"/>
      <c r="AV4" s="91"/>
      <c r="AW4" s="91"/>
      <c r="AX4" s="91"/>
      <c r="AY4" s="91"/>
      <c r="AZ4" s="91"/>
      <c r="BA4" s="91"/>
      <c r="BB4" s="92"/>
      <c r="BC4" s="91"/>
      <c r="BD4" s="91"/>
      <c r="BE4" s="91"/>
      <c r="BF4" s="91"/>
      <c r="BG4" s="91"/>
      <c r="BH4" s="91"/>
      <c r="BI4" s="91"/>
      <c r="BJ4" s="91"/>
      <c r="BK4" s="92"/>
      <c r="BL4" s="91"/>
      <c r="BM4" s="91"/>
      <c r="BN4" s="91"/>
      <c r="BO4" s="91"/>
      <c r="BP4" s="91"/>
      <c r="BQ4" s="91"/>
      <c r="BR4" s="91"/>
      <c r="BS4" s="91"/>
      <c r="BT4" s="92"/>
      <c r="BU4" s="91"/>
      <c r="BV4" s="91"/>
      <c r="BW4" s="91"/>
      <c r="BX4" s="91"/>
      <c r="BY4" s="91"/>
      <c r="BZ4" s="91"/>
      <c r="CA4" s="91"/>
      <c r="CB4" s="91"/>
      <c r="CC4" s="92"/>
      <c r="CD4" s="91"/>
      <c r="CE4" s="91"/>
      <c r="CF4" s="91"/>
      <c r="CG4" s="91"/>
      <c r="CH4" s="91"/>
      <c r="CI4" s="91"/>
      <c r="CJ4" s="91"/>
      <c r="CK4" s="91"/>
      <c r="CL4" s="92"/>
      <c r="CM4" s="91"/>
      <c r="CN4" s="91"/>
      <c r="CO4" s="91"/>
      <c r="CP4" s="91"/>
      <c r="CQ4" s="91"/>
      <c r="CR4" s="91"/>
      <c r="CS4" s="91"/>
      <c r="CT4" s="91"/>
      <c r="CU4" s="92"/>
      <c r="CV4" s="91"/>
      <c r="CW4" s="91"/>
      <c r="CX4" s="91"/>
      <c r="CY4" s="91"/>
      <c r="CZ4" s="91"/>
      <c r="DA4" s="91"/>
      <c r="DB4" s="91"/>
      <c r="DC4" s="91"/>
      <c r="DD4" s="92"/>
      <c r="DE4" s="91"/>
      <c r="DF4" s="91"/>
      <c r="DG4" s="91"/>
      <c r="DH4" s="91"/>
      <c r="DI4" s="91"/>
      <c r="DJ4" s="91"/>
      <c r="DK4" s="91"/>
      <c r="DL4" s="91"/>
      <c r="DM4" s="92"/>
      <c r="DN4" s="91"/>
      <c r="DO4" s="91"/>
      <c r="DP4" s="91"/>
      <c r="DQ4" s="91"/>
      <c r="DR4" s="91"/>
      <c r="DS4" s="91"/>
      <c r="DT4" s="91"/>
      <c r="DU4" s="91"/>
      <c r="DV4" s="92"/>
      <c r="DW4" s="91"/>
      <c r="DX4" s="93"/>
      <c r="DY4" s="93"/>
      <c r="DZ4" s="93"/>
      <c r="EA4" s="93"/>
      <c r="EB4" s="93"/>
      <c r="EC4" s="93"/>
      <c r="ED4" s="1"/>
      <c r="EE4" s="1"/>
      <c r="EF4" s="1"/>
    </row>
    <row r="5" spans="1:136" ht="16">
      <c r="A5" s="374" t="s">
        <v>284</v>
      </c>
      <c r="B5" s="374"/>
      <c r="C5" s="374"/>
      <c r="D5" s="374"/>
      <c r="E5" s="376"/>
      <c r="F5" s="376"/>
      <c r="G5" s="376"/>
      <c r="H5" s="376"/>
      <c r="I5" s="376"/>
      <c r="J5" s="376"/>
      <c r="K5" s="376"/>
      <c r="L5" s="376"/>
      <c r="M5" s="376"/>
      <c r="N5" s="376"/>
      <c r="O5" s="376"/>
      <c r="P5" s="376"/>
      <c r="Q5" s="376"/>
      <c r="R5" s="376"/>
      <c r="S5" s="376"/>
      <c r="T5" s="94">
        <f>T48</f>
        <v>160.22999999999999</v>
      </c>
      <c r="U5" s="94">
        <f>U48</f>
        <v>8.4</v>
      </c>
      <c r="V5" s="94">
        <f>V48</f>
        <v>5</v>
      </c>
      <c r="W5" s="94"/>
      <c r="X5" s="94">
        <f>X48</f>
        <v>1</v>
      </c>
      <c r="Y5" s="94"/>
      <c r="Z5" s="94">
        <f>Z48</f>
        <v>0</v>
      </c>
      <c r="AA5" s="94"/>
      <c r="AB5" s="94">
        <f>AB48</f>
        <v>219.03</v>
      </c>
      <c r="AC5" s="94">
        <f>AC48</f>
        <v>0</v>
      </c>
      <c r="AD5" s="94">
        <f>AD48</f>
        <v>0</v>
      </c>
      <c r="AE5" s="94">
        <f>AE48</f>
        <v>0</v>
      </c>
      <c r="AF5" s="94"/>
      <c r="AG5" s="94">
        <f>AG48</f>
        <v>0</v>
      </c>
      <c r="AH5" s="94"/>
      <c r="AI5" s="94">
        <f>AI48</f>
        <v>0</v>
      </c>
      <c r="AJ5" s="94"/>
      <c r="AK5" s="94">
        <f>AK48</f>
        <v>219.03</v>
      </c>
      <c r="AL5" s="94">
        <f>AL48</f>
        <v>0</v>
      </c>
      <c r="AM5" s="94">
        <f>AM48</f>
        <v>0</v>
      </c>
      <c r="AN5" s="94">
        <f>AN48</f>
        <v>0</v>
      </c>
      <c r="AO5" s="94"/>
      <c r="AP5" s="94">
        <f>AP48</f>
        <v>0</v>
      </c>
      <c r="AQ5" s="94"/>
      <c r="AR5" s="94">
        <f>AR48</f>
        <v>0</v>
      </c>
      <c r="AS5" s="94"/>
      <c r="AT5" s="94">
        <f>AT48</f>
        <v>219.03</v>
      </c>
      <c r="AU5" s="94">
        <f>AU48</f>
        <v>0</v>
      </c>
      <c r="AV5" s="94">
        <f>AV48</f>
        <v>0</v>
      </c>
      <c r="AW5" s="94">
        <f>AW48</f>
        <v>0</v>
      </c>
      <c r="AX5" s="94"/>
      <c r="AY5" s="94">
        <f>AY48</f>
        <v>0</v>
      </c>
      <c r="AZ5" s="94"/>
      <c r="BA5" s="94">
        <f>BA48</f>
        <v>0</v>
      </c>
      <c r="BB5" s="94"/>
      <c r="BC5" s="94">
        <f>BC48</f>
        <v>219.03</v>
      </c>
      <c r="BD5" s="94">
        <f>BD48</f>
        <v>0</v>
      </c>
      <c r="BE5" s="94">
        <f>BE48</f>
        <v>0</v>
      </c>
      <c r="BF5" s="94">
        <f>BF48</f>
        <v>0</v>
      </c>
      <c r="BG5" s="94"/>
      <c r="BH5" s="94">
        <f>BH48</f>
        <v>0</v>
      </c>
      <c r="BI5" s="94"/>
      <c r="BJ5" s="94">
        <f>BJ48</f>
        <v>0</v>
      </c>
      <c r="BK5" s="94"/>
      <c r="BL5" s="94">
        <f>BL48</f>
        <v>219.03</v>
      </c>
      <c r="BM5" s="94">
        <f>BM48</f>
        <v>0</v>
      </c>
      <c r="BN5" s="94">
        <f>BN48</f>
        <v>0</v>
      </c>
      <c r="BO5" s="94">
        <f>BO48</f>
        <v>0</v>
      </c>
      <c r="BP5" s="94"/>
      <c r="BQ5" s="94">
        <f>BQ48</f>
        <v>0</v>
      </c>
      <c r="BR5" s="94"/>
      <c r="BS5" s="94">
        <f>BS48</f>
        <v>0</v>
      </c>
      <c r="BT5" s="94"/>
      <c r="BU5" s="94">
        <f>BU48</f>
        <v>219.03</v>
      </c>
      <c r="BV5" s="94">
        <f>BV48</f>
        <v>0</v>
      </c>
      <c r="BW5" s="94">
        <f>BW48</f>
        <v>0</v>
      </c>
      <c r="BX5" s="94">
        <f>BX48</f>
        <v>0</v>
      </c>
      <c r="BY5" s="94"/>
      <c r="BZ5" s="94">
        <f>BZ48</f>
        <v>0</v>
      </c>
      <c r="CA5" s="94"/>
      <c r="CB5" s="94">
        <f>CB48</f>
        <v>0</v>
      </c>
      <c r="CC5" s="94"/>
      <c r="CD5" s="94">
        <f>CD48</f>
        <v>219.03</v>
      </c>
      <c r="CE5" s="94">
        <f>CE48</f>
        <v>0</v>
      </c>
      <c r="CF5" s="94">
        <f>CF48</f>
        <v>0</v>
      </c>
      <c r="CG5" s="94">
        <f>CG48</f>
        <v>0</v>
      </c>
      <c r="CH5" s="94"/>
      <c r="CI5" s="94">
        <f>CI48</f>
        <v>0</v>
      </c>
      <c r="CJ5" s="94"/>
      <c r="CK5" s="94">
        <f>CK48</f>
        <v>0</v>
      </c>
      <c r="CL5" s="94"/>
      <c r="CM5" s="94">
        <f>CM48</f>
        <v>379.26</v>
      </c>
      <c r="CN5" s="94">
        <f>CN48</f>
        <v>0</v>
      </c>
      <c r="CO5" s="94">
        <f>CO48</f>
        <v>0</v>
      </c>
      <c r="CP5" s="94">
        <f>CP48</f>
        <v>0</v>
      </c>
      <c r="CQ5" s="94"/>
      <c r="CR5" s="94">
        <f>CR48</f>
        <v>0</v>
      </c>
      <c r="CS5" s="94"/>
      <c r="CT5" s="94">
        <f>CT48</f>
        <v>0</v>
      </c>
      <c r="CU5" s="94"/>
      <c r="CV5" s="94">
        <f>CV48</f>
        <v>379.26</v>
      </c>
      <c r="CW5" s="94">
        <f>CW48</f>
        <v>0</v>
      </c>
      <c r="CX5" s="94">
        <f>CX48</f>
        <v>0</v>
      </c>
      <c r="CY5" s="94">
        <f>CY48</f>
        <v>0</v>
      </c>
      <c r="CZ5" s="94"/>
      <c r="DA5" s="94">
        <f>DA48</f>
        <v>0</v>
      </c>
      <c r="DB5" s="94"/>
      <c r="DC5" s="94">
        <f>DC48</f>
        <v>0</v>
      </c>
      <c r="DD5" s="94"/>
      <c r="DE5" s="94">
        <f>DE48</f>
        <v>379.26</v>
      </c>
      <c r="DF5" s="94">
        <f>DF48</f>
        <v>0</v>
      </c>
      <c r="DG5" s="94">
        <f>DG48</f>
        <v>0</v>
      </c>
      <c r="DH5" s="94">
        <f>DH48</f>
        <v>0</v>
      </c>
      <c r="DI5" s="94"/>
      <c r="DJ5" s="94">
        <f>DJ48</f>
        <v>0</v>
      </c>
      <c r="DK5" s="94"/>
      <c r="DL5" s="94">
        <f>DL48</f>
        <v>0</v>
      </c>
      <c r="DM5" s="94"/>
      <c r="DN5" s="94">
        <f>DN48</f>
        <v>379.26</v>
      </c>
      <c r="DO5" s="94">
        <f>DO48</f>
        <v>0</v>
      </c>
      <c r="DP5" s="94">
        <f>DP48</f>
        <v>0</v>
      </c>
      <c r="DQ5" s="94">
        <f>DQ48</f>
        <v>0</v>
      </c>
      <c r="DR5" s="94"/>
      <c r="DS5" s="94">
        <f>DS48</f>
        <v>0</v>
      </c>
      <c r="DT5" s="94"/>
      <c r="DU5" s="94">
        <f>DU48</f>
        <v>0</v>
      </c>
      <c r="DV5" s="94"/>
      <c r="DW5" s="94">
        <f>DW48</f>
        <v>379.26</v>
      </c>
      <c r="DX5" s="93"/>
      <c r="DY5" s="93"/>
      <c r="DZ5" s="93"/>
      <c r="EA5" s="93"/>
      <c r="EB5" s="93"/>
      <c r="EC5" s="93"/>
      <c r="ED5" s="1"/>
      <c r="EE5" s="1"/>
      <c r="EF5" s="1"/>
    </row>
    <row r="6" spans="1:136" ht="16">
      <c r="A6" s="377"/>
      <c r="B6" s="377"/>
      <c r="C6" s="377"/>
      <c r="D6" s="377"/>
      <c r="E6" s="95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7"/>
      <c r="T6" s="98"/>
      <c r="U6" s="98"/>
      <c r="V6" s="98"/>
      <c r="W6" s="98"/>
      <c r="X6" s="98"/>
      <c r="Y6" s="98"/>
      <c r="Z6" s="98"/>
      <c r="AA6" s="99"/>
      <c r="AB6" s="98"/>
      <c r="AC6" s="98"/>
      <c r="AD6" s="98"/>
      <c r="AE6" s="98"/>
      <c r="AF6" s="98"/>
      <c r="AG6" s="98"/>
      <c r="AH6" s="98"/>
      <c r="AI6" s="98"/>
      <c r="AJ6" s="99"/>
      <c r="AK6" s="98"/>
      <c r="AL6" s="98"/>
      <c r="AM6" s="98"/>
      <c r="AN6" s="98"/>
      <c r="AO6" s="98"/>
      <c r="AP6" s="98"/>
      <c r="AQ6" s="98"/>
      <c r="AR6" s="98"/>
      <c r="AS6" s="99"/>
      <c r="AT6" s="98"/>
      <c r="AU6" s="98"/>
      <c r="AV6" s="98"/>
      <c r="AW6" s="98"/>
      <c r="AX6" s="98"/>
      <c r="AY6" s="98"/>
      <c r="AZ6" s="98"/>
      <c r="BA6" s="98"/>
      <c r="BB6" s="99"/>
      <c r="BC6" s="98"/>
      <c r="BD6" s="98"/>
      <c r="BE6" s="98"/>
      <c r="BF6" s="98"/>
      <c r="BG6" s="98"/>
      <c r="BH6" s="98"/>
      <c r="BI6" s="98"/>
      <c r="BJ6" s="98"/>
      <c r="BK6" s="99"/>
      <c r="BL6" s="98"/>
      <c r="BM6" s="98"/>
      <c r="BN6" s="98"/>
      <c r="BO6" s="98"/>
      <c r="BP6" s="98"/>
      <c r="BQ6" s="98"/>
      <c r="BR6" s="98"/>
      <c r="BS6" s="98"/>
      <c r="BT6" s="99"/>
      <c r="BU6" s="98"/>
      <c r="BV6" s="98"/>
      <c r="BW6" s="98"/>
      <c r="BX6" s="98"/>
      <c r="BY6" s="98"/>
      <c r="BZ6" s="98"/>
      <c r="CA6" s="98"/>
      <c r="CB6" s="98"/>
      <c r="CC6" s="99"/>
      <c r="CD6" s="98"/>
      <c r="CE6" s="98"/>
      <c r="CF6" s="98"/>
      <c r="CG6" s="98"/>
      <c r="CH6" s="98"/>
      <c r="CI6" s="98"/>
      <c r="CJ6" s="98"/>
      <c r="CK6" s="98"/>
      <c r="CL6" s="99"/>
      <c r="CM6" s="98"/>
      <c r="CN6" s="98"/>
      <c r="CO6" s="98"/>
      <c r="CP6" s="98"/>
      <c r="CQ6" s="98"/>
      <c r="CR6" s="98"/>
      <c r="CS6" s="98"/>
      <c r="CT6" s="98"/>
      <c r="CU6" s="99"/>
      <c r="CV6" s="98"/>
      <c r="CW6" s="98"/>
      <c r="CX6" s="98"/>
      <c r="CY6" s="98"/>
      <c r="CZ6" s="98"/>
      <c r="DA6" s="98"/>
      <c r="DB6" s="98"/>
      <c r="DC6" s="98"/>
      <c r="DD6" s="99"/>
      <c r="DE6" s="98"/>
      <c r="DF6" s="98"/>
      <c r="DG6" s="98"/>
      <c r="DH6" s="98"/>
      <c r="DI6" s="98"/>
      <c r="DJ6" s="98"/>
      <c r="DK6" s="98"/>
      <c r="DL6" s="98"/>
      <c r="DM6" s="99"/>
      <c r="DN6" s="98"/>
      <c r="DO6" s="98"/>
      <c r="DP6" s="98"/>
      <c r="DQ6" s="98"/>
      <c r="DR6" s="98"/>
      <c r="DS6" s="98"/>
      <c r="DT6" s="98"/>
      <c r="DU6" s="98"/>
      <c r="DV6" s="99"/>
      <c r="DW6" s="98"/>
      <c r="DX6" s="100"/>
      <c r="DY6" s="100"/>
      <c r="DZ6" s="100"/>
      <c r="EA6" s="100"/>
      <c r="EB6" s="100"/>
      <c r="EC6" s="100"/>
      <c r="ED6" s="1"/>
      <c r="EE6" s="1"/>
      <c r="EF6" s="1"/>
    </row>
    <row r="7" spans="1:136" ht="12.75" customHeight="1">
      <c r="A7" s="365"/>
      <c r="B7" s="365"/>
      <c r="C7" s="365"/>
      <c r="D7" s="365"/>
      <c r="E7" s="366" t="s">
        <v>285</v>
      </c>
      <c r="F7" s="366"/>
      <c r="G7" s="366"/>
      <c r="H7" s="366"/>
      <c r="I7" s="366"/>
      <c r="J7" s="366"/>
      <c r="K7" s="366"/>
      <c r="L7" s="366"/>
      <c r="M7" s="366"/>
      <c r="N7" s="366"/>
      <c r="O7" s="366"/>
      <c r="P7" s="366"/>
      <c r="Q7" s="101"/>
      <c r="R7" s="101"/>
      <c r="S7" s="101"/>
      <c r="T7" s="100"/>
      <c r="U7" s="100"/>
      <c r="V7" s="100"/>
      <c r="W7" s="100"/>
      <c r="X7" s="100"/>
      <c r="Y7" s="100"/>
      <c r="Z7" s="100"/>
      <c r="AA7" s="102"/>
      <c r="AB7" s="100"/>
      <c r="AC7" s="100"/>
      <c r="AD7" s="100"/>
      <c r="AE7" s="100"/>
      <c r="AF7" s="100"/>
      <c r="AG7" s="100"/>
      <c r="AH7" s="100"/>
      <c r="AI7" s="100"/>
      <c r="AJ7" s="102"/>
      <c r="AK7" s="100"/>
      <c r="AL7" s="100"/>
      <c r="AM7" s="100"/>
      <c r="AN7" s="100"/>
      <c r="AO7" s="100"/>
      <c r="AP7" s="100"/>
      <c r="AQ7" s="100"/>
      <c r="AR7" s="100"/>
      <c r="AS7" s="102"/>
      <c r="AT7" s="100"/>
      <c r="AU7" s="100"/>
      <c r="AV7" s="100"/>
      <c r="AW7" s="100"/>
      <c r="AX7" s="100"/>
      <c r="AY7" s="100"/>
      <c r="AZ7" s="100"/>
      <c r="BA7" s="100"/>
      <c r="BB7" s="102"/>
      <c r="BC7" s="100"/>
      <c r="BD7" s="100"/>
      <c r="BE7" s="100"/>
      <c r="BF7" s="100"/>
      <c r="BG7" s="100"/>
      <c r="BH7" s="100"/>
      <c r="BI7" s="100"/>
      <c r="BJ7" s="100"/>
      <c r="BK7" s="102"/>
      <c r="BL7" s="100"/>
      <c r="BM7" s="100"/>
      <c r="BN7" s="100"/>
      <c r="BO7" s="100"/>
      <c r="BP7" s="100"/>
      <c r="BQ7" s="100"/>
      <c r="BR7" s="100"/>
      <c r="BS7" s="100"/>
      <c r="BT7" s="102"/>
      <c r="BU7" s="100"/>
      <c r="BV7" s="100"/>
      <c r="BW7" s="100"/>
      <c r="BX7" s="100"/>
      <c r="BY7" s="100"/>
      <c r="BZ7" s="100"/>
      <c r="CA7" s="100"/>
      <c r="CB7" s="100"/>
      <c r="CC7" s="102"/>
      <c r="CD7" s="100"/>
      <c r="CE7" s="100"/>
      <c r="CF7" s="100"/>
      <c r="CG7" s="100"/>
      <c r="CH7" s="100"/>
      <c r="CI7" s="100"/>
      <c r="CJ7" s="100"/>
      <c r="CK7" s="100"/>
      <c r="CL7" s="102"/>
      <c r="CM7" s="100"/>
      <c r="CN7" s="100"/>
      <c r="CO7" s="100"/>
      <c r="CP7" s="100"/>
      <c r="CQ7" s="100"/>
      <c r="CR7" s="100"/>
      <c r="CS7" s="100"/>
      <c r="CT7" s="100"/>
      <c r="CU7" s="102"/>
      <c r="CV7" s="100"/>
      <c r="CW7" s="100"/>
      <c r="CX7" s="100"/>
      <c r="CY7" s="100"/>
      <c r="CZ7" s="100"/>
      <c r="DA7" s="100"/>
      <c r="DB7" s="100"/>
      <c r="DC7" s="100"/>
      <c r="DD7" s="102"/>
      <c r="DE7" s="100"/>
      <c r="DF7" s="100"/>
      <c r="DG7" s="100"/>
      <c r="DH7" s="100"/>
      <c r="DI7" s="100"/>
      <c r="DJ7" s="100"/>
      <c r="DK7" s="100"/>
      <c r="DL7" s="100"/>
      <c r="DM7" s="102"/>
      <c r="DN7" s="100"/>
      <c r="DO7" s="100"/>
      <c r="DP7" s="100"/>
      <c r="DQ7" s="100"/>
      <c r="DR7" s="100"/>
      <c r="DS7" s="100"/>
      <c r="DT7" s="100"/>
      <c r="DU7" s="100"/>
      <c r="DV7" s="102"/>
      <c r="DW7" s="100"/>
      <c r="DX7" s="100"/>
      <c r="DY7" s="100"/>
      <c r="DZ7" s="100"/>
      <c r="EA7" s="100"/>
      <c r="EB7" s="100"/>
      <c r="EC7" s="100"/>
      <c r="ED7" s="1"/>
      <c r="EE7" s="1"/>
      <c r="EF7" s="1"/>
    </row>
    <row r="8" spans="1:136" ht="24.75" customHeight="1">
      <c r="A8" s="367"/>
      <c r="B8" s="367"/>
      <c r="C8" s="367"/>
      <c r="D8" s="367"/>
      <c r="E8" s="368">
        <v>40544</v>
      </c>
      <c r="F8" s="368">
        <v>40575</v>
      </c>
      <c r="G8" s="369">
        <v>40603</v>
      </c>
      <c r="H8" s="369">
        <v>40634</v>
      </c>
      <c r="I8" s="369">
        <v>40664</v>
      </c>
      <c r="J8" s="369">
        <v>40695</v>
      </c>
      <c r="K8" s="369">
        <v>40725</v>
      </c>
      <c r="L8" s="369">
        <v>40756</v>
      </c>
      <c r="M8" s="369">
        <v>40787</v>
      </c>
      <c r="N8" s="369">
        <v>40817</v>
      </c>
      <c r="O8" s="369">
        <v>40848</v>
      </c>
      <c r="P8" s="369">
        <v>40878</v>
      </c>
      <c r="Q8" s="363" t="s">
        <v>286</v>
      </c>
      <c r="R8" s="363" t="s">
        <v>287</v>
      </c>
      <c r="S8" s="364" t="s">
        <v>288</v>
      </c>
      <c r="T8" s="360" t="s">
        <v>289</v>
      </c>
      <c r="U8" s="356" t="s">
        <v>290</v>
      </c>
      <c r="V8" s="356" t="s">
        <v>291</v>
      </c>
      <c r="W8" s="103"/>
      <c r="X8" s="356" t="s">
        <v>292</v>
      </c>
      <c r="Y8" s="103"/>
      <c r="Z8" s="357" t="s">
        <v>293</v>
      </c>
      <c r="AA8" s="104"/>
      <c r="AB8" s="361" t="s">
        <v>294</v>
      </c>
      <c r="AC8" s="360" t="s">
        <v>295</v>
      </c>
      <c r="AD8" s="356" t="s">
        <v>290</v>
      </c>
      <c r="AE8" s="356" t="s">
        <v>291</v>
      </c>
      <c r="AF8" s="103"/>
      <c r="AG8" s="356" t="s">
        <v>292</v>
      </c>
      <c r="AH8" s="103"/>
      <c r="AI8" s="357" t="s">
        <v>293</v>
      </c>
      <c r="AJ8" s="104"/>
      <c r="AK8" s="361" t="s">
        <v>296</v>
      </c>
      <c r="AL8" s="360" t="s">
        <v>297</v>
      </c>
      <c r="AM8" s="356" t="s">
        <v>290</v>
      </c>
      <c r="AN8" s="356" t="s">
        <v>291</v>
      </c>
      <c r="AO8" s="103"/>
      <c r="AP8" s="356" t="s">
        <v>292</v>
      </c>
      <c r="AQ8" s="103"/>
      <c r="AR8" s="357" t="s">
        <v>293</v>
      </c>
      <c r="AS8" s="104"/>
      <c r="AT8" s="361" t="s">
        <v>298</v>
      </c>
      <c r="AU8" s="360" t="s">
        <v>299</v>
      </c>
      <c r="AV8" s="356" t="s">
        <v>290</v>
      </c>
      <c r="AW8" s="356" t="s">
        <v>291</v>
      </c>
      <c r="AX8" s="103"/>
      <c r="AY8" s="356" t="s">
        <v>292</v>
      </c>
      <c r="AZ8" s="103"/>
      <c r="BA8" s="357" t="s">
        <v>293</v>
      </c>
      <c r="BB8" s="104"/>
      <c r="BC8" s="361" t="s">
        <v>300</v>
      </c>
      <c r="BD8" s="360" t="s">
        <v>301</v>
      </c>
      <c r="BE8" s="356" t="s">
        <v>290</v>
      </c>
      <c r="BF8" s="356" t="s">
        <v>291</v>
      </c>
      <c r="BG8" s="103"/>
      <c r="BH8" s="356" t="s">
        <v>292</v>
      </c>
      <c r="BI8" s="103"/>
      <c r="BJ8" s="357" t="s">
        <v>293</v>
      </c>
      <c r="BK8" s="104"/>
      <c r="BL8" s="361" t="s">
        <v>302</v>
      </c>
      <c r="BM8" s="360" t="s">
        <v>303</v>
      </c>
      <c r="BN8" s="356" t="s">
        <v>290</v>
      </c>
      <c r="BO8" s="356" t="s">
        <v>291</v>
      </c>
      <c r="BP8" s="103"/>
      <c r="BQ8" s="356" t="s">
        <v>292</v>
      </c>
      <c r="BR8" s="103"/>
      <c r="BS8" s="357" t="s">
        <v>293</v>
      </c>
      <c r="BT8" s="104"/>
      <c r="BU8" s="361" t="s">
        <v>304</v>
      </c>
      <c r="BV8" s="360" t="s">
        <v>305</v>
      </c>
      <c r="BW8" s="356" t="s">
        <v>290</v>
      </c>
      <c r="BX8" s="356" t="s">
        <v>291</v>
      </c>
      <c r="BY8" s="103"/>
      <c r="BZ8" s="356" t="s">
        <v>292</v>
      </c>
      <c r="CA8" s="103"/>
      <c r="CB8" s="357" t="s">
        <v>293</v>
      </c>
      <c r="CC8" s="104"/>
      <c r="CD8" s="361" t="s">
        <v>306</v>
      </c>
      <c r="CE8" s="360" t="s">
        <v>307</v>
      </c>
      <c r="CF8" s="356" t="s">
        <v>290</v>
      </c>
      <c r="CG8" s="356" t="s">
        <v>291</v>
      </c>
      <c r="CH8" s="103"/>
      <c r="CI8" s="356" t="s">
        <v>292</v>
      </c>
      <c r="CJ8" s="103"/>
      <c r="CK8" s="357" t="s">
        <v>293</v>
      </c>
      <c r="CL8" s="104"/>
      <c r="CM8" s="362" t="s">
        <v>308</v>
      </c>
      <c r="CN8" s="360" t="s">
        <v>309</v>
      </c>
      <c r="CO8" s="356" t="s">
        <v>290</v>
      </c>
      <c r="CP8" s="356" t="s">
        <v>291</v>
      </c>
      <c r="CQ8" s="103"/>
      <c r="CR8" s="356" t="s">
        <v>292</v>
      </c>
      <c r="CS8" s="103"/>
      <c r="CT8" s="357" t="s">
        <v>293</v>
      </c>
      <c r="CU8" s="104"/>
      <c r="CV8" s="361" t="s">
        <v>310</v>
      </c>
      <c r="CW8" s="360" t="s">
        <v>311</v>
      </c>
      <c r="CX8" s="356" t="s">
        <v>290</v>
      </c>
      <c r="CY8" s="356" t="s">
        <v>291</v>
      </c>
      <c r="CZ8" s="103"/>
      <c r="DA8" s="356" t="s">
        <v>292</v>
      </c>
      <c r="DB8" s="103"/>
      <c r="DC8" s="357" t="s">
        <v>293</v>
      </c>
      <c r="DD8" s="104"/>
      <c r="DE8" s="361" t="s">
        <v>312</v>
      </c>
      <c r="DF8" s="360" t="s">
        <v>313</v>
      </c>
      <c r="DG8" s="356" t="s">
        <v>290</v>
      </c>
      <c r="DH8" s="356" t="s">
        <v>291</v>
      </c>
      <c r="DI8" s="103"/>
      <c r="DJ8" s="356" t="s">
        <v>292</v>
      </c>
      <c r="DK8" s="103"/>
      <c r="DL8" s="357" t="s">
        <v>293</v>
      </c>
      <c r="DM8" s="104"/>
      <c r="DN8" s="361" t="s">
        <v>314</v>
      </c>
      <c r="DO8" s="360" t="s">
        <v>315</v>
      </c>
      <c r="DP8" s="356" t="s">
        <v>290</v>
      </c>
      <c r="DQ8" s="356" t="s">
        <v>291</v>
      </c>
      <c r="DR8" s="103"/>
      <c r="DS8" s="356" t="s">
        <v>292</v>
      </c>
      <c r="DT8" s="103"/>
      <c r="DU8" s="357" t="s">
        <v>293</v>
      </c>
      <c r="DV8" s="104"/>
      <c r="DW8" s="358" t="s">
        <v>316</v>
      </c>
      <c r="DY8" s="359" t="s">
        <v>317</v>
      </c>
      <c r="DZ8" s="359" t="s">
        <v>318</v>
      </c>
      <c r="EA8" s="359" t="s">
        <v>319</v>
      </c>
      <c r="EB8" s="105"/>
      <c r="EC8" s="105"/>
      <c r="ED8" s="1"/>
      <c r="EE8" s="1"/>
      <c r="EF8" s="1"/>
    </row>
    <row r="9" spans="1:136">
      <c r="A9" s="367"/>
      <c r="B9" s="367"/>
      <c r="C9" s="367"/>
      <c r="D9" s="367"/>
      <c r="E9" s="368"/>
      <c r="F9" s="368"/>
      <c r="G9" s="368"/>
      <c r="H9" s="368"/>
      <c r="I9" s="368"/>
      <c r="J9" s="368"/>
      <c r="K9" s="368"/>
      <c r="L9" s="368"/>
      <c r="M9" s="368"/>
      <c r="N9" s="368"/>
      <c r="O9" s="368"/>
      <c r="P9" s="368"/>
      <c r="Q9" s="363"/>
      <c r="R9" s="363"/>
      <c r="S9" s="364"/>
      <c r="T9" s="360"/>
      <c r="U9" s="356"/>
      <c r="V9" s="356"/>
      <c r="W9" s="106"/>
      <c r="X9" s="356"/>
      <c r="Y9" s="106"/>
      <c r="Z9" s="357"/>
      <c r="AA9" s="104"/>
      <c r="AB9" s="361"/>
      <c r="AC9" s="360"/>
      <c r="AD9" s="356"/>
      <c r="AE9" s="356"/>
      <c r="AF9" s="106"/>
      <c r="AG9" s="356"/>
      <c r="AH9" s="106"/>
      <c r="AI9" s="357"/>
      <c r="AJ9" s="104"/>
      <c r="AK9" s="361"/>
      <c r="AL9" s="360"/>
      <c r="AM9" s="356"/>
      <c r="AN9" s="356"/>
      <c r="AO9" s="106"/>
      <c r="AP9" s="356"/>
      <c r="AQ9" s="106"/>
      <c r="AR9" s="357"/>
      <c r="AS9" s="104"/>
      <c r="AT9" s="361"/>
      <c r="AU9" s="360"/>
      <c r="AV9" s="356"/>
      <c r="AW9" s="356"/>
      <c r="AX9" s="106"/>
      <c r="AY9" s="356"/>
      <c r="AZ9" s="106"/>
      <c r="BA9" s="357"/>
      <c r="BB9" s="104"/>
      <c r="BC9" s="361"/>
      <c r="BD9" s="360"/>
      <c r="BE9" s="356"/>
      <c r="BF9" s="356"/>
      <c r="BG9" s="106"/>
      <c r="BH9" s="356"/>
      <c r="BI9" s="106"/>
      <c r="BJ9" s="357"/>
      <c r="BK9" s="104"/>
      <c r="BL9" s="361"/>
      <c r="BM9" s="360"/>
      <c r="BN9" s="356"/>
      <c r="BO9" s="356"/>
      <c r="BP9" s="106"/>
      <c r="BQ9" s="356"/>
      <c r="BR9" s="106"/>
      <c r="BS9" s="357"/>
      <c r="BT9" s="104"/>
      <c r="BU9" s="361"/>
      <c r="BV9" s="360"/>
      <c r="BW9" s="356"/>
      <c r="BX9" s="356"/>
      <c r="BY9" s="106"/>
      <c r="BZ9" s="356"/>
      <c r="CA9" s="106"/>
      <c r="CB9" s="357"/>
      <c r="CC9" s="104"/>
      <c r="CD9" s="361"/>
      <c r="CE9" s="360"/>
      <c r="CF9" s="356"/>
      <c r="CG9" s="356"/>
      <c r="CH9" s="106"/>
      <c r="CI9" s="356"/>
      <c r="CJ9" s="106"/>
      <c r="CK9" s="357"/>
      <c r="CL9" s="104"/>
      <c r="CM9" s="362"/>
      <c r="CN9" s="360"/>
      <c r="CO9" s="356"/>
      <c r="CP9" s="356"/>
      <c r="CQ9" s="106"/>
      <c r="CR9" s="356"/>
      <c r="CS9" s="106"/>
      <c r="CT9" s="357"/>
      <c r="CU9" s="104"/>
      <c r="CV9" s="361"/>
      <c r="CW9" s="360"/>
      <c r="CX9" s="356"/>
      <c r="CY9" s="356"/>
      <c r="CZ9" s="106"/>
      <c r="DA9" s="356"/>
      <c r="DB9" s="106"/>
      <c r="DC9" s="357"/>
      <c r="DD9" s="104"/>
      <c r="DE9" s="361"/>
      <c r="DF9" s="360"/>
      <c r="DG9" s="356"/>
      <c r="DH9" s="356"/>
      <c r="DI9" s="106"/>
      <c r="DJ9" s="356"/>
      <c r="DK9" s="106"/>
      <c r="DL9" s="357"/>
      <c r="DM9" s="104"/>
      <c r="DN9" s="361"/>
      <c r="DO9" s="360"/>
      <c r="DP9" s="356"/>
      <c r="DQ9" s="356"/>
      <c r="DR9" s="106"/>
      <c r="DS9" s="356"/>
      <c r="DT9" s="106"/>
      <c r="DU9" s="357"/>
      <c r="DV9" s="104"/>
      <c r="DW9" s="358"/>
      <c r="DY9" s="359"/>
      <c r="DZ9" s="359"/>
      <c r="EA9" s="359"/>
      <c r="EB9" s="105"/>
      <c r="EC9" s="105"/>
      <c r="ED9" s="1"/>
      <c r="EE9" s="1"/>
      <c r="EF9" s="1"/>
    </row>
    <row r="10" spans="1:136" ht="23.25" customHeight="1">
      <c r="A10" s="367"/>
      <c r="B10" s="367"/>
      <c r="C10" s="367"/>
      <c r="D10" s="367"/>
      <c r="E10" s="368"/>
      <c r="F10" s="368"/>
      <c r="G10" s="368"/>
      <c r="H10" s="368"/>
      <c r="I10" s="368"/>
      <c r="J10" s="368"/>
      <c r="K10" s="368"/>
      <c r="L10" s="368"/>
      <c r="M10" s="368"/>
      <c r="N10" s="368"/>
      <c r="O10" s="368"/>
      <c r="P10" s="368"/>
      <c r="Q10" s="363"/>
      <c r="R10" s="363"/>
      <c r="S10" s="364"/>
      <c r="T10" s="360"/>
      <c r="U10" s="356"/>
      <c r="V10" s="356"/>
      <c r="W10" s="106"/>
      <c r="X10" s="356"/>
      <c r="Y10" s="106"/>
      <c r="Z10" s="357"/>
      <c r="AA10" s="104"/>
      <c r="AB10" s="361"/>
      <c r="AC10" s="360"/>
      <c r="AD10" s="356"/>
      <c r="AE10" s="356"/>
      <c r="AF10" s="106"/>
      <c r="AG10" s="356"/>
      <c r="AH10" s="106"/>
      <c r="AI10" s="357"/>
      <c r="AJ10" s="104"/>
      <c r="AK10" s="361"/>
      <c r="AL10" s="360"/>
      <c r="AM10" s="356"/>
      <c r="AN10" s="356"/>
      <c r="AO10" s="106"/>
      <c r="AP10" s="356"/>
      <c r="AQ10" s="106"/>
      <c r="AR10" s="357"/>
      <c r="AS10" s="104"/>
      <c r="AT10" s="361"/>
      <c r="AU10" s="360"/>
      <c r="AV10" s="356"/>
      <c r="AW10" s="356"/>
      <c r="AX10" s="106"/>
      <c r="AY10" s="356"/>
      <c r="AZ10" s="106"/>
      <c r="BA10" s="357"/>
      <c r="BB10" s="104"/>
      <c r="BC10" s="361"/>
      <c r="BD10" s="360"/>
      <c r="BE10" s="356"/>
      <c r="BF10" s="356"/>
      <c r="BG10" s="106"/>
      <c r="BH10" s="356"/>
      <c r="BI10" s="106"/>
      <c r="BJ10" s="357"/>
      <c r="BK10" s="104"/>
      <c r="BL10" s="361"/>
      <c r="BM10" s="360"/>
      <c r="BN10" s="356"/>
      <c r="BO10" s="356"/>
      <c r="BP10" s="106"/>
      <c r="BQ10" s="356"/>
      <c r="BR10" s="106"/>
      <c r="BS10" s="357"/>
      <c r="BT10" s="104"/>
      <c r="BU10" s="361"/>
      <c r="BV10" s="360"/>
      <c r="BW10" s="356"/>
      <c r="BX10" s="356"/>
      <c r="BY10" s="106"/>
      <c r="BZ10" s="356"/>
      <c r="CA10" s="106"/>
      <c r="CB10" s="357"/>
      <c r="CC10" s="104"/>
      <c r="CD10" s="361"/>
      <c r="CE10" s="360"/>
      <c r="CF10" s="356"/>
      <c r="CG10" s="356"/>
      <c r="CH10" s="106"/>
      <c r="CI10" s="356"/>
      <c r="CJ10" s="106"/>
      <c r="CK10" s="357"/>
      <c r="CL10" s="104"/>
      <c r="CM10" s="362"/>
      <c r="CN10" s="360"/>
      <c r="CO10" s="356"/>
      <c r="CP10" s="356"/>
      <c r="CQ10" s="106"/>
      <c r="CR10" s="356"/>
      <c r="CS10" s="106"/>
      <c r="CT10" s="357"/>
      <c r="CU10" s="104"/>
      <c r="CV10" s="361"/>
      <c r="CW10" s="360"/>
      <c r="CX10" s="356"/>
      <c r="CY10" s="356"/>
      <c r="CZ10" s="106"/>
      <c r="DA10" s="356"/>
      <c r="DB10" s="106"/>
      <c r="DC10" s="357"/>
      <c r="DD10" s="104"/>
      <c r="DE10" s="361"/>
      <c r="DF10" s="360"/>
      <c r="DG10" s="356"/>
      <c r="DH10" s="356"/>
      <c r="DI10" s="106"/>
      <c r="DJ10" s="356"/>
      <c r="DK10" s="106"/>
      <c r="DL10" s="357"/>
      <c r="DM10" s="104"/>
      <c r="DN10" s="361"/>
      <c r="DO10" s="360"/>
      <c r="DP10" s="356"/>
      <c r="DQ10" s="356"/>
      <c r="DR10" s="106"/>
      <c r="DS10" s="356"/>
      <c r="DT10" s="106"/>
      <c r="DU10" s="357"/>
      <c r="DV10" s="104"/>
      <c r="DW10" s="358"/>
      <c r="DY10" s="359"/>
      <c r="DZ10" s="359"/>
      <c r="EA10" s="359"/>
      <c r="EB10" s="105"/>
      <c r="EC10" s="105"/>
      <c r="ED10" s="1"/>
      <c r="EE10" s="1"/>
      <c r="EF10" s="1"/>
    </row>
    <row r="11" spans="1:136" ht="27.75" customHeight="1">
      <c r="A11" s="107" t="s">
        <v>320</v>
      </c>
      <c r="B11" s="108" t="s">
        <v>11</v>
      </c>
      <c r="C11" s="108" t="s">
        <v>3</v>
      </c>
      <c r="D11" s="109" t="s">
        <v>4</v>
      </c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3"/>
      <c r="R11" s="363"/>
      <c r="S11" s="364"/>
      <c r="T11" s="360"/>
      <c r="U11" s="356"/>
      <c r="V11" s="356"/>
      <c r="W11" s="106"/>
      <c r="X11" s="356"/>
      <c r="Y11" s="106"/>
      <c r="Z11" s="357"/>
      <c r="AA11" s="104"/>
      <c r="AB11" s="361"/>
      <c r="AC11" s="360"/>
      <c r="AD11" s="356"/>
      <c r="AE11" s="356"/>
      <c r="AF11" s="106"/>
      <c r="AG11" s="356"/>
      <c r="AH11" s="106"/>
      <c r="AI11" s="357"/>
      <c r="AJ11" s="104"/>
      <c r="AK11" s="361"/>
      <c r="AL11" s="360"/>
      <c r="AM11" s="356"/>
      <c r="AN11" s="356"/>
      <c r="AO11" s="106"/>
      <c r="AP11" s="356"/>
      <c r="AQ11" s="106"/>
      <c r="AR11" s="357"/>
      <c r="AS11" s="104"/>
      <c r="AT11" s="361"/>
      <c r="AU11" s="360"/>
      <c r="AV11" s="356"/>
      <c r="AW11" s="356"/>
      <c r="AX11" s="106"/>
      <c r="AY11" s="356"/>
      <c r="AZ11" s="106"/>
      <c r="BA11" s="357"/>
      <c r="BB11" s="104"/>
      <c r="BC11" s="361"/>
      <c r="BD11" s="360"/>
      <c r="BE11" s="356"/>
      <c r="BF11" s="356"/>
      <c r="BG11" s="106"/>
      <c r="BH11" s="356"/>
      <c r="BI11" s="106"/>
      <c r="BJ11" s="357"/>
      <c r="BK11" s="104"/>
      <c r="BL11" s="361"/>
      <c r="BM11" s="360"/>
      <c r="BN11" s="356"/>
      <c r="BO11" s="356"/>
      <c r="BP11" s="106"/>
      <c r="BQ11" s="356"/>
      <c r="BR11" s="106"/>
      <c r="BS11" s="357"/>
      <c r="BT11" s="104"/>
      <c r="BU11" s="361"/>
      <c r="BV11" s="360"/>
      <c r="BW11" s="356"/>
      <c r="BX11" s="356"/>
      <c r="BY11" s="106"/>
      <c r="BZ11" s="356"/>
      <c r="CA11" s="106"/>
      <c r="CB11" s="357"/>
      <c r="CC11" s="104"/>
      <c r="CD11" s="361"/>
      <c r="CE11" s="360"/>
      <c r="CF11" s="356"/>
      <c r="CG11" s="356"/>
      <c r="CH11" s="106"/>
      <c r="CI11" s="356"/>
      <c r="CJ11" s="106"/>
      <c r="CK11" s="357"/>
      <c r="CL11" s="104"/>
      <c r="CM11" s="362"/>
      <c r="CN11" s="360"/>
      <c r="CO11" s="356"/>
      <c r="CP11" s="356"/>
      <c r="CQ11" s="106"/>
      <c r="CR11" s="356"/>
      <c r="CS11" s="106"/>
      <c r="CT11" s="357"/>
      <c r="CU11" s="104"/>
      <c r="CV11" s="361"/>
      <c r="CW11" s="360"/>
      <c r="CX11" s="356"/>
      <c r="CY11" s="356"/>
      <c r="CZ11" s="106"/>
      <c r="DA11" s="356"/>
      <c r="DB11" s="106"/>
      <c r="DC11" s="357"/>
      <c r="DD11" s="104"/>
      <c r="DE11" s="361"/>
      <c r="DF11" s="360"/>
      <c r="DG11" s="356"/>
      <c r="DH11" s="356"/>
      <c r="DI11" s="106"/>
      <c r="DJ11" s="356"/>
      <c r="DK11" s="106"/>
      <c r="DL11" s="357"/>
      <c r="DM11" s="104"/>
      <c r="DN11" s="361"/>
      <c r="DO11" s="360"/>
      <c r="DP11" s="356"/>
      <c r="DQ11" s="356"/>
      <c r="DR11" s="106"/>
      <c r="DS11" s="356"/>
      <c r="DT11" s="106"/>
      <c r="DU11" s="357"/>
      <c r="DV11" s="104"/>
      <c r="DW11" s="358"/>
      <c r="DY11" s="359"/>
      <c r="DZ11" s="359"/>
      <c r="EA11" s="359"/>
      <c r="EB11" s="105"/>
      <c r="EC11" s="105"/>
      <c r="ED11" s="1"/>
      <c r="EE11" s="1"/>
      <c r="EF11" s="1"/>
    </row>
    <row r="12" spans="1:136" s="117" customFormat="1" ht="15.75" customHeight="1">
      <c r="A12" s="110"/>
      <c r="B12" s="111"/>
      <c r="C12" s="111"/>
      <c r="D12" s="110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3"/>
      <c r="R12" s="113"/>
      <c r="S12" s="113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  <c r="BP12" s="114"/>
      <c r="BQ12" s="114"/>
      <c r="BR12" s="114"/>
      <c r="BS12" s="114"/>
      <c r="BT12" s="114"/>
      <c r="BU12" s="114"/>
      <c r="BV12" s="114"/>
      <c r="BW12" s="114"/>
      <c r="BX12" s="114"/>
      <c r="BY12" s="114"/>
      <c r="BZ12" s="114"/>
      <c r="CA12" s="114"/>
      <c r="CB12" s="114"/>
      <c r="CC12" s="114"/>
      <c r="CD12" s="114"/>
      <c r="CE12" s="114"/>
      <c r="CF12" s="114"/>
      <c r="CG12" s="114"/>
      <c r="CH12" s="114"/>
      <c r="CI12" s="114"/>
      <c r="CJ12" s="114"/>
      <c r="CK12" s="114"/>
      <c r="CL12" s="114"/>
      <c r="CM12" s="114"/>
      <c r="CN12" s="114"/>
      <c r="CO12" s="114"/>
      <c r="CP12" s="114"/>
      <c r="CQ12" s="114"/>
      <c r="CR12" s="114"/>
      <c r="CS12" s="114"/>
      <c r="CT12" s="114"/>
      <c r="CU12" s="114"/>
      <c r="CV12" s="114"/>
      <c r="CW12" s="114"/>
      <c r="CX12" s="114"/>
      <c r="CY12" s="114"/>
      <c r="CZ12" s="114"/>
      <c r="DA12" s="114"/>
      <c r="DB12" s="114"/>
      <c r="DC12" s="114"/>
      <c r="DD12" s="114"/>
      <c r="DE12" s="114"/>
      <c r="DF12" s="114"/>
      <c r="DG12" s="114"/>
      <c r="DH12" s="114"/>
      <c r="DI12" s="114"/>
      <c r="DJ12" s="114"/>
      <c r="DK12" s="114"/>
      <c r="DL12" s="114"/>
      <c r="DM12" s="114"/>
      <c r="DN12" s="114"/>
      <c r="DO12" s="114"/>
      <c r="DP12" s="114"/>
      <c r="DQ12" s="114"/>
      <c r="DR12" s="114"/>
      <c r="DS12" s="114"/>
      <c r="DT12" s="114"/>
      <c r="DU12" s="114"/>
      <c r="DV12" s="114"/>
      <c r="DW12" s="114"/>
      <c r="DX12" s="114"/>
      <c r="DY12" s="114"/>
      <c r="DZ12" s="114"/>
      <c r="EA12" s="114"/>
      <c r="EB12" s="114"/>
      <c r="EC12" s="115"/>
      <c r="ED12" s="116"/>
      <c r="EE12" s="116"/>
      <c r="EF12" s="116"/>
    </row>
    <row r="13" spans="1:136">
      <c r="A13" s="118">
        <v>1</v>
      </c>
      <c r="B13" s="14" t="s">
        <v>62</v>
      </c>
      <c r="C13" s="13" t="s">
        <v>321</v>
      </c>
      <c r="D13" s="119" t="s">
        <v>322</v>
      </c>
      <c r="E13" s="120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2"/>
      <c r="Q13" s="123">
        <v>25</v>
      </c>
      <c r="R13" s="124">
        <v>6</v>
      </c>
      <c r="S13" s="125">
        <v>0</v>
      </c>
      <c r="T13" s="126">
        <v>160.22999999999999</v>
      </c>
      <c r="U13" s="127">
        <v>8.4</v>
      </c>
      <c r="V13" s="127">
        <v>5</v>
      </c>
      <c r="W13" s="128">
        <v>8.4</v>
      </c>
      <c r="X13" s="127">
        <v>1</v>
      </c>
      <c r="Y13" s="128">
        <v>8.4</v>
      </c>
      <c r="Z13" s="129">
        <v>0</v>
      </c>
      <c r="AA13" s="130">
        <v>6</v>
      </c>
      <c r="AB13" s="131">
        <f t="shared" ref="AB13:AB47" si="0">E13+S13+T13+U13+V13*W13+X13*Y13+Z13*AA13</f>
        <v>219.03</v>
      </c>
      <c r="AC13" s="126"/>
      <c r="AD13" s="127"/>
      <c r="AE13" s="127"/>
      <c r="AF13" s="128">
        <v>8.4</v>
      </c>
      <c r="AG13" s="127"/>
      <c r="AH13" s="128">
        <v>8.4</v>
      </c>
      <c r="AI13" s="129"/>
      <c r="AJ13" s="130">
        <v>6</v>
      </c>
      <c r="AK13" s="131">
        <f>F13+AB13+AC13+AD13+AE13*AF13+AG13*AH13+AI13*AJ13</f>
        <v>219.03</v>
      </c>
      <c r="AL13" s="126"/>
      <c r="AM13" s="127"/>
      <c r="AN13" s="127"/>
      <c r="AO13" s="128">
        <v>8.4</v>
      </c>
      <c r="AP13" s="127"/>
      <c r="AQ13" s="128">
        <v>8.4</v>
      </c>
      <c r="AR13" s="129"/>
      <c r="AS13" s="130">
        <v>6</v>
      </c>
      <c r="AT13" s="131">
        <f t="shared" ref="AT13:AT47" si="1">G13+AK13+AL13+AM13+AN13*AO13+AP13*AQ13+AR13*AS13</f>
        <v>219.03</v>
      </c>
      <c r="AU13" s="132"/>
      <c r="AV13" s="133"/>
      <c r="AW13" s="133"/>
      <c r="AX13" s="134">
        <v>8.4</v>
      </c>
      <c r="AY13" s="133"/>
      <c r="AZ13" s="134">
        <v>8.4</v>
      </c>
      <c r="BA13" s="135"/>
      <c r="BB13" s="130">
        <v>6</v>
      </c>
      <c r="BC13" s="131">
        <f t="shared" ref="BC13:BC47" si="2">H13+AT13+AU13+AV13+AW13*AX13+AY13*AZ13+BA13*BB13</f>
        <v>219.03</v>
      </c>
      <c r="BD13" s="132"/>
      <c r="BE13" s="133"/>
      <c r="BF13" s="133"/>
      <c r="BG13" s="134">
        <v>8.4</v>
      </c>
      <c r="BH13" s="133"/>
      <c r="BI13" s="134">
        <v>8.4</v>
      </c>
      <c r="BJ13" s="135"/>
      <c r="BK13" s="130">
        <v>6</v>
      </c>
      <c r="BL13" s="131">
        <f t="shared" ref="BL13:BL47" si="3">I13+BC13+BD13+BE13+BF13*BG13+BH13*BI13+BJ13*BK13</f>
        <v>219.03</v>
      </c>
      <c r="BM13" s="132"/>
      <c r="BN13" s="133"/>
      <c r="BO13" s="133"/>
      <c r="BP13" s="134">
        <v>8.4</v>
      </c>
      <c r="BQ13" s="133"/>
      <c r="BR13" s="134">
        <v>8.4</v>
      </c>
      <c r="BS13" s="135"/>
      <c r="BT13" s="130">
        <v>6</v>
      </c>
      <c r="BU13" s="131">
        <f t="shared" ref="BU13:BU47" si="4">J13+BL13+BM13+BN13+BO13*BP13+BQ13*BR13+BS13*BT13</f>
        <v>219.03</v>
      </c>
      <c r="BV13" s="132"/>
      <c r="BW13" s="133"/>
      <c r="BX13" s="133"/>
      <c r="BY13" s="134">
        <v>8.4</v>
      </c>
      <c r="BZ13" s="133"/>
      <c r="CA13" s="134">
        <v>8.4</v>
      </c>
      <c r="CB13" s="135"/>
      <c r="CC13" s="130">
        <v>6</v>
      </c>
      <c r="CD13" s="131">
        <f t="shared" ref="CD13:CD47" si="5">K13+BU13+BV13+BW13+BX13*BY13+BZ13*CA13+CB13*CC13</f>
        <v>219.03</v>
      </c>
      <c r="CE13" s="132"/>
      <c r="CF13" s="133"/>
      <c r="CG13" s="133"/>
      <c r="CH13" s="134">
        <v>8.4</v>
      </c>
      <c r="CI13" s="133"/>
      <c r="CJ13" s="134">
        <v>8.4</v>
      </c>
      <c r="CK13" s="135"/>
      <c r="CL13" s="130">
        <v>6</v>
      </c>
      <c r="CM13" s="136">
        <f t="shared" ref="CM13:CM47" si="6">T13+CD13+CE13+CF13+CG13*CH13+CI13*CJ13+CK13*CL13</f>
        <v>379.26</v>
      </c>
      <c r="CN13" s="132"/>
      <c r="CO13" s="133"/>
      <c r="CP13" s="133"/>
      <c r="CQ13" s="134">
        <v>8.4</v>
      </c>
      <c r="CR13" s="133"/>
      <c r="CS13" s="134">
        <v>8.4</v>
      </c>
      <c r="CT13" s="135"/>
      <c r="CU13" s="130">
        <v>6</v>
      </c>
      <c r="CV13" s="131">
        <f t="shared" ref="CV13:CV47" si="7">M13+CM13+CN13+CO13+CP13*CQ13+CR13*CS13+CT13*CU13</f>
        <v>379.26</v>
      </c>
      <c r="CW13" s="132"/>
      <c r="CX13" s="133"/>
      <c r="CY13" s="133"/>
      <c r="CZ13" s="134">
        <v>8.4</v>
      </c>
      <c r="DA13" s="133"/>
      <c r="DB13" s="134">
        <v>8.4</v>
      </c>
      <c r="DC13" s="135"/>
      <c r="DD13" s="130">
        <v>6</v>
      </c>
      <c r="DE13" s="131">
        <f t="shared" ref="DE13:DE47" si="8">N13+CV13+CW13+CX13+CY13*CZ13+DA13*DB13+DC13*DD13</f>
        <v>379.26</v>
      </c>
      <c r="DF13" s="132"/>
      <c r="DG13" s="133"/>
      <c r="DH13" s="133"/>
      <c r="DI13" s="134">
        <v>8.4</v>
      </c>
      <c r="DJ13" s="133"/>
      <c r="DK13" s="134">
        <v>8.4</v>
      </c>
      <c r="DL13" s="135"/>
      <c r="DM13" s="130">
        <v>6</v>
      </c>
      <c r="DN13" s="131">
        <f t="shared" ref="DN13:DN47" si="9">O13+DE13+DF13+DG13+DH13*DI13+DJ13*DK13+DL13*DM13</f>
        <v>379.26</v>
      </c>
      <c r="DO13" s="132"/>
      <c r="DP13" s="133"/>
      <c r="DQ13" s="133"/>
      <c r="DR13" s="134">
        <v>8.4</v>
      </c>
      <c r="DS13" s="133"/>
      <c r="DT13" s="134">
        <v>8.4</v>
      </c>
      <c r="DU13" s="135"/>
      <c r="DV13" s="130">
        <v>6</v>
      </c>
      <c r="DW13" s="137">
        <f t="shared" ref="DW13:DW47" si="10">P13+DN13+DO13+DP13+DQ13*DR13+DS13*DT13+DU13*DV13</f>
        <v>379.26</v>
      </c>
      <c r="DX13" s="138"/>
      <c r="DY13" s="134">
        <f t="shared" ref="DY13:DY47" si="11">Q13-V13-AE13-AN13-AW13-BF13-BO13-BX13-CG13-CP13-CY13-DH13-DQ13</f>
        <v>20</v>
      </c>
      <c r="DZ13" s="134">
        <f t="shared" ref="DZ13:DZ47" si="12">R13-X13-AG13-AP13-AY13-BH13-BQ13-BZ13-CI13-CR13-DA13-DJ13-DS13</f>
        <v>5</v>
      </c>
      <c r="EA13" s="134">
        <f t="shared" ref="EA13:EA47" si="13">Z13+AI13+AR13+BA13+BJ13+BS13+CB13+CK13+CT13+DC13+DL13+DU13</f>
        <v>0</v>
      </c>
      <c r="EB13" s="138"/>
      <c r="EC13" s="139"/>
      <c r="ED13" s="1"/>
      <c r="EE13" s="1"/>
      <c r="EF13" s="1"/>
    </row>
    <row r="14" spans="1:136">
      <c r="A14" s="118">
        <v>1</v>
      </c>
      <c r="B14" s="14" t="s">
        <v>20</v>
      </c>
      <c r="C14" s="13" t="s">
        <v>14</v>
      </c>
      <c r="D14" s="119" t="s">
        <v>15</v>
      </c>
      <c r="E14" s="140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2"/>
      <c r="Q14" s="123"/>
      <c r="R14" s="124"/>
      <c r="S14" s="125"/>
      <c r="T14" s="126"/>
      <c r="U14" s="127"/>
      <c r="V14" s="127"/>
      <c r="W14" s="128">
        <v>8.4</v>
      </c>
      <c r="X14" s="127"/>
      <c r="Y14" s="128">
        <v>8.4</v>
      </c>
      <c r="Z14" s="129"/>
      <c r="AA14" s="130">
        <v>6</v>
      </c>
      <c r="AB14" s="131">
        <f t="shared" si="0"/>
        <v>0</v>
      </c>
      <c r="AC14" s="126"/>
      <c r="AD14" s="127"/>
      <c r="AE14" s="127"/>
      <c r="AF14" s="128">
        <v>8.4</v>
      </c>
      <c r="AG14" s="127"/>
      <c r="AH14" s="128">
        <v>8.4</v>
      </c>
      <c r="AI14" s="129"/>
      <c r="AJ14" s="130">
        <v>6</v>
      </c>
      <c r="AK14" s="131">
        <f t="shared" ref="AK14:AK47" si="14">E14+AB14+AC14+AD14+AE14*AF14+AG14*AH14+AI14*AJ14</f>
        <v>0</v>
      </c>
      <c r="AL14" s="126"/>
      <c r="AM14" s="127"/>
      <c r="AN14" s="127"/>
      <c r="AO14" s="128">
        <v>8.4</v>
      </c>
      <c r="AP14" s="127"/>
      <c r="AQ14" s="128">
        <v>8.4</v>
      </c>
      <c r="AR14" s="129"/>
      <c r="AS14" s="130">
        <v>6</v>
      </c>
      <c r="AT14" s="131">
        <f t="shared" si="1"/>
        <v>0</v>
      </c>
      <c r="AU14" s="132"/>
      <c r="AV14" s="133"/>
      <c r="AW14" s="133"/>
      <c r="AX14" s="134">
        <v>8.4</v>
      </c>
      <c r="AY14" s="133"/>
      <c r="AZ14" s="134">
        <v>8.4</v>
      </c>
      <c r="BA14" s="135"/>
      <c r="BB14" s="130">
        <v>6</v>
      </c>
      <c r="BC14" s="131">
        <f t="shared" si="2"/>
        <v>0</v>
      </c>
      <c r="BD14" s="132"/>
      <c r="BE14" s="133"/>
      <c r="BF14" s="133"/>
      <c r="BG14" s="134">
        <v>8.4</v>
      </c>
      <c r="BH14" s="133"/>
      <c r="BI14" s="134">
        <v>8.4</v>
      </c>
      <c r="BJ14" s="135"/>
      <c r="BK14" s="130">
        <v>6</v>
      </c>
      <c r="BL14" s="131">
        <f t="shared" si="3"/>
        <v>0</v>
      </c>
      <c r="BM14" s="132"/>
      <c r="BN14" s="133"/>
      <c r="BO14" s="133"/>
      <c r="BP14" s="134">
        <v>8.4</v>
      </c>
      <c r="BQ14" s="133"/>
      <c r="BR14" s="134">
        <v>8.4</v>
      </c>
      <c r="BS14" s="135"/>
      <c r="BT14" s="130">
        <v>6</v>
      </c>
      <c r="BU14" s="131">
        <f t="shared" si="4"/>
        <v>0</v>
      </c>
      <c r="BV14" s="132"/>
      <c r="BW14" s="133"/>
      <c r="BX14" s="133"/>
      <c r="BY14" s="134">
        <v>8.4</v>
      </c>
      <c r="BZ14" s="133"/>
      <c r="CA14" s="134">
        <v>8.4</v>
      </c>
      <c r="CB14" s="135"/>
      <c r="CC14" s="130">
        <v>6</v>
      </c>
      <c r="CD14" s="131">
        <f t="shared" si="5"/>
        <v>0</v>
      </c>
      <c r="CE14" s="132"/>
      <c r="CF14" s="133"/>
      <c r="CG14" s="133"/>
      <c r="CH14" s="134">
        <v>8.4</v>
      </c>
      <c r="CI14" s="133"/>
      <c r="CJ14" s="134">
        <v>8.4</v>
      </c>
      <c r="CK14" s="135"/>
      <c r="CL14" s="130">
        <v>6</v>
      </c>
      <c r="CM14" s="136">
        <f t="shared" si="6"/>
        <v>0</v>
      </c>
      <c r="CN14" s="132"/>
      <c r="CO14" s="133"/>
      <c r="CP14" s="133"/>
      <c r="CQ14" s="134">
        <v>8.4</v>
      </c>
      <c r="CR14" s="133"/>
      <c r="CS14" s="134">
        <v>8.4</v>
      </c>
      <c r="CT14" s="135"/>
      <c r="CU14" s="130">
        <v>6</v>
      </c>
      <c r="CV14" s="131">
        <f t="shared" si="7"/>
        <v>0</v>
      </c>
      <c r="CW14" s="132"/>
      <c r="CX14" s="133"/>
      <c r="CY14" s="133"/>
      <c r="CZ14" s="134">
        <v>8.4</v>
      </c>
      <c r="DA14" s="133"/>
      <c r="DB14" s="134">
        <v>8.4</v>
      </c>
      <c r="DC14" s="135"/>
      <c r="DD14" s="130">
        <v>6</v>
      </c>
      <c r="DE14" s="131">
        <f t="shared" si="8"/>
        <v>0</v>
      </c>
      <c r="DF14" s="132"/>
      <c r="DG14" s="133"/>
      <c r="DH14" s="133"/>
      <c r="DI14" s="134">
        <v>8.4</v>
      </c>
      <c r="DJ14" s="133"/>
      <c r="DK14" s="134">
        <v>8.4</v>
      </c>
      <c r="DL14" s="135"/>
      <c r="DM14" s="130">
        <v>6</v>
      </c>
      <c r="DN14" s="131">
        <f t="shared" si="9"/>
        <v>0</v>
      </c>
      <c r="DO14" s="132"/>
      <c r="DP14" s="133"/>
      <c r="DQ14" s="133"/>
      <c r="DR14" s="134">
        <v>8.4</v>
      </c>
      <c r="DS14" s="133"/>
      <c r="DT14" s="134">
        <v>8.4</v>
      </c>
      <c r="DU14" s="135"/>
      <c r="DV14" s="130">
        <v>6</v>
      </c>
      <c r="DW14" s="137">
        <f t="shared" si="10"/>
        <v>0</v>
      </c>
      <c r="DX14" s="138"/>
      <c r="DY14" s="134">
        <f t="shared" si="11"/>
        <v>0</v>
      </c>
      <c r="DZ14" s="134">
        <f t="shared" si="12"/>
        <v>0</v>
      </c>
      <c r="EA14" s="134">
        <f t="shared" si="13"/>
        <v>0</v>
      </c>
      <c r="EB14" s="138"/>
      <c r="EC14" s="139"/>
      <c r="ED14" s="1"/>
      <c r="EE14" s="1"/>
      <c r="EF14" s="1"/>
    </row>
    <row r="15" spans="1:136">
      <c r="A15" s="118">
        <v>1</v>
      </c>
      <c r="B15" s="14" t="s">
        <v>28</v>
      </c>
      <c r="C15" s="13" t="s">
        <v>21</v>
      </c>
      <c r="D15" s="119" t="s">
        <v>22</v>
      </c>
      <c r="E15" s="120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2"/>
      <c r="Q15" s="123"/>
      <c r="R15" s="124"/>
      <c r="S15" s="125"/>
      <c r="T15" s="126"/>
      <c r="U15" s="127"/>
      <c r="V15" s="127"/>
      <c r="W15" s="128">
        <v>8.4</v>
      </c>
      <c r="X15" s="127"/>
      <c r="Y15" s="128">
        <v>8.4</v>
      </c>
      <c r="Z15" s="129"/>
      <c r="AA15" s="130">
        <v>6</v>
      </c>
      <c r="AB15" s="131">
        <f t="shared" si="0"/>
        <v>0</v>
      </c>
      <c r="AC15" s="126"/>
      <c r="AD15" s="127"/>
      <c r="AE15" s="127"/>
      <c r="AF15" s="128">
        <v>8.4</v>
      </c>
      <c r="AG15" s="127"/>
      <c r="AH15" s="128">
        <v>8.4</v>
      </c>
      <c r="AI15" s="129"/>
      <c r="AJ15" s="130">
        <v>6</v>
      </c>
      <c r="AK15" s="131">
        <f t="shared" si="14"/>
        <v>0</v>
      </c>
      <c r="AL15" s="126"/>
      <c r="AM15" s="127"/>
      <c r="AN15" s="127"/>
      <c r="AO15" s="128">
        <v>8.4</v>
      </c>
      <c r="AP15" s="127"/>
      <c r="AQ15" s="128">
        <v>8.4</v>
      </c>
      <c r="AR15" s="129"/>
      <c r="AS15" s="130">
        <v>6</v>
      </c>
      <c r="AT15" s="131">
        <f t="shared" si="1"/>
        <v>0</v>
      </c>
      <c r="AU15" s="132"/>
      <c r="AV15" s="133"/>
      <c r="AW15" s="133"/>
      <c r="AX15" s="134">
        <v>8.4</v>
      </c>
      <c r="AY15" s="133"/>
      <c r="AZ15" s="134">
        <v>8.4</v>
      </c>
      <c r="BA15" s="135"/>
      <c r="BB15" s="130">
        <v>6</v>
      </c>
      <c r="BC15" s="131">
        <f t="shared" si="2"/>
        <v>0</v>
      </c>
      <c r="BD15" s="132"/>
      <c r="BE15" s="133"/>
      <c r="BF15" s="133"/>
      <c r="BG15" s="134">
        <v>8.4</v>
      </c>
      <c r="BH15" s="133"/>
      <c r="BI15" s="134">
        <v>8.4</v>
      </c>
      <c r="BJ15" s="135"/>
      <c r="BK15" s="130">
        <v>6</v>
      </c>
      <c r="BL15" s="131">
        <f t="shared" si="3"/>
        <v>0</v>
      </c>
      <c r="BM15" s="132"/>
      <c r="BN15" s="133"/>
      <c r="BO15" s="133"/>
      <c r="BP15" s="134">
        <v>8.4</v>
      </c>
      <c r="BQ15" s="133"/>
      <c r="BR15" s="134">
        <v>8.4</v>
      </c>
      <c r="BS15" s="135"/>
      <c r="BT15" s="130">
        <v>6</v>
      </c>
      <c r="BU15" s="131">
        <f t="shared" si="4"/>
        <v>0</v>
      </c>
      <c r="BV15" s="132"/>
      <c r="BW15" s="133"/>
      <c r="BX15" s="133"/>
      <c r="BY15" s="134">
        <v>8.4</v>
      </c>
      <c r="BZ15" s="133"/>
      <c r="CA15" s="134">
        <v>8.4</v>
      </c>
      <c r="CB15" s="135"/>
      <c r="CC15" s="130">
        <v>6</v>
      </c>
      <c r="CD15" s="131">
        <f t="shared" si="5"/>
        <v>0</v>
      </c>
      <c r="CE15" s="132"/>
      <c r="CF15" s="133"/>
      <c r="CG15" s="133"/>
      <c r="CH15" s="134">
        <v>8.4</v>
      </c>
      <c r="CI15" s="133"/>
      <c r="CJ15" s="134">
        <v>8.4</v>
      </c>
      <c r="CK15" s="135"/>
      <c r="CL15" s="130">
        <v>6</v>
      </c>
      <c r="CM15" s="136">
        <f t="shared" si="6"/>
        <v>0</v>
      </c>
      <c r="CN15" s="132"/>
      <c r="CO15" s="133"/>
      <c r="CP15" s="133"/>
      <c r="CQ15" s="134">
        <v>8.4</v>
      </c>
      <c r="CR15" s="133"/>
      <c r="CS15" s="134">
        <v>8.4</v>
      </c>
      <c r="CT15" s="135"/>
      <c r="CU15" s="130">
        <v>6</v>
      </c>
      <c r="CV15" s="131">
        <f t="shared" si="7"/>
        <v>0</v>
      </c>
      <c r="CW15" s="132"/>
      <c r="CX15" s="133"/>
      <c r="CY15" s="133"/>
      <c r="CZ15" s="134">
        <v>8.4</v>
      </c>
      <c r="DA15" s="133"/>
      <c r="DB15" s="134">
        <v>8.4</v>
      </c>
      <c r="DC15" s="135"/>
      <c r="DD15" s="130">
        <v>6</v>
      </c>
      <c r="DE15" s="131">
        <f t="shared" si="8"/>
        <v>0</v>
      </c>
      <c r="DF15" s="132"/>
      <c r="DG15" s="133"/>
      <c r="DH15" s="133"/>
      <c r="DI15" s="134">
        <v>8.4</v>
      </c>
      <c r="DJ15" s="133"/>
      <c r="DK15" s="134">
        <v>8.4</v>
      </c>
      <c r="DL15" s="135"/>
      <c r="DM15" s="130">
        <v>6</v>
      </c>
      <c r="DN15" s="131">
        <f t="shared" si="9"/>
        <v>0</v>
      </c>
      <c r="DO15" s="132"/>
      <c r="DP15" s="133"/>
      <c r="DQ15" s="133"/>
      <c r="DR15" s="134">
        <v>8.4</v>
      </c>
      <c r="DS15" s="133"/>
      <c r="DT15" s="134">
        <v>8.4</v>
      </c>
      <c r="DU15" s="135"/>
      <c r="DV15" s="130">
        <v>6</v>
      </c>
      <c r="DW15" s="137">
        <f t="shared" si="10"/>
        <v>0</v>
      </c>
      <c r="DX15" s="138"/>
      <c r="DY15" s="134">
        <f t="shared" si="11"/>
        <v>0</v>
      </c>
      <c r="DZ15" s="134">
        <f t="shared" si="12"/>
        <v>0</v>
      </c>
      <c r="EA15" s="134">
        <f t="shared" si="13"/>
        <v>0</v>
      </c>
      <c r="EB15" s="138"/>
      <c r="EC15" s="139"/>
      <c r="ED15" s="1"/>
      <c r="EE15" s="1"/>
      <c r="EF15" s="1"/>
    </row>
    <row r="16" spans="1:136">
      <c r="A16" s="118">
        <v>1</v>
      </c>
      <c r="B16" s="14" t="s">
        <v>35</v>
      </c>
      <c r="C16" s="13" t="s">
        <v>29</v>
      </c>
      <c r="D16" s="119" t="s">
        <v>30</v>
      </c>
      <c r="E16" s="140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2"/>
      <c r="Q16" s="123"/>
      <c r="R16" s="124"/>
      <c r="S16" s="125"/>
      <c r="T16" s="126"/>
      <c r="U16" s="127"/>
      <c r="V16" s="127"/>
      <c r="W16" s="128">
        <v>8.4</v>
      </c>
      <c r="X16" s="127"/>
      <c r="Y16" s="128">
        <v>8.4</v>
      </c>
      <c r="Z16" s="127"/>
      <c r="AA16" s="130">
        <v>6</v>
      </c>
      <c r="AB16" s="131">
        <f t="shared" si="0"/>
        <v>0</v>
      </c>
      <c r="AC16" s="126"/>
      <c r="AD16" s="127"/>
      <c r="AE16" s="127"/>
      <c r="AF16" s="128">
        <v>8.4</v>
      </c>
      <c r="AG16" s="127"/>
      <c r="AH16" s="128">
        <v>8.4</v>
      </c>
      <c r="AI16" s="127"/>
      <c r="AJ16" s="130">
        <v>6</v>
      </c>
      <c r="AK16" s="131">
        <f t="shared" si="14"/>
        <v>0</v>
      </c>
      <c r="AL16" s="126"/>
      <c r="AM16" s="127"/>
      <c r="AN16" s="127"/>
      <c r="AO16" s="128">
        <v>8.4</v>
      </c>
      <c r="AP16" s="127"/>
      <c r="AQ16" s="128">
        <v>8.4</v>
      </c>
      <c r="AR16" s="127"/>
      <c r="AS16" s="130">
        <v>6</v>
      </c>
      <c r="AT16" s="131">
        <f t="shared" si="1"/>
        <v>0</v>
      </c>
      <c r="AU16" s="132"/>
      <c r="AV16" s="133"/>
      <c r="AW16" s="133"/>
      <c r="AX16" s="134">
        <v>8.4</v>
      </c>
      <c r="AY16" s="133"/>
      <c r="AZ16" s="134">
        <v>8.4</v>
      </c>
      <c r="BA16" s="133"/>
      <c r="BB16" s="130">
        <v>6</v>
      </c>
      <c r="BC16" s="131">
        <f t="shared" si="2"/>
        <v>0</v>
      </c>
      <c r="BD16" s="132"/>
      <c r="BE16" s="133"/>
      <c r="BF16" s="133"/>
      <c r="BG16" s="134">
        <v>8.4</v>
      </c>
      <c r="BH16" s="133"/>
      <c r="BI16" s="134">
        <v>8.4</v>
      </c>
      <c r="BJ16" s="133"/>
      <c r="BK16" s="130">
        <v>6</v>
      </c>
      <c r="BL16" s="131">
        <f t="shared" si="3"/>
        <v>0</v>
      </c>
      <c r="BM16" s="132"/>
      <c r="BN16" s="133"/>
      <c r="BO16" s="133"/>
      <c r="BP16" s="134">
        <v>8.4</v>
      </c>
      <c r="BQ16" s="133"/>
      <c r="BR16" s="134">
        <v>8.4</v>
      </c>
      <c r="BS16" s="133"/>
      <c r="BT16" s="130">
        <v>6</v>
      </c>
      <c r="BU16" s="131">
        <f t="shared" si="4"/>
        <v>0</v>
      </c>
      <c r="BV16" s="132"/>
      <c r="BW16" s="133"/>
      <c r="BX16" s="133"/>
      <c r="BY16" s="134">
        <v>8.4</v>
      </c>
      <c r="BZ16" s="133"/>
      <c r="CA16" s="134">
        <v>8.4</v>
      </c>
      <c r="CB16" s="133"/>
      <c r="CC16" s="130">
        <v>6</v>
      </c>
      <c r="CD16" s="131">
        <f t="shared" si="5"/>
        <v>0</v>
      </c>
      <c r="CE16" s="132"/>
      <c r="CF16" s="133"/>
      <c r="CG16" s="133"/>
      <c r="CH16" s="134">
        <v>8.4</v>
      </c>
      <c r="CI16" s="133"/>
      <c r="CJ16" s="134">
        <v>8.4</v>
      </c>
      <c r="CK16" s="133"/>
      <c r="CL16" s="130">
        <v>6</v>
      </c>
      <c r="CM16" s="136">
        <f t="shared" si="6"/>
        <v>0</v>
      </c>
      <c r="CN16" s="132"/>
      <c r="CO16" s="133"/>
      <c r="CP16" s="133"/>
      <c r="CQ16" s="134">
        <v>8.4</v>
      </c>
      <c r="CR16" s="133"/>
      <c r="CS16" s="134">
        <v>8.4</v>
      </c>
      <c r="CT16" s="133"/>
      <c r="CU16" s="130">
        <v>6</v>
      </c>
      <c r="CV16" s="131">
        <f t="shared" si="7"/>
        <v>0</v>
      </c>
      <c r="CW16" s="132"/>
      <c r="CX16" s="133"/>
      <c r="CY16" s="133"/>
      <c r="CZ16" s="134">
        <v>8.4</v>
      </c>
      <c r="DA16" s="133"/>
      <c r="DB16" s="134">
        <v>8.4</v>
      </c>
      <c r="DC16" s="133"/>
      <c r="DD16" s="130">
        <v>6</v>
      </c>
      <c r="DE16" s="131">
        <f t="shared" si="8"/>
        <v>0</v>
      </c>
      <c r="DF16" s="132"/>
      <c r="DG16" s="133"/>
      <c r="DH16" s="133"/>
      <c r="DI16" s="134">
        <v>8.4</v>
      </c>
      <c r="DJ16" s="133"/>
      <c r="DK16" s="134">
        <v>8.4</v>
      </c>
      <c r="DL16" s="133"/>
      <c r="DM16" s="130">
        <v>6</v>
      </c>
      <c r="DN16" s="131">
        <f t="shared" si="9"/>
        <v>0</v>
      </c>
      <c r="DO16" s="132"/>
      <c r="DP16" s="133"/>
      <c r="DQ16" s="133"/>
      <c r="DR16" s="134">
        <v>8.4</v>
      </c>
      <c r="DS16" s="133"/>
      <c r="DT16" s="134">
        <v>8.4</v>
      </c>
      <c r="DU16" s="133"/>
      <c r="DV16" s="130">
        <v>6</v>
      </c>
      <c r="DW16" s="137">
        <f t="shared" si="10"/>
        <v>0</v>
      </c>
      <c r="DX16" s="138"/>
      <c r="DY16" s="134">
        <f t="shared" si="11"/>
        <v>0</v>
      </c>
      <c r="DZ16" s="134">
        <f t="shared" si="12"/>
        <v>0</v>
      </c>
      <c r="EA16" s="134">
        <f t="shared" si="13"/>
        <v>0</v>
      </c>
      <c r="EB16" s="138"/>
      <c r="EC16" s="139"/>
      <c r="ED16" s="1"/>
      <c r="EE16" s="1"/>
      <c r="EF16" s="1"/>
    </row>
    <row r="17" spans="1:136">
      <c r="A17" s="118">
        <v>1</v>
      </c>
      <c r="B17" s="14" t="s">
        <v>43</v>
      </c>
      <c r="C17" s="13" t="s">
        <v>36</v>
      </c>
      <c r="D17" s="119" t="s">
        <v>37</v>
      </c>
      <c r="E17" s="120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2"/>
      <c r="Q17" s="123"/>
      <c r="R17" s="124"/>
      <c r="S17" s="125"/>
      <c r="T17" s="126"/>
      <c r="U17" s="127"/>
      <c r="V17" s="127"/>
      <c r="W17" s="128">
        <v>8.4</v>
      </c>
      <c r="X17" s="127"/>
      <c r="Y17" s="128">
        <v>8.4</v>
      </c>
      <c r="Z17" s="127"/>
      <c r="AA17" s="130">
        <v>6</v>
      </c>
      <c r="AB17" s="131">
        <f t="shared" si="0"/>
        <v>0</v>
      </c>
      <c r="AC17" s="126"/>
      <c r="AD17" s="127"/>
      <c r="AE17" s="127"/>
      <c r="AF17" s="128">
        <v>8.4</v>
      </c>
      <c r="AG17" s="127"/>
      <c r="AH17" s="128">
        <v>8.4</v>
      </c>
      <c r="AI17" s="127"/>
      <c r="AJ17" s="130">
        <v>6</v>
      </c>
      <c r="AK17" s="131">
        <f t="shared" si="14"/>
        <v>0</v>
      </c>
      <c r="AL17" s="126"/>
      <c r="AM17" s="127"/>
      <c r="AN17" s="127"/>
      <c r="AO17" s="128">
        <v>8.4</v>
      </c>
      <c r="AP17" s="127"/>
      <c r="AQ17" s="128">
        <v>8.4</v>
      </c>
      <c r="AR17" s="127"/>
      <c r="AS17" s="130">
        <v>6</v>
      </c>
      <c r="AT17" s="131">
        <f t="shared" si="1"/>
        <v>0</v>
      </c>
      <c r="AU17" s="132"/>
      <c r="AV17" s="133"/>
      <c r="AW17" s="133"/>
      <c r="AX17" s="134">
        <v>8.4</v>
      </c>
      <c r="AY17" s="133"/>
      <c r="AZ17" s="134">
        <v>8.4</v>
      </c>
      <c r="BA17" s="133"/>
      <c r="BB17" s="130">
        <v>6</v>
      </c>
      <c r="BC17" s="131">
        <f t="shared" si="2"/>
        <v>0</v>
      </c>
      <c r="BD17" s="132"/>
      <c r="BE17" s="133"/>
      <c r="BF17" s="133"/>
      <c r="BG17" s="134">
        <v>8.4</v>
      </c>
      <c r="BH17" s="133"/>
      <c r="BI17" s="134">
        <v>8.4</v>
      </c>
      <c r="BJ17" s="133"/>
      <c r="BK17" s="130">
        <v>6</v>
      </c>
      <c r="BL17" s="131">
        <f t="shared" si="3"/>
        <v>0</v>
      </c>
      <c r="BM17" s="132"/>
      <c r="BN17" s="133"/>
      <c r="BO17" s="133"/>
      <c r="BP17" s="134">
        <v>8.4</v>
      </c>
      <c r="BQ17" s="133"/>
      <c r="BR17" s="134">
        <v>8.4</v>
      </c>
      <c r="BS17" s="133"/>
      <c r="BT17" s="130">
        <v>6</v>
      </c>
      <c r="BU17" s="131">
        <f t="shared" si="4"/>
        <v>0</v>
      </c>
      <c r="BV17" s="132"/>
      <c r="BW17" s="133"/>
      <c r="BX17" s="133"/>
      <c r="BY17" s="134">
        <v>8.4</v>
      </c>
      <c r="BZ17" s="133"/>
      <c r="CA17" s="134">
        <v>8.4</v>
      </c>
      <c r="CB17" s="133"/>
      <c r="CC17" s="130">
        <v>6</v>
      </c>
      <c r="CD17" s="131">
        <f t="shared" si="5"/>
        <v>0</v>
      </c>
      <c r="CE17" s="132"/>
      <c r="CF17" s="133"/>
      <c r="CG17" s="133"/>
      <c r="CH17" s="134">
        <v>8.4</v>
      </c>
      <c r="CI17" s="133"/>
      <c r="CJ17" s="134">
        <v>8.4</v>
      </c>
      <c r="CK17" s="133"/>
      <c r="CL17" s="130">
        <v>6</v>
      </c>
      <c r="CM17" s="136">
        <f t="shared" si="6"/>
        <v>0</v>
      </c>
      <c r="CN17" s="132"/>
      <c r="CO17" s="133"/>
      <c r="CP17" s="133"/>
      <c r="CQ17" s="134">
        <v>8.4</v>
      </c>
      <c r="CR17" s="133"/>
      <c r="CS17" s="134">
        <v>8.4</v>
      </c>
      <c r="CT17" s="133"/>
      <c r="CU17" s="130">
        <v>6</v>
      </c>
      <c r="CV17" s="131">
        <f t="shared" si="7"/>
        <v>0</v>
      </c>
      <c r="CW17" s="132"/>
      <c r="CX17" s="133"/>
      <c r="CY17" s="133"/>
      <c r="CZ17" s="134">
        <v>8.4</v>
      </c>
      <c r="DA17" s="133"/>
      <c r="DB17" s="134">
        <v>8.4</v>
      </c>
      <c r="DC17" s="133"/>
      <c r="DD17" s="130">
        <v>6</v>
      </c>
      <c r="DE17" s="131">
        <f t="shared" si="8"/>
        <v>0</v>
      </c>
      <c r="DF17" s="132"/>
      <c r="DG17" s="133"/>
      <c r="DH17" s="133"/>
      <c r="DI17" s="134">
        <v>8.4</v>
      </c>
      <c r="DJ17" s="133"/>
      <c r="DK17" s="134">
        <v>8.4</v>
      </c>
      <c r="DL17" s="133"/>
      <c r="DM17" s="130">
        <v>6</v>
      </c>
      <c r="DN17" s="131">
        <f t="shared" si="9"/>
        <v>0</v>
      </c>
      <c r="DO17" s="132"/>
      <c r="DP17" s="133"/>
      <c r="DQ17" s="133"/>
      <c r="DR17" s="134">
        <v>8.4</v>
      </c>
      <c r="DS17" s="133"/>
      <c r="DT17" s="134">
        <v>8.4</v>
      </c>
      <c r="DU17" s="133"/>
      <c r="DV17" s="130">
        <v>6</v>
      </c>
      <c r="DW17" s="137">
        <f t="shared" si="10"/>
        <v>0</v>
      </c>
      <c r="DX17" s="138"/>
      <c r="DY17" s="134">
        <f t="shared" si="11"/>
        <v>0</v>
      </c>
      <c r="DZ17" s="134">
        <f t="shared" si="12"/>
        <v>0</v>
      </c>
      <c r="EA17" s="134">
        <f t="shared" si="13"/>
        <v>0</v>
      </c>
      <c r="EB17" s="138"/>
      <c r="EC17" s="139"/>
      <c r="ED17" s="1"/>
      <c r="EE17" s="1"/>
      <c r="EF17" s="1"/>
    </row>
    <row r="18" spans="1:136">
      <c r="A18" s="118">
        <v>1</v>
      </c>
      <c r="B18" s="14" t="s">
        <v>62</v>
      </c>
      <c r="C18" s="13" t="s">
        <v>56</v>
      </c>
      <c r="D18" s="119" t="s">
        <v>57</v>
      </c>
      <c r="E18" s="140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2"/>
      <c r="Q18" s="123"/>
      <c r="R18" s="124"/>
      <c r="S18" s="125"/>
      <c r="T18" s="126"/>
      <c r="U18" s="127"/>
      <c r="V18" s="127"/>
      <c r="W18" s="128">
        <v>8.4</v>
      </c>
      <c r="X18" s="127"/>
      <c r="Y18" s="128">
        <v>8.4</v>
      </c>
      <c r="Z18" s="127"/>
      <c r="AA18" s="130">
        <v>6</v>
      </c>
      <c r="AB18" s="131">
        <f t="shared" si="0"/>
        <v>0</v>
      </c>
      <c r="AC18" s="126"/>
      <c r="AD18" s="127"/>
      <c r="AE18" s="127"/>
      <c r="AF18" s="128">
        <v>8.4</v>
      </c>
      <c r="AG18" s="127"/>
      <c r="AH18" s="128">
        <v>8.4</v>
      </c>
      <c r="AI18" s="127"/>
      <c r="AJ18" s="130">
        <v>6</v>
      </c>
      <c r="AK18" s="131">
        <f t="shared" si="14"/>
        <v>0</v>
      </c>
      <c r="AL18" s="126"/>
      <c r="AM18" s="127"/>
      <c r="AN18" s="127"/>
      <c r="AO18" s="128">
        <v>8.4</v>
      </c>
      <c r="AP18" s="127"/>
      <c r="AQ18" s="128">
        <v>8.4</v>
      </c>
      <c r="AR18" s="127"/>
      <c r="AS18" s="130">
        <v>6</v>
      </c>
      <c r="AT18" s="131">
        <f t="shared" si="1"/>
        <v>0</v>
      </c>
      <c r="AU18" s="132"/>
      <c r="AV18" s="133"/>
      <c r="AW18" s="133"/>
      <c r="AX18" s="134">
        <v>8.4</v>
      </c>
      <c r="AY18" s="133"/>
      <c r="AZ18" s="134">
        <v>8.4</v>
      </c>
      <c r="BA18" s="133"/>
      <c r="BB18" s="130">
        <v>6</v>
      </c>
      <c r="BC18" s="131">
        <f t="shared" si="2"/>
        <v>0</v>
      </c>
      <c r="BD18" s="132"/>
      <c r="BE18" s="133"/>
      <c r="BF18" s="133"/>
      <c r="BG18" s="134">
        <v>8.4</v>
      </c>
      <c r="BH18" s="133"/>
      <c r="BI18" s="134">
        <v>8.4</v>
      </c>
      <c r="BJ18" s="133"/>
      <c r="BK18" s="130">
        <v>6</v>
      </c>
      <c r="BL18" s="131">
        <f t="shared" si="3"/>
        <v>0</v>
      </c>
      <c r="BM18" s="132"/>
      <c r="BN18" s="133"/>
      <c r="BO18" s="133"/>
      <c r="BP18" s="134">
        <v>8.4</v>
      </c>
      <c r="BQ18" s="133"/>
      <c r="BR18" s="134">
        <v>8.4</v>
      </c>
      <c r="BS18" s="133"/>
      <c r="BT18" s="130">
        <v>6</v>
      </c>
      <c r="BU18" s="131">
        <f t="shared" si="4"/>
        <v>0</v>
      </c>
      <c r="BV18" s="132"/>
      <c r="BW18" s="133"/>
      <c r="BX18" s="133"/>
      <c r="BY18" s="134">
        <v>8.4</v>
      </c>
      <c r="BZ18" s="133"/>
      <c r="CA18" s="134">
        <v>8.4</v>
      </c>
      <c r="CB18" s="133"/>
      <c r="CC18" s="130">
        <v>6</v>
      </c>
      <c r="CD18" s="131">
        <f t="shared" si="5"/>
        <v>0</v>
      </c>
      <c r="CE18" s="132"/>
      <c r="CF18" s="133"/>
      <c r="CG18" s="133"/>
      <c r="CH18" s="134">
        <v>8.4</v>
      </c>
      <c r="CI18" s="133"/>
      <c r="CJ18" s="134">
        <v>8.4</v>
      </c>
      <c r="CK18" s="133"/>
      <c r="CL18" s="130">
        <v>6</v>
      </c>
      <c r="CM18" s="136">
        <f t="shared" si="6"/>
        <v>0</v>
      </c>
      <c r="CN18" s="132"/>
      <c r="CO18" s="133"/>
      <c r="CP18" s="133"/>
      <c r="CQ18" s="134">
        <v>8.4</v>
      </c>
      <c r="CR18" s="133"/>
      <c r="CS18" s="134">
        <v>8.4</v>
      </c>
      <c r="CT18" s="133"/>
      <c r="CU18" s="130">
        <v>6</v>
      </c>
      <c r="CV18" s="131">
        <f t="shared" si="7"/>
        <v>0</v>
      </c>
      <c r="CW18" s="132"/>
      <c r="CX18" s="133"/>
      <c r="CY18" s="133"/>
      <c r="CZ18" s="134">
        <v>8.4</v>
      </c>
      <c r="DA18" s="133"/>
      <c r="DB18" s="134">
        <v>8.4</v>
      </c>
      <c r="DC18" s="133"/>
      <c r="DD18" s="130">
        <v>6</v>
      </c>
      <c r="DE18" s="131">
        <f t="shared" si="8"/>
        <v>0</v>
      </c>
      <c r="DF18" s="132"/>
      <c r="DG18" s="133"/>
      <c r="DH18" s="133"/>
      <c r="DI18" s="134">
        <v>8.4</v>
      </c>
      <c r="DJ18" s="133"/>
      <c r="DK18" s="134">
        <v>8.4</v>
      </c>
      <c r="DL18" s="133"/>
      <c r="DM18" s="130">
        <v>6</v>
      </c>
      <c r="DN18" s="131">
        <f t="shared" si="9"/>
        <v>0</v>
      </c>
      <c r="DO18" s="132"/>
      <c r="DP18" s="133"/>
      <c r="DQ18" s="133"/>
      <c r="DR18" s="134">
        <v>8.4</v>
      </c>
      <c r="DS18" s="133"/>
      <c r="DT18" s="134">
        <v>8.4</v>
      </c>
      <c r="DU18" s="133"/>
      <c r="DV18" s="130">
        <v>6</v>
      </c>
      <c r="DW18" s="137">
        <f t="shared" si="10"/>
        <v>0</v>
      </c>
      <c r="DX18" s="138"/>
      <c r="DY18" s="134">
        <f t="shared" si="11"/>
        <v>0</v>
      </c>
      <c r="DZ18" s="134">
        <f t="shared" si="12"/>
        <v>0</v>
      </c>
      <c r="EA18" s="134">
        <f t="shared" si="13"/>
        <v>0</v>
      </c>
      <c r="EB18" s="138"/>
      <c r="EC18" s="139"/>
      <c r="ED18" s="1"/>
      <c r="EE18" s="1"/>
      <c r="EF18" s="1"/>
    </row>
    <row r="19" spans="1:136">
      <c r="A19" s="118">
        <v>1</v>
      </c>
      <c r="B19" s="14" t="s">
        <v>20</v>
      </c>
      <c r="C19" s="13" t="s">
        <v>69</v>
      </c>
      <c r="D19" s="119" t="s">
        <v>70</v>
      </c>
      <c r="E19" s="120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2"/>
      <c r="Q19" s="123"/>
      <c r="R19" s="124"/>
      <c r="S19" s="125"/>
      <c r="T19" s="126"/>
      <c r="U19" s="127"/>
      <c r="V19" s="127"/>
      <c r="W19" s="128">
        <v>8.4</v>
      </c>
      <c r="X19" s="127"/>
      <c r="Y19" s="128">
        <v>8.4</v>
      </c>
      <c r="Z19" s="127"/>
      <c r="AA19" s="130">
        <v>6</v>
      </c>
      <c r="AB19" s="131">
        <f t="shared" si="0"/>
        <v>0</v>
      </c>
      <c r="AC19" s="126"/>
      <c r="AD19" s="127"/>
      <c r="AE19" s="127"/>
      <c r="AF19" s="128">
        <v>8.4</v>
      </c>
      <c r="AG19" s="127"/>
      <c r="AH19" s="128">
        <v>8.4</v>
      </c>
      <c r="AI19" s="127"/>
      <c r="AJ19" s="130">
        <v>6</v>
      </c>
      <c r="AK19" s="131">
        <f t="shared" si="14"/>
        <v>0</v>
      </c>
      <c r="AL19" s="126"/>
      <c r="AM19" s="127"/>
      <c r="AN19" s="127"/>
      <c r="AO19" s="128">
        <v>8.4</v>
      </c>
      <c r="AP19" s="127"/>
      <c r="AQ19" s="128">
        <v>8.4</v>
      </c>
      <c r="AR19" s="127"/>
      <c r="AS19" s="130">
        <v>6</v>
      </c>
      <c r="AT19" s="131">
        <f t="shared" si="1"/>
        <v>0</v>
      </c>
      <c r="AU19" s="132"/>
      <c r="AV19" s="133"/>
      <c r="AW19" s="133"/>
      <c r="AX19" s="134">
        <v>8.4</v>
      </c>
      <c r="AY19" s="133"/>
      <c r="AZ19" s="134">
        <v>8.4</v>
      </c>
      <c r="BA19" s="133"/>
      <c r="BB19" s="130">
        <v>6</v>
      </c>
      <c r="BC19" s="131">
        <f t="shared" si="2"/>
        <v>0</v>
      </c>
      <c r="BD19" s="132"/>
      <c r="BE19" s="133"/>
      <c r="BF19" s="133"/>
      <c r="BG19" s="134">
        <v>8.4</v>
      </c>
      <c r="BH19" s="133"/>
      <c r="BI19" s="134">
        <v>8.4</v>
      </c>
      <c r="BJ19" s="133"/>
      <c r="BK19" s="130">
        <v>6</v>
      </c>
      <c r="BL19" s="131">
        <f t="shared" si="3"/>
        <v>0</v>
      </c>
      <c r="BM19" s="132"/>
      <c r="BN19" s="133"/>
      <c r="BO19" s="133"/>
      <c r="BP19" s="134">
        <v>8.4</v>
      </c>
      <c r="BQ19" s="133"/>
      <c r="BR19" s="134">
        <v>8.4</v>
      </c>
      <c r="BS19" s="133"/>
      <c r="BT19" s="130">
        <v>6</v>
      </c>
      <c r="BU19" s="131">
        <f t="shared" si="4"/>
        <v>0</v>
      </c>
      <c r="BV19" s="132"/>
      <c r="BW19" s="133"/>
      <c r="BX19" s="133"/>
      <c r="BY19" s="134">
        <v>8.4</v>
      </c>
      <c r="BZ19" s="133"/>
      <c r="CA19" s="134">
        <v>8.4</v>
      </c>
      <c r="CB19" s="133"/>
      <c r="CC19" s="130">
        <v>6</v>
      </c>
      <c r="CD19" s="131">
        <f t="shared" si="5"/>
        <v>0</v>
      </c>
      <c r="CE19" s="132"/>
      <c r="CF19" s="133"/>
      <c r="CG19" s="133"/>
      <c r="CH19" s="134">
        <v>8.4</v>
      </c>
      <c r="CI19" s="133"/>
      <c r="CJ19" s="134">
        <v>8.4</v>
      </c>
      <c r="CK19" s="133"/>
      <c r="CL19" s="130">
        <v>6</v>
      </c>
      <c r="CM19" s="136">
        <f t="shared" si="6"/>
        <v>0</v>
      </c>
      <c r="CN19" s="132"/>
      <c r="CO19" s="133"/>
      <c r="CP19" s="133"/>
      <c r="CQ19" s="134">
        <v>8.4</v>
      </c>
      <c r="CR19" s="133"/>
      <c r="CS19" s="134">
        <v>8.4</v>
      </c>
      <c r="CT19" s="133"/>
      <c r="CU19" s="130">
        <v>6</v>
      </c>
      <c r="CV19" s="131">
        <f t="shared" si="7"/>
        <v>0</v>
      </c>
      <c r="CW19" s="132"/>
      <c r="CX19" s="133"/>
      <c r="CY19" s="133"/>
      <c r="CZ19" s="134">
        <v>8.4</v>
      </c>
      <c r="DA19" s="133"/>
      <c r="DB19" s="134">
        <v>8.4</v>
      </c>
      <c r="DC19" s="133"/>
      <c r="DD19" s="130">
        <v>6</v>
      </c>
      <c r="DE19" s="131">
        <f t="shared" si="8"/>
        <v>0</v>
      </c>
      <c r="DF19" s="132"/>
      <c r="DG19" s="133"/>
      <c r="DH19" s="133"/>
      <c r="DI19" s="134">
        <v>8.4</v>
      </c>
      <c r="DJ19" s="133"/>
      <c r="DK19" s="134">
        <v>8.4</v>
      </c>
      <c r="DL19" s="133"/>
      <c r="DM19" s="130">
        <v>6</v>
      </c>
      <c r="DN19" s="131">
        <f t="shared" si="9"/>
        <v>0</v>
      </c>
      <c r="DO19" s="132"/>
      <c r="DP19" s="133"/>
      <c r="DQ19" s="133"/>
      <c r="DR19" s="134">
        <v>8.4</v>
      </c>
      <c r="DS19" s="133"/>
      <c r="DT19" s="134">
        <v>8.4</v>
      </c>
      <c r="DU19" s="133"/>
      <c r="DV19" s="130">
        <v>6</v>
      </c>
      <c r="DW19" s="137">
        <f t="shared" si="10"/>
        <v>0</v>
      </c>
      <c r="DX19" s="138"/>
      <c r="DY19" s="134">
        <f t="shared" si="11"/>
        <v>0</v>
      </c>
      <c r="DZ19" s="134">
        <f t="shared" si="12"/>
        <v>0</v>
      </c>
      <c r="EA19" s="134">
        <f t="shared" si="13"/>
        <v>0</v>
      </c>
      <c r="EB19" s="138"/>
      <c r="EC19" s="139"/>
      <c r="ED19" s="1"/>
      <c r="EE19" s="1"/>
      <c r="EF19" s="1"/>
    </row>
    <row r="20" spans="1:136">
      <c r="A20" s="118">
        <v>1</v>
      </c>
      <c r="B20" s="14" t="s">
        <v>20</v>
      </c>
      <c r="C20" s="13" t="s">
        <v>323</v>
      </c>
      <c r="D20" s="119" t="s">
        <v>324</v>
      </c>
      <c r="E20" s="140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2"/>
      <c r="Q20" s="123"/>
      <c r="R20" s="124"/>
      <c r="S20" s="125"/>
      <c r="T20" s="126"/>
      <c r="U20" s="127"/>
      <c r="V20" s="127"/>
      <c r="W20" s="128">
        <v>8.4</v>
      </c>
      <c r="X20" s="127"/>
      <c r="Y20" s="128">
        <v>8.4</v>
      </c>
      <c r="Z20" s="127"/>
      <c r="AA20" s="130">
        <v>6</v>
      </c>
      <c r="AB20" s="131">
        <f t="shared" si="0"/>
        <v>0</v>
      </c>
      <c r="AC20" s="126"/>
      <c r="AD20" s="127"/>
      <c r="AE20" s="127"/>
      <c r="AF20" s="128">
        <v>8.4</v>
      </c>
      <c r="AG20" s="127"/>
      <c r="AH20" s="128">
        <v>8.4</v>
      </c>
      <c r="AI20" s="127"/>
      <c r="AJ20" s="130">
        <v>6</v>
      </c>
      <c r="AK20" s="131">
        <f t="shared" si="14"/>
        <v>0</v>
      </c>
      <c r="AL20" s="126"/>
      <c r="AM20" s="127"/>
      <c r="AN20" s="127"/>
      <c r="AO20" s="128">
        <v>8.4</v>
      </c>
      <c r="AP20" s="127"/>
      <c r="AQ20" s="128">
        <v>8.4</v>
      </c>
      <c r="AR20" s="127"/>
      <c r="AS20" s="130">
        <v>6</v>
      </c>
      <c r="AT20" s="131">
        <f t="shared" si="1"/>
        <v>0</v>
      </c>
      <c r="AU20" s="132"/>
      <c r="AV20" s="133"/>
      <c r="AW20" s="133"/>
      <c r="AX20" s="134">
        <v>8.4</v>
      </c>
      <c r="AY20" s="133"/>
      <c r="AZ20" s="134">
        <v>8.4</v>
      </c>
      <c r="BA20" s="133"/>
      <c r="BB20" s="130">
        <v>6</v>
      </c>
      <c r="BC20" s="131">
        <f t="shared" si="2"/>
        <v>0</v>
      </c>
      <c r="BD20" s="132"/>
      <c r="BE20" s="133"/>
      <c r="BF20" s="133"/>
      <c r="BG20" s="134">
        <v>8.4</v>
      </c>
      <c r="BH20" s="133"/>
      <c r="BI20" s="134">
        <v>8.4</v>
      </c>
      <c r="BJ20" s="133"/>
      <c r="BK20" s="130">
        <v>6</v>
      </c>
      <c r="BL20" s="131">
        <f t="shared" si="3"/>
        <v>0</v>
      </c>
      <c r="BM20" s="132"/>
      <c r="BN20" s="133"/>
      <c r="BO20" s="133"/>
      <c r="BP20" s="134">
        <v>8.4</v>
      </c>
      <c r="BQ20" s="133"/>
      <c r="BR20" s="134">
        <v>8.4</v>
      </c>
      <c r="BS20" s="133"/>
      <c r="BT20" s="130">
        <v>6</v>
      </c>
      <c r="BU20" s="131">
        <f t="shared" si="4"/>
        <v>0</v>
      </c>
      <c r="BV20" s="132"/>
      <c r="BW20" s="133"/>
      <c r="BX20" s="133"/>
      <c r="BY20" s="134">
        <v>8.4</v>
      </c>
      <c r="BZ20" s="133"/>
      <c r="CA20" s="134">
        <v>8.4</v>
      </c>
      <c r="CB20" s="133"/>
      <c r="CC20" s="130">
        <v>6</v>
      </c>
      <c r="CD20" s="131">
        <f t="shared" si="5"/>
        <v>0</v>
      </c>
      <c r="CE20" s="132"/>
      <c r="CF20" s="133"/>
      <c r="CG20" s="133"/>
      <c r="CH20" s="134">
        <v>8.4</v>
      </c>
      <c r="CI20" s="133"/>
      <c r="CJ20" s="134">
        <v>8.4</v>
      </c>
      <c r="CK20" s="133"/>
      <c r="CL20" s="130">
        <v>6</v>
      </c>
      <c r="CM20" s="136">
        <f t="shared" si="6"/>
        <v>0</v>
      </c>
      <c r="CN20" s="132"/>
      <c r="CO20" s="133"/>
      <c r="CP20" s="133"/>
      <c r="CQ20" s="134">
        <v>8.4</v>
      </c>
      <c r="CR20" s="133"/>
      <c r="CS20" s="134">
        <v>8.4</v>
      </c>
      <c r="CT20" s="133"/>
      <c r="CU20" s="130">
        <v>6</v>
      </c>
      <c r="CV20" s="131">
        <f t="shared" si="7"/>
        <v>0</v>
      </c>
      <c r="CW20" s="132"/>
      <c r="CX20" s="133"/>
      <c r="CY20" s="133"/>
      <c r="CZ20" s="134">
        <v>8.4</v>
      </c>
      <c r="DA20" s="133"/>
      <c r="DB20" s="134">
        <v>8.4</v>
      </c>
      <c r="DC20" s="133"/>
      <c r="DD20" s="130">
        <v>6</v>
      </c>
      <c r="DE20" s="131">
        <f t="shared" si="8"/>
        <v>0</v>
      </c>
      <c r="DF20" s="132"/>
      <c r="DG20" s="133"/>
      <c r="DH20" s="133"/>
      <c r="DI20" s="134">
        <v>8.4</v>
      </c>
      <c r="DJ20" s="133"/>
      <c r="DK20" s="134">
        <v>8.4</v>
      </c>
      <c r="DL20" s="133"/>
      <c r="DM20" s="130">
        <v>6</v>
      </c>
      <c r="DN20" s="131">
        <f t="shared" si="9"/>
        <v>0</v>
      </c>
      <c r="DO20" s="132"/>
      <c r="DP20" s="133"/>
      <c r="DQ20" s="133"/>
      <c r="DR20" s="134">
        <v>8.4</v>
      </c>
      <c r="DS20" s="133"/>
      <c r="DT20" s="134">
        <v>8.4</v>
      </c>
      <c r="DU20" s="133"/>
      <c r="DV20" s="130">
        <v>6</v>
      </c>
      <c r="DW20" s="137">
        <f t="shared" si="10"/>
        <v>0</v>
      </c>
      <c r="DX20" s="138"/>
      <c r="DY20" s="134">
        <f t="shared" si="11"/>
        <v>0</v>
      </c>
      <c r="DZ20" s="134">
        <f t="shared" si="12"/>
        <v>0</v>
      </c>
      <c r="EA20" s="134">
        <f t="shared" si="13"/>
        <v>0</v>
      </c>
      <c r="EB20" s="138"/>
      <c r="EC20" s="139"/>
      <c r="ED20" s="1"/>
      <c r="EE20" s="1"/>
      <c r="EF20" s="1"/>
    </row>
    <row r="21" spans="1:136">
      <c r="A21" s="118">
        <v>1</v>
      </c>
      <c r="B21" s="14" t="s">
        <v>106</v>
      </c>
      <c r="C21" s="13" t="s">
        <v>99</v>
      </c>
      <c r="D21" s="119" t="s">
        <v>100</v>
      </c>
      <c r="E21" s="120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2"/>
      <c r="Q21" s="123"/>
      <c r="R21" s="124"/>
      <c r="S21" s="125"/>
      <c r="T21" s="126"/>
      <c r="U21" s="127"/>
      <c r="V21" s="127"/>
      <c r="W21" s="128">
        <v>8.4</v>
      </c>
      <c r="X21" s="127"/>
      <c r="Y21" s="128">
        <v>8.4</v>
      </c>
      <c r="Z21" s="127"/>
      <c r="AA21" s="130">
        <v>6</v>
      </c>
      <c r="AB21" s="131">
        <f t="shared" si="0"/>
        <v>0</v>
      </c>
      <c r="AC21" s="126"/>
      <c r="AD21" s="127"/>
      <c r="AE21" s="127"/>
      <c r="AF21" s="128">
        <v>8.4</v>
      </c>
      <c r="AG21" s="127"/>
      <c r="AH21" s="128">
        <v>8.4</v>
      </c>
      <c r="AI21" s="127"/>
      <c r="AJ21" s="130">
        <v>6</v>
      </c>
      <c r="AK21" s="131">
        <f t="shared" si="14"/>
        <v>0</v>
      </c>
      <c r="AL21" s="126"/>
      <c r="AM21" s="127"/>
      <c r="AN21" s="127"/>
      <c r="AO21" s="128">
        <v>8.4</v>
      </c>
      <c r="AP21" s="127"/>
      <c r="AQ21" s="128">
        <v>8.4</v>
      </c>
      <c r="AR21" s="127"/>
      <c r="AS21" s="130">
        <v>6</v>
      </c>
      <c r="AT21" s="131">
        <f t="shared" si="1"/>
        <v>0</v>
      </c>
      <c r="AU21" s="132"/>
      <c r="AV21" s="133"/>
      <c r="AW21" s="133"/>
      <c r="AX21" s="134">
        <v>8.4</v>
      </c>
      <c r="AY21" s="133"/>
      <c r="AZ21" s="134">
        <v>8.4</v>
      </c>
      <c r="BA21" s="133"/>
      <c r="BB21" s="130">
        <v>6</v>
      </c>
      <c r="BC21" s="131">
        <f t="shared" si="2"/>
        <v>0</v>
      </c>
      <c r="BD21" s="132"/>
      <c r="BE21" s="133"/>
      <c r="BF21" s="133"/>
      <c r="BG21" s="134">
        <v>8.4</v>
      </c>
      <c r="BH21" s="133"/>
      <c r="BI21" s="134">
        <v>8.4</v>
      </c>
      <c r="BJ21" s="133"/>
      <c r="BK21" s="130">
        <v>6</v>
      </c>
      <c r="BL21" s="131">
        <f t="shared" si="3"/>
        <v>0</v>
      </c>
      <c r="BM21" s="132"/>
      <c r="BN21" s="133"/>
      <c r="BO21" s="133"/>
      <c r="BP21" s="134">
        <v>8.4</v>
      </c>
      <c r="BQ21" s="133"/>
      <c r="BR21" s="134">
        <v>8.4</v>
      </c>
      <c r="BS21" s="133"/>
      <c r="BT21" s="130">
        <v>6</v>
      </c>
      <c r="BU21" s="131">
        <f t="shared" si="4"/>
        <v>0</v>
      </c>
      <c r="BV21" s="132"/>
      <c r="BW21" s="133"/>
      <c r="BX21" s="133"/>
      <c r="BY21" s="134">
        <v>8.4</v>
      </c>
      <c r="BZ21" s="133"/>
      <c r="CA21" s="134">
        <v>8.4</v>
      </c>
      <c r="CB21" s="133"/>
      <c r="CC21" s="130">
        <v>6</v>
      </c>
      <c r="CD21" s="131">
        <f t="shared" si="5"/>
        <v>0</v>
      </c>
      <c r="CE21" s="132"/>
      <c r="CF21" s="133"/>
      <c r="CG21" s="133"/>
      <c r="CH21" s="134">
        <v>8.4</v>
      </c>
      <c r="CI21" s="133"/>
      <c r="CJ21" s="134">
        <v>8.4</v>
      </c>
      <c r="CK21" s="133"/>
      <c r="CL21" s="130">
        <v>6</v>
      </c>
      <c r="CM21" s="136">
        <f t="shared" si="6"/>
        <v>0</v>
      </c>
      <c r="CN21" s="132"/>
      <c r="CO21" s="133"/>
      <c r="CP21" s="133"/>
      <c r="CQ21" s="134">
        <v>8.4</v>
      </c>
      <c r="CR21" s="133"/>
      <c r="CS21" s="134">
        <v>8.4</v>
      </c>
      <c r="CT21" s="133"/>
      <c r="CU21" s="130">
        <v>6</v>
      </c>
      <c r="CV21" s="131">
        <f t="shared" si="7"/>
        <v>0</v>
      </c>
      <c r="CW21" s="132"/>
      <c r="CX21" s="133"/>
      <c r="CY21" s="133"/>
      <c r="CZ21" s="134">
        <v>8.4</v>
      </c>
      <c r="DA21" s="133"/>
      <c r="DB21" s="134">
        <v>8.4</v>
      </c>
      <c r="DC21" s="133"/>
      <c r="DD21" s="130">
        <v>6</v>
      </c>
      <c r="DE21" s="131">
        <f t="shared" si="8"/>
        <v>0</v>
      </c>
      <c r="DF21" s="132"/>
      <c r="DG21" s="133"/>
      <c r="DH21" s="133"/>
      <c r="DI21" s="134">
        <v>8.4</v>
      </c>
      <c r="DJ21" s="133"/>
      <c r="DK21" s="134">
        <v>8.4</v>
      </c>
      <c r="DL21" s="133"/>
      <c r="DM21" s="130">
        <v>6</v>
      </c>
      <c r="DN21" s="131">
        <f t="shared" si="9"/>
        <v>0</v>
      </c>
      <c r="DO21" s="132"/>
      <c r="DP21" s="133"/>
      <c r="DQ21" s="133"/>
      <c r="DR21" s="134">
        <v>8.4</v>
      </c>
      <c r="DS21" s="133"/>
      <c r="DT21" s="134">
        <v>8.4</v>
      </c>
      <c r="DU21" s="133"/>
      <c r="DV21" s="130">
        <v>6</v>
      </c>
      <c r="DW21" s="137">
        <f t="shared" si="10"/>
        <v>0</v>
      </c>
      <c r="DX21" s="138"/>
      <c r="DY21" s="134">
        <f t="shared" si="11"/>
        <v>0</v>
      </c>
      <c r="DZ21" s="134">
        <f t="shared" si="12"/>
        <v>0</v>
      </c>
      <c r="EA21" s="134">
        <f t="shared" si="13"/>
        <v>0</v>
      </c>
      <c r="EB21" s="138"/>
      <c r="EC21" s="139"/>
      <c r="ED21" s="1"/>
      <c r="EE21" s="1"/>
      <c r="EF21" s="1"/>
    </row>
    <row r="22" spans="1:136">
      <c r="A22" s="118">
        <v>1</v>
      </c>
      <c r="B22" s="14" t="s">
        <v>35</v>
      </c>
      <c r="C22" s="13" t="s">
        <v>325</v>
      </c>
      <c r="D22" s="119" t="s">
        <v>326</v>
      </c>
      <c r="E22" s="140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2"/>
      <c r="Q22" s="123"/>
      <c r="R22" s="124"/>
      <c r="S22" s="125"/>
      <c r="T22" s="126"/>
      <c r="U22" s="127"/>
      <c r="V22" s="127"/>
      <c r="W22" s="128">
        <v>8.4</v>
      </c>
      <c r="X22" s="127"/>
      <c r="Y22" s="128">
        <v>8.4</v>
      </c>
      <c r="Z22" s="127"/>
      <c r="AA22" s="130">
        <v>6</v>
      </c>
      <c r="AB22" s="131">
        <f t="shared" si="0"/>
        <v>0</v>
      </c>
      <c r="AC22" s="126"/>
      <c r="AD22" s="127"/>
      <c r="AE22" s="127"/>
      <c r="AF22" s="128">
        <v>8.4</v>
      </c>
      <c r="AG22" s="127"/>
      <c r="AH22" s="128">
        <v>8.4</v>
      </c>
      <c r="AI22" s="127"/>
      <c r="AJ22" s="130">
        <v>6</v>
      </c>
      <c r="AK22" s="131">
        <f t="shared" si="14"/>
        <v>0</v>
      </c>
      <c r="AL22" s="126"/>
      <c r="AM22" s="127"/>
      <c r="AN22" s="127"/>
      <c r="AO22" s="128">
        <v>8.4</v>
      </c>
      <c r="AP22" s="127"/>
      <c r="AQ22" s="128">
        <v>8.4</v>
      </c>
      <c r="AR22" s="127"/>
      <c r="AS22" s="130">
        <v>6</v>
      </c>
      <c r="AT22" s="131">
        <f t="shared" si="1"/>
        <v>0</v>
      </c>
      <c r="AU22" s="132"/>
      <c r="AV22" s="133"/>
      <c r="AW22" s="133"/>
      <c r="AX22" s="134">
        <v>8.4</v>
      </c>
      <c r="AY22" s="133"/>
      <c r="AZ22" s="134">
        <v>8.4</v>
      </c>
      <c r="BA22" s="133"/>
      <c r="BB22" s="130">
        <v>6</v>
      </c>
      <c r="BC22" s="131">
        <f t="shared" si="2"/>
        <v>0</v>
      </c>
      <c r="BD22" s="132"/>
      <c r="BE22" s="133"/>
      <c r="BF22" s="133"/>
      <c r="BG22" s="134">
        <v>8.4</v>
      </c>
      <c r="BH22" s="133"/>
      <c r="BI22" s="134">
        <v>8.4</v>
      </c>
      <c r="BJ22" s="133"/>
      <c r="BK22" s="130">
        <v>6</v>
      </c>
      <c r="BL22" s="131">
        <f t="shared" si="3"/>
        <v>0</v>
      </c>
      <c r="BM22" s="132"/>
      <c r="BN22" s="133"/>
      <c r="BO22" s="133"/>
      <c r="BP22" s="134">
        <v>8.4</v>
      </c>
      <c r="BQ22" s="133"/>
      <c r="BR22" s="134">
        <v>8.4</v>
      </c>
      <c r="BS22" s="133"/>
      <c r="BT22" s="130">
        <v>6</v>
      </c>
      <c r="BU22" s="131">
        <f t="shared" si="4"/>
        <v>0</v>
      </c>
      <c r="BV22" s="132"/>
      <c r="BW22" s="133"/>
      <c r="BX22" s="133"/>
      <c r="BY22" s="134">
        <v>8.4</v>
      </c>
      <c r="BZ22" s="133"/>
      <c r="CA22" s="134">
        <v>8.4</v>
      </c>
      <c r="CB22" s="133"/>
      <c r="CC22" s="130">
        <v>6</v>
      </c>
      <c r="CD22" s="131">
        <f t="shared" si="5"/>
        <v>0</v>
      </c>
      <c r="CE22" s="132"/>
      <c r="CF22" s="133"/>
      <c r="CG22" s="133"/>
      <c r="CH22" s="134">
        <v>8.4</v>
      </c>
      <c r="CI22" s="133"/>
      <c r="CJ22" s="134">
        <v>8.4</v>
      </c>
      <c r="CK22" s="133"/>
      <c r="CL22" s="130">
        <v>6</v>
      </c>
      <c r="CM22" s="136">
        <f t="shared" si="6"/>
        <v>0</v>
      </c>
      <c r="CN22" s="132"/>
      <c r="CO22" s="133"/>
      <c r="CP22" s="133"/>
      <c r="CQ22" s="134">
        <v>8.4</v>
      </c>
      <c r="CR22" s="133"/>
      <c r="CS22" s="134">
        <v>8.4</v>
      </c>
      <c r="CT22" s="133"/>
      <c r="CU22" s="130">
        <v>6</v>
      </c>
      <c r="CV22" s="131">
        <f t="shared" si="7"/>
        <v>0</v>
      </c>
      <c r="CW22" s="132"/>
      <c r="CX22" s="133"/>
      <c r="CY22" s="133"/>
      <c r="CZ22" s="134">
        <v>8.4</v>
      </c>
      <c r="DA22" s="133"/>
      <c r="DB22" s="134">
        <v>8.4</v>
      </c>
      <c r="DC22" s="133"/>
      <c r="DD22" s="130">
        <v>6</v>
      </c>
      <c r="DE22" s="131">
        <f t="shared" si="8"/>
        <v>0</v>
      </c>
      <c r="DF22" s="132"/>
      <c r="DG22" s="133"/>
      <c r="DH22" s="133"/>
      <c r="DI22" s="134">
        <v>8.4</v>
      </c>
      <c r="DJ22" s="133"/>
      <c r="DK22" s="134">
        <v>8.4</v>
      </c>
      <c r="DL22" s="133"/>
      <c r="DM22" s="130">
        <v>6</v>
      </c>
      <c r="DN22" s="131">
        <f t="shared" si="9"/>
        <v>0</v>
      </c>
      <c r="DO22" s="132"/>
      <c r="DP22" s="133"/>
      <c r="DQ22" s="133"/>
      <c r="DR22" s="134">
        <v>8.4</v>
      </c>
      <c r="DS22" s="133"/>
      <c r="DT22" s="134">
        <v>8.4</v>
      </c>
      <c r="DU22" s="133"/>
      <c r="DV22" s="130">
        <v>6</v>
      </c>
      <c r="DW22" s="137">
        <f t="shared" si="10"/>
        <v>0</v>
      </c>
      <c r="DX22" s="138"/>
      <c r="DY22" s="134">
        <f t="shared" si="11"/>
        <v>0</v>
      </c>
      <c r="DZ22" s="134">
        <f t="shared" si="12"/>
        <v>0</v>
      </c>
      <c r="EA22" s="134">
        <f t="shared" si="13"/>
        <v>0</v>
      </c>
      <c r="EB22" s="138"/>
      <c r="EC22" s="139"/>
      <c r="ED22" s="1"/>
      <c r="EE22" s="1"/>
      <c r="EF22" s="1"/>
    </row>
    <row r="23" spans="1:136">
      <c r="A23" s="118">
        <v>1</v>
      </c>
      <c r="B23" s="14" t="s">
        <v>106</v>
      </c>
      <c r="C23" s="13" t="s">
        <v>327</v>
      </c>
      <c r="D23" s="119" t="s">
        <v>328</v>
      </c>
      <c r="E23" s="120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2"/>
      <c r="Q23" s="123"/>
      <c r="R23" s="124"/>
      <c r="S23" s="125"/>
      <c r="T23" s="126"/>
      <c r="U23" s="127"/>
      <c r="V23" s="127"/>
      <c r="W23" s="128">
        <v>8.4</v>
      </c>
      <c r="X23" s="127"/>
      <c r="Y23" s="128">
        <v>8.4</v>
      </c>
      <c r="Z23" s="127"/>
      <c r="AA23" s="130">
        <v>6</v>
      </c>
      <c r="AB23" s="131">
        <f t="shared" si="0"/>
        <v>0</v>
      </c>
      <c r="AC23" s="126"/>
      <c r="AD23" s="127"/>
      <c r="AE23" s="127"/>
      <c r="AF23" s="128">
        <v>8.4</v>
      </c>
      <c r="AG23" s="127"/>
      <c r="AH23" s="128">
        <v>8.4</v>
      </c>
      <c r="AI23" s="127"/>
      <c r="AJ23" s="130">
        <v>6</v>
      </c>
      <c r="AK23" s="131">
        <f t="shared" si="14"/>
        <v>0</v>
      </c>
      <c r="AL23" s="126"/>
      <c r="AM23" s="127"/>
      <c r="AN23" s="127"/>
      <c r="AO23" s="128">
        <v>8.4</v>
      </c>
      <c r="AP23" s="127"/>
      <c r="AQ23" s="128">
        <v>8.4</v>
      </c>
      <c r="AR23" s="127"/>
      <c r="AS23" s="130">
        <v>6</v>
      </c>
      <c r="AT23" s="131">
        <f t="shared" si="1"/>
        <v>0</v>
      </c>
      <c r="AU23" s="132"/>
      <c r="AV23" s="133"/>
      <c r="AW23" s="133"/>
      <c r="AX23" s="134">
        <v>8.4</v>
      </c>
      <c r="AY23" s="133"/>
      <c r="AZ23" s="134">
        <v>8.4</v>
      </c>
      <c r="BA23" s="133"/>
      <c r="BB23" s="130">
        <v>6</v>
      </c>
      <c r="BC23" s="131">
        <f t="shared" si="2"/>
        <v>0</v>
      </c>
      <c r="BD23" s="132"/>
      <c r="BE23" s="133"/>
      <c r="BF23" s="133"/>
      <c r="BG23" s="134">
        <v>8.4</v>
      </c>
      <c r="BH23" s="133"/>
      <c r="BI23" s="134">
        <v>8.4</v>
      </c>
      <c r="BJ23" s="133"/>
      <c r="BK23" s="130">
        <v>6</v>
      </c>
      <c r="BL23" s="131">
        <f t="shared" si="3"/>
        <v>0</v>
      </c>
      <c r="BM23" s="132"/>
      <c r="BN23" s="133"/>
      <c r="BO23" s="133"/>
      <c r="BP23" s="134">
        <v>8.4</v>
      </c>
      <c r="BQ23" s="133"/>
      <c r="BR23" s="134">
        <v>8.4</v>
      </c>
      <c r="BS23" s="133"/>
      <c r="BT23" s="130">
        <v>6</v>
      </c>
      <c r="BU23" s="131">
        <f t="shared" si="4"/>
        <v>0</v>
      </c>
      <c r="BV23" s="132"/>
      <c r="BW23" s="133"/>
      <c r="BX23" s="133"/>
      <c r="BY23" s="134">
        <v>8.4</v>
      </c>
      <c r="BZ23" s="133"/>
      <c r="CA23" s="134">
        <v>8.4</v>
      </c>
      <c r="CB23" s="133"/>
      <c r="CC23" s="130">
        <v>6</v>
      </c>
      <c r="CD23" s="131">
        <f t="shared" si="5"/>
        <v>0</v>
      </c>
      <c r="CE23" s="132"/>
      <c r="CF23" s="133"/>
      <c r="CG23" s="133"/>
      <c r="CH23" s="134">
        <v>8.4</v>
      </c>
      <c r="CI23" s="133"/>
      <c r="CJ23" s="134">
        <v>8.4</v>
      </c>
      <c r="CK23" s="133"/>
      <c r="CL23" s="130">
        <v>6</v>
      </c>
      <c r="CM23" s="136">
        <f t="shared" si="6"/>
        <v>0</v>
      </c>
      <c r="CN23" s="132"/>
      <c r="CO23" s="133"/>
      <c r="CP23" s="133"/>
      <c r="CQ23" s="134">
        <v>8.4</v>
      </c>
      <c r="CR23" s="133"/>
      <c r="CS23" s="134">
        <v>8.4</v>
      </c>
      <c r="CT23" s="133"/>
      <c r="CU23" s="130">
        <v>6</v>
      </c>
      <c r="CV23" s="131">
        <f t="shared" si="7"/>
        <v>0</v>
      </c>
      <c r="CW23" s="132"/>
      <c r="CX23" s="133"/>
      <c r="CY23" s="133"/>
      <c r="CZ23" s="134">
        <v>8.4</v>
      </c>
      <c r="DA23" s="133"/>
      <c r="DB23" s="134">
        <v>8.4</v>
      </c>
      <c r="DC23" s="133"/>
      <c r="DD23" s="130">
        <v>6</v>
      </c>
      <c r="DE23" s="131">
        <f t="shared" si="8"/>
        <v>0</v>
      </c>
      <c r="DF23" s="132"/>
      <c r="DG23" s="133"/>
      <c r="DH23" s="133"/>
      <c r="DI23" s="134">
        <v>8.4</v>
      </c>
      <c r="DJ23" s="133"/>
      <c r="DK23" s="134">
        <v>8.4</v>
      </c>
      <c r="DL23" s="133"/>
      <c r="DM23" s="130">
        <v>6</v>
      </c>
      <c r="DN23" s="131">
        <f t="shared" si="9"/>
        <v>0</v>
      </c>
      <c r="DO23" s="132"/>
      <c r="DP23" s="133"/>
      <c r="DQ23" s="133"/>
      <c r="DR23" s="134">
        <v>8.4</v>
      </c>
      <c r="DS23" s="133"/>
      <c r="DT23" s="134">
        <v>8.4</v>
      </c>
      <c r="DU23" s="133"/>
      <c r="DV23" s="130">
        <v>6</v>
      </c>
      <c r="DW23" s="137">
        <f t="shared" si="10"/>
        <v>0</v>
      </c>
      <c r="DX23" s="138"/>
      <c r="DY23" s="134">
        <f t="shared" si="11"/>
        <v>0</v>
      </c>
      <c r="DZ23" s="134">
        <f t="shared" si="12"/>
        <v>0</v>
      </c>
      <c r="EA23" s="134">
        <f t="shared" si="13"/>
        <v>0</v>
      </c>
      <c r="EB23" s="138"/>
      <c r="EC23" s="139"/>
      <c r="ED23" s="1"/>
      <c r="EE23" s="1"/>
      <c r="EF23" s="1"/>
    </row>
    <row r="24" spans="1:136">
      <c r="A24" s="118">
        <v>1</v>
      </c>
      <c r="B24" s="14" t="s">
        <v>28</v>
      </c>
      <c r="C24" s="12" t="s">
        <v>329</v>
      </c>
      <c r="D24" s="143" t="s">
        <v>330</v>
      </c>
      <c r="E24" s="140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2"/>
      <c r="Q24" s="123"/>
      <c r="R24" s="124"/>
      <c r="S24" s="125"/>
      <c r="T24" s="126"/>
      <c r="U24" s="127"/>
      <c r="V24" s="127"/>
      <c r="W24" s="128">
        <v>8.4</v>
      </c>
      <c r="X24" s="127"/>
      <c r="Y24" s="128">
        <v>8.4</v>
      </c>
      <c r="Z24" s="127"/>
      <c r="AA24" s="130">
        <v>6</v>
      </c>
      <c r="AB24" s="131">
        <f t="shared" si="0"/>
        <v>0</v>
      </c>
      <c r="AC24" s="126"/>
      <c r="AD24" s="127"/>
      <c r="AE24" s="127"/>
      <c r="AF24" s="128">
        <v>8.4</v>
      </c>
      <c r="AG24" s="127"/>
      <c r="AH24" s="128">
        <v>8.4</v>
      </c>
      <c r="AI24" s="127"/>
      <c r="AJ24" s="130">
        <v>6</v>
      </c>
      <c r="AK24" s="131">
        <f t="shared" si="14"/>
        <v>0</v>
      </c>
      <c r="AL24" s="126"/>
      <c r="AM24" s="127"/>
      <c r="AN24" s="127"/>
      <c r="AO24" s="128">
        <v>8.4</v>
      </c>
      <c r="AP24" s="127"/>
      <c r="AQ24" s="128">
        <v>8.4</v>
      </c>
      <c r="AR24" s="127"/>
      <c r="AS24" s="130">
        <v>6</v>
      </c>
      <c r="AT24" s="131">
        <f t="shared" si="1"/>
        <v>0</v>
      </c>
      <c r="AU24" s="132"/>
      <c r="AV24" s="133"/>
      <c r="AW24" s="133"/>
      <c r="AX24" s="134">
        <v>8.4</v>
      </c>
      <c r="AY24" s="133"/>
      <c r="AZ24" s="134">
        <v>8.4</v>
      </c>
      <c r="BA24" s="133"/>
      <c r="BB24" s="130">
        <v>6</v>
      </c>
      <c r="BC24" s="131">
        <f t="shared" si="2"/>
        <v>0</v>
      </c>
      <c r="BD24" s="132"/>
      <c r="BE24" s="133"/>
      <c r="BF24" s="133"/>
      <c r="BG24" s="134">
        <v>8.4</v>
      </c>
      <c r="BH24" s="133"/>
      <c r="BI24" s="134">
        <v>8.4</v>
      </c>
      <c r="BJ24" s="133"/>
      <c r="BK24" s="130">
        <v>6</v>
      </c>
      <c r="BL24" s="131">
        <f t="shared" si="3"/>
        <v>0</v>
      </c>
      <c r="BM24" s="132"/>
      <c r="BN24" s="133"/>
      <c r="BO24" s="133"/>
      <c r="BP24" s="134">
        <v>8.4</v>
      </c>
      <c r="BQ24" s="133"/>
      <c r="BR24" s="134">
        <v>8.4</v>
      </c>
      <c r="BS24" s="133"/>
      <c r="BT24" s="130">
        <v>6</v>
      </c>
      <c r="BU24" s="131">
        <f t="shared" si="4"/>
        <v>0</v>
      </c>
      <c r="BV24" s="132"/>
      <c r="BW24" s="133"/>
      <c r="BX24" s="133"/>
      <c r="BY24" s="134">
        <v>8.4</v>
      </c>
      <c r="BZ24" s="133"/>
      <c r="CA24" s="134">
        <v>8.4</v>
      </c>
      <c r="CB24" s="133"/>
      <c r="CC24" s="130">
        <v>6</v>
      </c>
      <c r="CD24" s="131">
        <f t="shared" si="5"/>
        <v>0</v>
      </c>
      <c r="CE24" s="132"/>
      <c r="CF24" s="133"/>
      <c r="CG24" s="133"/>
      <c r="CH24" s="134">
        <v>8.4</v>
      </c>
      <c r="CI24" s="133"/>
      <c r="CJ24" s="134">
        <v>8.4</v>
      </c>
      <c r="CK24" s="133"/>
      <c r="CL24" s="130">
        <v>6</v>
      </c>
      <c r="CM24" s="136">
        <f t="shared" si="6"/>
        <v>0</v>
      </c>
      <c r="CN24" s="132"/>
      <c r="CO24" s="133"/>
      <c r="CP24" s="133"/>
      <c r="CQ24" s="134">
        <v>8.4</v>
      </c>
      <c r="CR24" s="133"/>
      <c r="CS24" s="134">
        <v>8.4</v>
      </c>
      <c r="CT24" s="133"/>
      <c r="CU24" s="130">
        <v>6</v>
      </c>
      <c r="CV24" s="131">
        <f t="shared" si="7"/>
        <v>0</v>
      </c>
      <c r="CW24" s="132"/>
      <c r="CX24" s="133"/>
      <c r="CY24" s="133"/>
      <c r="CZ24" s="134">
        <v>8.4</v>
      </c>
      <c r="DA24" s="133"/>
      <c r="DB24" s="134">
        <v>8.4</v>
      </c>
      <c r="DC24" s="133"/>
      <c r="DD24" s="130">
        <v>6</v>
      </c>
      <c r="DE24" s="131">
        <f t="shared" si="8"/>
        <v>0</v>
      </c>
      <c r="DF24" s="132"/>
      <c r="DG24" s="133"/>
      <c r="DH24" s="133"/>
      <c r="DI24" s="134">
        <v>8.4</v>
      </c>
      <c r="DJ24" s="133"/>
      <c r="DK24" s="134">
        <v>8.4</v>
      </c>
      <c r="DL24" s="133"/>
      <c r="DM24" s="130">
        <v>6</v>
      </c>
      <c r="DN24" s="131">
        <f t="shared" si="9"/>
        <v>0</v>
      </c>
      <c r="DO24" s="132"/>
      <c r="DP24" s="133"/>
      <c r="DQ24" s="133"/>
      <c r="DR24" s="134">
        <v>8.4</v>
      </c>
      <c r="DS24" s="133"/>
      <c r="DT24" s="134">
        <v>8.4</v>
      </c>
      <c r="DU24" s="133"/>
      <c r="DV24" s="130">
        <v>6</v>
      </c>
      <c r="DW24" s="137">
        <f t="shared" si="10"/>
        <v>0</v>
      </c>
      <c r="DX24" s="138"/>
      <c r="DY24" s="134">
        <f t="shared" si="11"/>
        <v>0</v>
      </c>
      <c r="DZ24" s="134">
        <f t="shared" si="12"/>
        <v>0</v>
      </c>
      <c r="EA24" s="134">
        <f t="shared" si="13"/>
        <v>0</v>
      </c>
      <c r="EB24" s="138"/>
      <c r="EC24" s="139"/>
      <c r="ED24" s="1"/>
      <c r="EE24" s="1"/>
      <c r="EF24" s="1"/>
    </row>
    <row r="25" spans="1:136">
      <c r="A25" s="118">
        <v>1</v>
      </c>
      <c r="B25" s="14" t="s">
        <v>43</v>
      </c>
      <c r="C25" s="13" t="s">
        <v>134</v>
      </c>
      <c r="D25" s="119" t="s">
        <v>135</v>
      </c>
      <c r="E25" s="120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2"/>
      <c r="Q25" s="144"/>
      <c r="R25" s="145"/>
      <c r="S25" s="146"/>
      <c r="T25" s="147"/>
      <c r="U25" s="148"/>
      <c r="V25" s="148"/>
      <c r="W25" s="128">
        <v>8.4</v>
      </c>
      <c r="X25" s="148"/>
      <c r="Y25" s="128">
        <v>8.4</v>
      </c>
      <c r="Z25" s="148"/>
      <c r="AA25" s="130">
        <v>6</v>
      </c>
      <c r="AB25" s="131">
        <f t="shared" si="0"/>
        <v>0</v>
      </c>
      <c r="AC25" s="147"/>
      <c r="AD25" s="148"/>
      <c r="AE25" s="148"/>
      <c r="AF25" s="128">
        <v>8.4</v>
      </c>
      <c r="AG25" s="148"/>
      <c r="AH25" s="128">
        <v>8.4</v>
      </c>
      <c r="AI25" s="148"/>
      <c r="AJ25" s="130">
        <v>6</v>
      </c>
      <c r="AK25" s="131">
        <f t="shared" si="14"/>
        <v>0</v>
      </c>
      <c r="AL25" s="147"/>
      <c r="AM25" s="148"/>
      <c r="AN25" s="148"/>
      <c r="AO25" s="128">
        <v>8.4</v>
      </c>
      <c r="AP25" s="148"/>
      <c r="AQ25" s="128">
        <v>8.4</v>
      </c>
      <c r="AR25" s="148"/>
      <c r="AS25" s="130">
        <v>6</v>
      </c>
      <c r="AT25" s="131">
        <f t="shared" si="1"/>
        <v>0</v>
      </c>
      <c r="AU25" s="149"/>
      <c r="AV25" s="150"/>
      <c r="AW25" s="150"/>
      <c r="AX25" s="134">
        <v>8.4</v>
      </c>
      <c r="AY25" s="150"/>
      <c r="AZ25" s="134">
        <v>8.4</v>
      </c>
      <c r="BA25" s="150"/>
      <c r="BB25" s="130">
        <v>6</v>
      </c>
      <c r="BC25" s="131">
        <f t="shared" si="2"/>
        <v>0</v>
      </c>
      <c r="BD25" s="149"/>
      <c r="BE25" s="150"/>
      <c r="BF25" s="150"/>
      <c r="BG25" s="134">
        <v>8.4</v>
      </c>
      <c r="BH25" s="150"/>
      <c r="BI25" s="134">
        <v>8.4</v>
      </c>
      <c r="BJ25" s="150"/>
      <c r="BK25" s="130">
        <v>6</v>
      </c>
      <c r="BL25" s="131">
        <f t="shared" si="3"/>
        <v>0</v>
      </c>
      <c r="BM25" s="149"/>
      <c r="BN25" s="150"/>
      <c r="BO25" s="150"/>
      <c r="BP25" s="134">
        <v>8.4</v>
      </c>
      <c r="BQ25" s="150"/>
      <c r="BR25" s="134">
        <v>8.4</v>
      </c>
      <c r="BS25" s="150"/>
      <c r="BT25" s="130">
        <v>6</v>
      </c>
      <c r="BU25" s="131">
        <f t="shared" si="4"/>
        <v>0</v>
      </c>
      <c r="BV25" s="149"/>
      <c r="BW25" s="150"/>
      <c r="BX25" s="150"/>
      <c r="BY25" s="134">
        <v>8.4</v>
      </c>
      <c r="BZ25" s="150"/>
      <c r="CA25" s="134">
        <v>8.4</v>
      </c>
      <c r="CB25" s="150"/>
      <c r="CC25" s="130">
        <v>6</v>
      </c>
      <c r="CD25" s="131">
        <f t="shared" si="5"/>
        <v>0</v>
      </c>
      <c r="CE25" s="149"/>
      <c r="CF25" s="150"/>
      <c r="CG25" s="150"/>
      <c r="CH25" s="134">
        <v>8.4</v>
      </c>
      <c r="CI25" s="150"/>
      <c r="CJ25" s="134">
        <v>8.4</v>
      </c>
      <c r="CK25" s="150"/>
      <c r="CL25" s="130">
        <v>6</v>
      </c>
      <c r="CM25" s="136">
        <f t="shared" si="6"/>
        <v>0</v>
      </c>
      <c r="CN25" s="149"/>
      <c r="CO25" s="150"/>
      <c r="CP25" s="150"/>
      <c r="CQ25" s="134">
        <v>8.4</v>
      </c>
      <c r="CR25" s="150"/>
      <c r="CS25" s="134">
        <v>8.4</v>
      </c>
      <c r="CT25" s="150"/>
      <c r="CU25" s="130">
        <v>6</v>
      </c>
      <c r="CV25" s="131">
        <f t="shared" si="7"/>
        <v>0</v>
      </c>
      <c r="CW25" s="149"/>
      <c r="CX25" s="150"/>
      <c r="CY25" s="150"/>
      <c r="CZ25" s="134">
        <v>8.4</v>
      </c>
      <c r="DA25" s="150"/>
      <c r="DB25" s="134">
        <v>8.4</v>
      </c>
      <c r="DC25" s="150"/>
      <c r="DD25" s="130">
        <v>6</v>
      </c>
      <c r="DE25" s="131">
        <f t="shared" si="8"/>
        <v>0</v>
      </c>
      <c r="DF25" s="149"/>
      <c r="DG25" s="150"/>
      <c r="DH25" s="150"/>
      <c r="DI25" s="134">
        <v>8.4</v>
      </c>
      <c r="DJ25" s="150"/>
      <c r="DK25" s="134">
        <v>8.4</v>
      </c>
      <c r="DL25" s="150"/>
      <c r="DM25" s="130">
        <v>6</v>
      </c>
      <c r="DN25" s="131">
        <f t="shared" si="9"/>
        <v>0</v>
      </c>
      <c r="DO25" s="149"/>
      <c r="DP25" s="150"/>
      <c r="DQ25" s="150"/>
      <c r="DR25" s="134">
        <v>8.4</v>
      </c>
      <c r="DS25" s="150"/>
      <c r="DT25" s="134">
        <v>8.4</v>
      </c>
      <c r="DU25" s="150"/>
      <c r="DV25" s="130">
        <v>6</v>
      </c>
      <c r="DW25" s="137">
        <f t="shared" si="10"/>
        <v>0</v>
      </c>
      <c r="DX25" s="151"/>
      <c r="DY25" s="134">
        <f t="shared" si="11"/>
        <v>0</v>
      </c>
      <c r="DZ25" s="134">
        <f t="shared" si="12"/>
        <v>0</v>
      </c>
      <c r="EA25" s="134">
        <f t="shared" si="13"/>
        <v>0</v>
      </c>
      <c r="EB25" s="151"/>
      <c r="ED25" s="1"/>
      <c r="EE25" s="1"/>
      <c r="EF25" s="1"/>
    </row>
    <row r="26" spans="1:136">
      <c r="A26" s="118">
        <v>1</v>
      </c>
      <c r="B26" s="14" t="s">
        <v>106</v>
      </c>
      <c r="C26" s="13" t="s">
        <v>138</v>
      </c>
      <c r="D26" s="119" t="s">
        <v>139</v>
      </c>
      <c r="E26" s="140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2"/>
      <c r="Q26" s="144"/>
      <c r="R26" s="145"/>
      <c r="S26" s="146"/>
      <c r="T26" s="147"/>
      <c r="U26" s="148"/>
      <c r="V26" s="148"/>
      <c r="W26" s="128">
        <v>8.4</v>
      </c>
      <c r="X26" s="148"/>
      <c r="Y26" s="128">
        <v>8.4</v>
      </c>
      <c r="Z26" s="148"/>
      <c r="AA26" s="130">
        <v>6</v>
      </c>
      <c r="AB26" s="131">
        <f t="shared" si="0"/>
        <v>0</v>
      </c>
      <c r="AC26" s="147"/>
      <c r="AD26" s="148"/>
      <c r="AE26" s="148"/>
      <c r="AF26" s="128">
        <v>8.4</v>
      </c>
      <c r="AG26" s="148"/>
      <c r="AH26" s="128">
        <v>8.4</v>
      </c>
      <c r="AI26" s="148"/>
      <c r="AJ26" s="130">
        <v>6</v>
      </c>
      <c r="AK26" s="131">
        <f t="shared" si="14"/>
        <v>0</v>
      </c>
      <c r="AL26" s="147"/>
      <c r="AM26" s="148"/>
      <c r="AN26" s="148"/>
      <c r="AO26" s="128">
        <v>8.4</v>
      </c>
      <c r="AP26" s="148"/>
      <c r="AQ26" s="128">
        <v>8.4</v>
      </c>
      <c r="AR26" s="148"/>
      <c r="AS26" s="130">
        <v>6</v>
      </c>
      <c r="AT26" s="131">
        <f t="shared" si="1"/>
        <v>0</v>
      </c>
      <c r="AU26" s="149"/>
      <c r="AV26" s="150"/>
      <c r="AW26" s="150"/>
      <c r="AX26" s="134">
        <v>8.4</v>
      </c>
      <c r="AY26" s="150"/>
      <c r="AZ26" s="134">
        <v>8.4</v>
      </c>
      <c r="BA26" s="150"/>
      <c r="BB26" s="130">
        <v>6</v>
      </c>
      <c r="BC26" s="131">
        <f t="shared" si="2"/>
        <v>0</v>
      </c>
      <c r="BD26" s="149"/>
      <c r="BE26" s="150"/>
      <c r="BF26" s="150"/>
      <c r="BG26" s="134">
        <v>8.4</v>
      </c>
      <c r="BH26" s="150"/>
      <c r="BI26" s="134">
        <v>8.4</v>
      </c>
      <c r="BJ26" s="150"/>
      <c r="BK26" s="130">
        <v>6</v>
      </c>
      <c r="BL26" s="131">
        <f t="shared" si="3"/>
        <v>0</v>
      </c>
      <c r="BM26" s="149"/>
      <c r="BN26" s="150"/>
      <c r="BO26" s="150"/>
      <c r="BP26" s="134">
        <v>8.4</v>
      </c>
      <c r="BQ26" s="150"/>
      <c r="BR26" s="134">
        <v>8.4</v>
      </c>
      <c r="BS26" s="150"/>
      <c r="BT26" s="130">
        <v>6</v>
      </c>
      <c r="BU26" s="131">
        <f t="shared" si="4"/>
        <v>0</v>
      </c>
      <c r="BV26" s="149"/>
      <c r="BW26" s="150"/>
      <c r="BX26" s="150"/>
      <c r="BY26" s="134">
        <v>8.4</v>
      </c>
      <c r="BZ26" s="150"/>
      <c r="CA26" s="134">
        <v>8.4</v>
      </c>
      <c r="CB26" s="150"/>
      <c r="CC26" s="130">
        <v>6</v>
      </c>
      <c r="CD26" s="131">
        <f t="shared" si="5"/>
        <v>0</v>
      </c>
      <c r="CE26" s="149"/>
      <c r="CF26" s="150"/>
      <c r="CG26" s="150"/>
      <c r="CH26" s="134">
        <v>8.4</v>
      </c>
      <c r="CI26" s="150"/>
      <c r="CJ26" s="134">
        <v>8.4</v>
      </c>
      <c r="CK26" s="150"/>
      <c r="CL26" s="130">
        <v>6</v>
      </c>
      <c r="CM26" s="136">
        <f t="shared" si="6"/>
        <v>0</v>
      </c>
      <c r="CN26" s="149"/>
      <c r="CO26" s="150"/>
      <c r="CP26" s="150"/>
      <c r="CQ26" s="134">
        <v>8.4</v>
      </c>
      <c r="CR26" s="150"/>
      <c r="CS26" s="134">
        <v>8.4</v>
      </c>
      <c r="CT26" s="150"/>
      <c r="CU26" s="130">
        <v>6</v>
      </c>
      <c r="CV26" s="131">
        <f t="shared" si="7"/>
        <v>0</v>
      </c>
      <c r="CW26" s="149"/>
      <c r="CX26" s="150"/>
      <c r="CY26" s="150"/>
      <c r="CZ26" s="134">
        <v>8.4</v>
      </c>
      <c r="DA26" s="150"/>
      <c r="DB26" s="134">
        <v>8.4</v>
      </c>
      <c r="DC26" s="150"/>
      <c r="DD26" s="130">
        <v>6</v>
      </c>
      <c r="DE26" s="131">
        <f t="shared" si="8"/>
        <v>0</v>
      </c>
      <c r="DF26" s="149"/>
      <c r="DG26" s="150"/>
      <c r="DH26" s="150"/>
      <c r="DI26" s="134">
        <v>8.4</v>
      </c>
      <c r="DJ26" s="150"/>
      <c r="DK26" s="134">
        <v>8.4</v>
      </c>
      <c r="DL26" s="150"/>
      <c r="DM26" s="130">
        <v>6</v>
      </c>
      <c r="DN26" s="131">
        <f t="shared" si="9"/>
        <v>0</v>
      </c>
      <c r="DO26" s="149"/>
      <c r="DP26" s="150"/>
      <c r="DQ26" s="150"/>
      <c r="DR26" s="134">
        <v>8.4</v>
      </c>
      <c r="DS26" s="150"/>
      <c r="DT26" s="134">
        <v>8.4</v>
      </c>
      <c r="DU26" s="150"/>
      <c r="DV26" s="130">
        <v>6</v>
      </c>
      <c r="DW26" s="137">
        <f t="shared" si="10"/>
        <v>0</v>
      </c>
      <c r="DX26" s="151"/>
      <c r="DY26" s="134">
        <f t="shared" si="11"/>
        <v>0</v>
      </c>
      <c r="DZ26" s="134">
        <f t="shared" si="12"/>
        <v>0</v>
      </c>
      <c r="EA26" s="134">
        <f t="shared" si="13"/>
        <v>0</v>
      </c>
      <c r="EB26" s="151"/>
      <c r="ED26" s="1"/>
      <c r="EE26" s="1"/>
      <c r="EF26" s="1"/>
    </row>
    <row r="27" spans="1:136">
      <c r="A27" s="118">
        <v>1</v>
      </c>
      <c r="B27" s="14" t="s">
        <v>331</v>
      </c>
      <c r="C27" s="13" t="s">
        <v>332</v>
      </c>
      <c r="D27" s="119" t="s">
        <v>333</v>
      </c>
      <c r="E27" s="120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2"/>
      <c r="Q27" s="144"/>
      <c r="R27" s="145"/>
      <c r="S27" s="146"/>
      <c r="T27" s="147"/>
      <c r="U27" s="148"/>
      <c r="V27" s="148"/>
      <c r="W27" s="128">
        <v>8.4</v>
      </c>
      <c r="X27" s="148"/>
      <c r="Y27" s="128">
        <v>8.4</v>
      </c>
      <c r="Z27" s="148"/>
      <c r="AA27" s="130">
        <v>6</v>
      </c>
      <c r="AB27" s="131">
        <f t="shared" si="0"/>
        <v>0</v>
      </c>
      <c r="AC27" s="147"/>
      <c r="AD27" s="148"/>
      <c r="AE27" s="148"/>
      <c r="AF27" s="128">
        <v>8.4</v>
      </c>
      <c r="AG27" s="148"/>
      <c r="AH27" s="128">
        <v>8.4</v>
      </c>
      <c r="AI27" s="148"/>
      <c r="AJ27" s="130">
        <v>6</v>
      </c>
      <c r="AK27" s="131">
        <f t="shared" si="14"/>
        <v>0</v>
      </c>
      <c r="AL27" s="147"/>
      <c r="AM27" s="148"/>
      <c r="AN27" s="148"/>
      <c r="AO27" s="128">
        <v>8.4</v>
      </c>
      <c r="AP27" s="148"/>
      <c r="AQ27" s="128">
        <v>8.4</v>
      </c>
      <c r="AR27" s="148"/>
      <c r="AS27" s="130">
        <v>6</v>
      </c>
      <c r="AT27" s="131">
        <f t="shared" si="1"/>
        <v>0</v>
      </c>
      <c r="AU27" s="149"/>
      <c r="AV27" s="150"/>
      <c r="AW27" s="150"/>
      <c r="AX27" s="134">
        <v>8.4</v>
      </c>
      <c r="AY27" s="150"/>
      <c r="AZ27" s="134">
        <v>8.4</v>
      </c>
      <c r="BA27" s="150"/>
      <c r="BB27" s="130">
        <v>6</v>
      </c>
      <c r="BC27" s="131">
        <f t="shared" si="2"/>
        <v>0</v>
      </c>
      <c r="BD27" s="149"/>
      <c r="BE27" s="150"/>
      <c r="BF27" s="150"/>
      <c r="BG27" s="134">
        <v>8.4</v>
      </c>
      <c r="BH27" s="150"/>
      <c r="BI27" s="134">
        <v>8.4</v>
      </c>
      <c r="BJ27" s="150"/>
      <c r="BK27" s="130">
        <v>6</v>
      </c>
      <c r="BL27" s="131">
        <f t="shared" si="3"/>
        <v>0</v>
      </c>
      <c r="BM27" s="149"/>
      <c r="BN27" s="150"/>
      <c r="BO27" s="150"/>
      <c r="BP27" s="134">
        <v>8.4</v>
      </c>
      <c r="BQ27" s="150"/>
      <c r="BR27" s="134">
        <v>8.4</v>
      </c>
      <c r="BS27" s="150"/>
      <c r="BT27" s="130">
        <v>6</v>
      </c>
      <c r="BU27" s="131">
        <f t="shared" si="4"/>
        <v>0</v>
      </c>
      <c r="BV27" s="149"/>
      <c r="BW27" s="150"/>
      <c r="BX27" s="150"/>
      <c r="BY27" s="134">
        <v>8.4</v>
      </c>
      <c r="BZ27" s="150"/>
      <c r="CA27" s="134">
        <v>8.4</v>
      </c>
      <c r="CB27" s="150"/>
      <c r="CC27" s="130">
        <v>6</v>
      </c>
      <c r="CD27" s="131">
        <f t="shared" si="5"/>
        <v>0</v>
      </c>
      <c r="CE27" s="149"/>
      <c r="CF27" s="150"/>
      <c r="CG27" s="150"/>
      <c r="CH27" s="134">
        <v>8.4</v>
      </c>
      <c r="CI27" s="150"/>
      <c r="CJ27" s="134">
        <v>8.4</v>
      </c>
      <c r="CK27" s="150"/>
      <c r="CL27" s="130">
        <v>6</v>
      </c>
      <c r="CM27" s="136">
        <f t="shared" si="6"/>
        <v>0</v>
      </c>
      <c r="CN27" s="149"/>
      <c r="CO27" s="150"/>
      <c r="CP27" s="150"/>
      <c r="CQ27" s="134">
        <v>8.4</v>
      </c>
      <c r="CR27" s="150"/>
      <c r="CS27" s="134">
        <v>8.4</v>
      </c>
      <c r="CT27" s="150"/>
      <c r="CU27" s="130">
        <v>6</v>
      </c>
      <c r="CV27" s="131">
        <f t="shared" si="7"/>
        <v>0</v>
      </c>
      <c r="CW27" s="149"/>
      <c r="CX27" s="150"/>
      <c r="CY27" s="150"/>
      <c r="CZ27" s="134">
        <v>8.4</v>
      </c>
      <c r="DA27" s="150"/>
      <c r="DB27" s="134">
        <v>8.4</v>
      </c>
      <c r="DC27" s="150"/>
      <c r="DD27" s="130">
        <v>6</v>
      </c>
      <c r="DE27" s="131">
        <f t="shared" si="8"/>
        <v>0</v>
      </c>
      <c r="DF27" s="149"/>
      <c r="DG27" s="150"/>
      <c r="DH27" s="150"/>
      <c r="DI27" s="134">
        <v>8.4</v>
      </c>
      <c r="DJ27" s="150"/>
      <c r="DK27" s="134">
        <v>8.4</v>
      </c>
      <c r="DL27" s="150"/>
      <c r="DM27" s="130">
        <v>6</v>
      </c>
      <c r="DN27" s="131">
        <f t="shared" si="9"/>
        <v>0</v>
      </c>
      <c r="DO27" s="149"/>
      <c r="DP27" s="150"/>
      <c r="DQ27" s="150"/>
      <c r="DR27" s="134">
        <v>8.4</v>
      </c>
      <c r="DS27" s="150"/>
      <c r="DT27" s="134">
        <v>8.4</v>
      </c>
      <c r="DU27" s="150"/>
      <c r="DV27" s="130">
        <v>6</v>
      </c>
      <c r="DW27" s="137">
        <f t="shared" si="10"/>
        <v>0</v>
      </c>
      <c r="DX27" s="151"/>
      <c r="DY27" s="134">
        <f t="shared" si="11"/>
        <v>0</v>
      </c>
      <c r="DZ27" s="134">
        <f t="shared" si="12"/>
        <v>0</v>
      </c>
      <c r="EA27" s="134">
        <f t="shared" si="13"/>
        <v>0</v>
      </c>
      <c r="EB27" s="151"/>
      <c r="ED27" s="1"/>
      <c r="EE27" s="1"/>
      <c r="EF27" s="1"/>
    </row>
    <row r="28" spans="1:136">
      <c r="A28" s="118">
        <v>1</v>
      </c>
      <c r="B28" s="14" t="s">
        <v>28</v>
      </c>
      <c r="C28" s="13" t="s">
        <v>144</v>
      </c>
      <c r="D28" s="119" t="s">
        <v>145</v>
      </c>
      <c r="E28" s="140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2"/>
      <c r="Q28" s="144"/>
      <c r="R28" s="145"/>
      <c r="S28" s="146"/>
      <c r="T28" s="147"/>
      <c r="U28" s="148"/>
      <c r="V28" s="148"/>
      <c r="W28" s="128">
        <v>8.4</v>
      </c>
      <c r="X28" s="148"/>
      <c r="Y28" s="128">
        <v>8.4</v>
      </c>
      <c r="Z28" s="148"/>
      <c r="AA28" s="130">
        <v>6</v>
      </c>
      <c r="AB28" s="131">
        <f t="shared" si="0"/>
        <v>0</v>
      </c>
      <c r="AC28" s="147"/>
      <c r="AD28" s="148"/>
      <c r="AE28" s="148"/>
      <c r="AF28" s="128">
        <v>8.4</v>
      </c>
      <c r="AG28" s="148"/>
      <c r="AH28" s="128">
        <v>8.4</v>
      </c>
      <c r="AI28" s="148"/>
      <c r="AJ28" s="130">
        <v>6</v>
      </c>
      <c r="AK28" s="131">
        <f t="shared" si="14"/>
        <v>0</v>
      </c>
      <c r="AL28" s="147"/>
      <c r="AM28" s="148"/>
      <c r="AN28" s="148"/>
      <c r="AO28" s="128">
        <v>8.4</v>
      </c>
      <c r="AP28" s="148"/>
      <c r="AQ28" s="128">
        <v>8.4</v>
      </c>
      <c r="AR28" s="148"/>
      <c r="AS28" s="130">
        <v>6</v>
      </c>
      <c r="AT28" s="131">
        <f t="shared" si="1"/>
        <v>0</v>
      </c>
      <c r="AU28" s="149"/>
      <c r="AV28" s="150"/>
      <c r="AW28" s="150"/>
      <c r="AX28" s="134">
        <v>8.4</v>
      </c>
      <c r="AY28" s="150"/>
      <c r="AZ28" s="134">
        <v>8.4</v>
      </c>
      <c r="BA28" s="150"/>
      <c r="BB28" s="130">
        <v>6</v>
      </c>
      <c r="BC28" s="131">
        <f t="shared" si="2"/>
        <v>0</v>
      </c>
      <c r="BD28" s="149"/>
      <c r="BE28" s="150"/>
      <c r="BF28" s="150"/>
      <c r="BG28" s="134">
        <v>8.4</v>
      </c>
      <c r="BH28" s="150"/>
      <c r="BI28" s="134">
        <v>8.4</v>
      </c>
      <c r="BJ28" s="150"/>
      <c r="BK28" s="130">
        <v>6</v>
      </c>
      <c r="BL28" s="131">
        <f t="shared" si="3"/>
        <v>0</v>
      </c>
      <c r="BM28" s="149"/>
      <c r="BN28" s="150"/>
      <c r="BO28" s="150"/>
      <c r="BP28" s="134">
        <v>8.4</v>
      </c>
      <c r="BQ28" s="150"/>
      <c r="BR28" s="134">
        <v>8.4</v>
      </c>
      <c r="BS28" s="150"/>
      <c r="BT28" s="130">
        <v>6</v>
      </c>
      <c r="BU28" s="131">
        <f t="shared" si="4"/>
        <v>0</v>
      </c>
      <c r="BV28" s="149"/>
      <c r="BW28" s="150"/>
      <c r="BX28" s="150"/>
      <c r="BY28" s="134">
        <v>8.4</v>
      </c>
      <c r="BZ28" s="150"/>
      <c r="CA28" s="134">
        <v>8.4</v>
      </c>
      <c r="CB28" s="150"/>
      <c r="CC28" s="130">
        <v>6</v>
      </c>
      <c r="CD28" s="131">
        <f t="shared" si="5"/>
        <v>0</v>
      </c>
      <c r="CE28" s="149"/>
      <c r="CF28" s="150"/>
      <c r="CG28" s="150"/>
      <c r="CH28" s="134">
        <v>8.4</v>
      </c>
      <c r="CI28" s="150"/>
      <c r="CJ28" s="134">
        <v>8.4</v>
      </c>
      <c r="CK28" s="150"/>
      <c r="CL28" s="130">
        <v>6</v>
      </c>
      <c r="CM28" s="136">
        <f t="shared" si="6"/>
        <v>0</v>
      </c>
      <c r="CN28" s="149"/>
      <c r="CO28" s="150"/>
      <c r="CP28" s="150"/>
      <c r="CQ28" s="134">
        <v>8.4</v>
      </c>
      <c r="CR28" s="150"/>
      <c r="CS28" s="134">
        <v>8.4</v>
      </c>
      <c r="CT28" s="150"/>
      <c r="CU28" s="130">
        <v>6</v>
      </c>
      <c r="CV28" s="131">
        <f t="shared" si="7"/>
        <v>0</v>
      </c>
      <c r="CW28" s="149"/>
      <c r="CX28" s="150"/>
      <c r="CY28" s="150"/>
      <c r="CZ28" s="134">
        <v>8.4</v>
      </c>
      <c r="DA28" s="150"/>
      <c r="DB28" s="134">
        <v>8.4</v>
      </c>
      <c r="DC28" s="150"/>
      <c r="DD28" s="130">
        <v>6</v>
      </c>
      <c r="DE28" s="131">
        <f t="shared" si="8"/>
        <v>0</v>
      </c>
      <c r="DF28" s="149"/>
      <c r="DG28" s="150"/>
      <c r="DH28" s="150"/>
      <c r="DI28" s="134">
        <v>8.4</v>
      </c>
      <c r="DJ28" s="150"/>
      <c r="DK28" s="134">
        <v>8.4</v>
      </c>
      <c r="DL28" s="150"/>
      <c r="DM28" s="130">
        <v>6</v>
      </c>
      <c r="DN28" s="131">
        <f t="shared" si="9"/>
        <v>0</v>
      </c>
      <c r="DO28" s="149"/>
      <c r="DP28" s="150"/>
      <c r="DQ28" s="150"/>
      <c r="DR28" s="134">
        <v>8.4</v>
      </c>
      <c r="DS28" s="150"/>
      <c r="DT28" s="134">
        <v>8.4</v>
      </c>
      <c r="DU28" s="150"/>
      <c r="DV28" s="130">
        <v>6</v>
      </c>
      <c r="DW28" s="137">
        <f t="shared" si="10"/>
        <v>0</v>
      </c>
      <c r="DX28" s="151"/>
      <c r="DY28" s="134">
        <f t="shared" si="11"/>
        <v>0</v>
      </c>
      <c r="DZ28" s="134">
        <f t="shared" si="12"/>
        <v>0</v>
      </c>
      <c r="EA28" s="134">
        <f t="shared" si="13"/>
        <v>0</v>
      </c>
      <c r="EB28" s="151"/>
      <c r="ED28" s="1"/>
      <c r="EE28" s="1"/>
      <c r="EF28" s="1"/>
    </row>
    <row r="29" spans="1:136">
      <c r="A29" s="118">
        <v>1</v>
      </c>
      <c r="B29" s="14" t="s">
        <v>155</v>
      </c>
      <c r="C29" s="13" t="s">
        <v>149</v>
      </c>
      <c r="D29" s="119" t="s">
        <v>150</v>
      </c>
      <c r="E29" s="120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2"/>
      <c r="Q29" s="144"/>
      <c r="R29" s="145"/>
      <c r="S29" s="146"/>
      <c r="T29" s="147"/>
      <c r="U29" s="148"/>
      <c r="V29" s="148"/>
      <c r="W29" s="128">
        <v>8.4</v>
      </c>
      <c r="X29" s="148"/>
      <c r="Y29" s="128">
        <v>8.4</v>
      </c>
      <c r="Z29" s="148"/>
      <c r="AA29" s="130">
        <v>6</v>
      </c>
      <c r="AB29" s="131">
        <f t="shared" si="0"/>
        <v>0</v>
      </c>
      <c r="AC29" s="147"/>
      <c r="AD29" s="148"/>
      <c r="AE29" s="148"/>
      <c r="AF29" s="128">
        <v>8.4</v>
      </c>
      <c r="AG29" s="148"/>
      <c r="AH29" s="128">
        <v>8.4</v>
      </c>
      <c r="AI29" s="148"/>
      <c r="AJ29" s="130">
        <v>6</v>
      </c>
      <c r="AK29" s="131">
        <f t="shared" si="14"/>
        <v>0</v>
      </c>
      <c r="AL29" s="147"/>
      <c r="AM29" s="148"/>
      <c r="AN29" s="148"/>
      <c r="AO29" s="128">
        <v>8.4</v>
      </c>
      <c r="AP29" s="148"/>
      <c r="AQ29" s="128">
        <v>8.4</v>
      </c>
      <c r="AR29" s="148"/>
      <c r="AS29" s="130">
        <v>6</v>
      </c>
      <c r="AT29" s="131">
        <f t="shared" si="1"/>
        <v>0</v>
      </c>
      <c r="AU29" s="149"/>
      <c r="AV29" s="150"/>
      <c r="AW29" s="150"/>
      <c r="AX29" s="134">
        <v>8.4</v>
      </c>
      <c r="AY29" s="150"/>
      <c r="AZ29" s="134">
        <v>8.4</v>
      </c>
      <c r="BA29" s="150"/>
      <c r="BB29" s="130">
        <v>6</v>
      </c>
      <c r="BC29" s="131">
        <f t="shared" si="2"/>
        <v>0</v>
      </c>
      <c r="BD29" s="149"/>
      <c r="BE29" s="150"/>
      <c r="BF29" s="150"/>
      <c r="BG29" s="134">
        <v>8.4</v>
      </c>
      <c r="BH29" s="150"/>
      <c r="BI29" s="134">
        <v>8.4</v>
      </c>
      <c r="BJ29" s="150"/>
      <c r="BK29" s="130">
        <v>6</v>
      </c>
      <c r="BL29" s="131">
        <f t="shared" si="3"/>
        <v>0</v>
      </c>
      <c r="BM29" s="149"/>
      <c r="BN29" s="150"/>
      <c r="BO29" s="150"/>
      <c r="BP29" s="134">
        <v>8.4</v>
      </c>
      <c r="BQ29" s="150"/>
      <c r="BR29" s="134">
        <v>8.4</v>
      </c>
      <c r="BS29" s="150"/>
      <c r="BT29" s="130">
        <v>6</v>
      </c>
      <c r="BU29" s="131">
        <f t="shared" si="4"/>
        <v>0</v>
      </c>
      <c r="BV29" s="149"/>
      <c r="BW29" s="150"/>
      <c r="BX29" s="150"/>
      <c r="BY29" s="134">
        <v>8.4</v>
      </c>
      <c r="BZ29" s="150"/>
      <c r="CA29" s="134">
        <v>8.4</v>
      </c>
      <c r="CB29" s="150"/>
      <c r="CC29" s="130">
        <v>6</v>
      </c>
      <c r="CD29" s="131">
        <f t="shared" si="5"/>
        <v>0</v>
      </c>
      <c r="CE29" s="149"/>
      <c r="CF29" s="150"/>
      <c r="CG29" s="150"/>
      <c r="CH29" s="134">
        <v>8.4</v>
      </c>
      <c r="CI29" s="150"/>
      <c r="CJ29" s="134">
        <v>8.4</v>
      </c>
      <c r="CK29" s="150"/>
      <c r="CL29" s="130">
        <v>6</v>
      </c>
      <c r="CM29" s="136">
        <f t="shared" si="6"/>
        <v>0</v>
      </c>
      <c r="CN29" s="149"/>
      <c r="CO29" s="150"/>
      <c r="CP29" s="150"/>
      <c r="CQ29" s="134">
        <v>8.4</v>
      </c>
      <c r="CR29" s="150"/>
      <c r="CS29" s="134">
        <v>8.4</v>
      </c>
      <c r="CT29" s="150"/>
      <c r="CU29" s="130">
        <v>6</v>
      </c>
      <c r="CV29" s="131">
        <f t="shared" si="7"/>
        <v>0</v>
      </c>
      <c r="CW29" s="149"/>
      <c r="CX29" s="150"/>
      <c r="CY29" s="150"/>
      <c r="CZ29" s="134">
        <v>8.4</v>
      </c>
      <c r="DA29" s="150"/>
      <c r="DB29" s="134">
        <v>8.4</v>
      </c>
      <c r="DC29" s="150"/>
      <c r="DD29" s="130">
        <v>6</v>
      </c>
      <c r="DE29" s="131">
        <f t="shared" si="8"/>
        <v>0</v>
      </c>
      <c r="DF29" s="149"/>
      <c r="DG29" s="150"/>
      <c r="DH29" s="150"/>
      <c r="DI29" s="134">
        <v>8.4</v>
      </c>
      <c r="DJ29" s="150"/>
      <c r="DK29" s="134">
        <v>8.4</v>
      </c>
      <c r="DL29" s="150"/>
      <c r="DM29" s="130">
        <v>6</v>
      </c>
      <c r="DN29" s="131">
        <f t="shared" si="9"/>
        <v>0</v>
      </c>
      <c r="DO29" s="149"/>
      <c r="DP29" s="150"/>
      <c r="DQ29" s="150"/>
      <c r="DR29" s="134">
        <v>8.4</v>
      </c>
      <c r="DS29" s="150"/>
      <c r="DT29" s="134">
        <v>8.4</v>
      </c>
      <c r="DU29" s="150"/>
      <c r="DV29" s="130">
        <v>6</v>
      </c>
      <c r="DW29" s="137">
        <f t="shared" si="10"/>
        <v>0</v>
      </c>
      <c r="DX29" s="151"/>
      <c r="DY29" s="134">
        <f t="shared" si="11"/>
        <v>0</v>
      </c>
      <c r="DZ29" s="134">
        <f t="shared" si="12"/>
        <v>0</v>
      </c>
      <c r="EA29" s="134">
        <f t="shared" si="13"/>
        <v>0</v>
      </c>
      <c r="EB29" s="151"/>
      <c r="ED29" s="1"/>
      <c r="EE29" s="1"/>
      <c r="EF29" s="1"/>
    </row>
    <row r="30" spans="1:136">
      <c r="A30" s="118">
        <v>1</v>
      </c>
      <c r="B30" s="14" t="s">
        <v>112</v>
      </c>
      <c r="C30" s="13" t="s">
        <v>334</v>
      </c>
      <c r="D30" s="119" t="s">
        <v>335</v>
      </c>
      <c r="E30" s="140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2"/>
      <c r="Q30" s="144"/>
      <c r="R30" s="145"/>
      <c r="S30" s="146"/>
      <c r="T30" s="147"/>
      <c r="U30" s="148"/>
      <c r="V30" s="148"/>
      <c r="W30" s="128">
        <v>8.4</v>
      </c>
      <c r="X30" s="148"/>
      <c r="Y30" s="128">
        <v>8.4</v>
      </c>
      <c r="Z30" s="148"/>
      <c r="AA30" s="130">
        <v>6</v>
      </c>
      <c r="AB30" s="131">
        <f t="shared" si="0"/>
        <v>0</v>
      </c>
      <c r="AC30" s="147"/>
      <c r="AD30" s="148"/>
      <c r="AE30" s="148"/>
      <c r="AF30" s="128">
        <v>8.4</v>
      </c>
      <c r="AG30" s="148"/>
      <c r="AH30" s="128">
        <v>8.4</v>
      </c>
      <c r="AI30" s="148"/>
      <c r="AJ30" s="130">
        <v>6</v>
      </c>
      <c r="AK30" s="131">
        <f t="shared" si="14"/>
        <v>0</v>
      </c>
      <c r="AL30" s="147"/>
      <c r="AM30" s="148"/>
      <c r="AN30" s="148"/>
      <c r="AO30" s="128">
        <v>8.4</v>
      </c>
      <c r="AP30" s="148"/>
      <c r="AQ30" s="128">
        <v>8.4</v>
      </c>
      <c r="AR30" s="148"/>
      <c r="AS30" s="130">
        <v>6</v>
      </c>
      <c r="AT30" s="131">
        <f t="shared" si="1"/>
        <v>0</v>
      </c>
      <c r="AU30" s="149"/>
      <c r="AV30" s="150"/>
      <c r="AW30" s="150"/>
      <c r="AX30" s="134">
        <v>8.4</v>
      </c>
      <c r="AY30" s="150"/>
      <c r="AZ30" s="134">
        <v>8.4</v>
      </c>
      <c r="BA30" s="150"/>
      <c r="BB30" s="130">
        <v>6</v>
      </c>
      <c r="BC30" s="131">
        <f t="shared" si="2"/>
        <v>0</v>
      </c>
      <c r="BD30" s="149"/>
      <c r="BE30" s="150"/>
      <c r="BF30" s="150"/>
      <c r="BG30" s="134">
        <v>8.4</v>
      </c>
      <c r="BH30" s="150"/>
      <c r="BI30" s="134">
        <v>8.4</v>
      </c>
      <c r="BJ30" s="150"/>
      <c r="BK30" s="130">
        <v>6</v>
      </c>
      <c r="BL30" s="131">
        <f t="shared" si="3"/>
        <v>0</v>
      </c>
      <c r="BM30" s="149"/>
      <c r="BN30" s="150"/>
      <c r="BO30" s="150"/>
      <c r="BP30" s="134">
        <v>8.4</v>
      </c>
      <c r="BQ30" s="150"/>
      <c r="BR30" s="134">
        <v>8.4</v>
      </c>
      <c r="BS30" s="150"/>
      <c r="BT30" s="130">
        <v>6</v>
      </c>
      <c r="BU30" s="131">
        <f t="shared" si="4"/>
        <v>0</v>
      </c>
      <c r="BV30" s="149"/>
      <c r="BW30" s="150"/>
      <c r="BX30" s="150"/>
      <c r="BY30" s="134">
        <v>8.4</v>
      </c>
      <c r="BZ30" s="150"/>
      <c r="CA30" s="134">
        <v>8.4</v>
      </c>
      <c r="CB30" s="150"/>
      <c r="CC30" s="130">
        <v>6</v>
      </c>
      <c r="CD30" s="131">
        <f t="shared" si="5"/>
        <v>0</v>
      </c>
      <c r="CE30" s="149"/>
      <c r="CF30" s="150"/>
      <c r="CG30" s="150"/>
      <c r="CH30" s="134">
        <v>8.4</v>
      </c>
      <c r="CI30" s="150"/>
      <c r="CJ30" s="134">
        <v>8.4</v>
      </c>
      <c r="CK30" s="150"/>
      <c r="CL30" s="130">
        <v>6</v>
      </c>
      <c r="CM30" s="136">
        <f t="shared" si="6"/>
        <v>0</v>
      </c>
      <c r="CN30" s="149"/>
      <c r="CO30" s="150"/>
      <c r="CP30" s="150"/>
      <c r="CQ30" s="134">
        <v>8.4</v>
      </c>
      <c r="CR30" s="150"/>
      <c r="CS30" s="134">
        <v>8.4</v>
      </c>
      <c r="CT30" s="150"/>
      <c r="CU30" s="130">
        <v>6</v>
      </c>
      <c r="CV30" s="131">
        <f t="shared" si="7"/>
        <v>0</v>
      </c>
      <c r="CW30" s="149"/>
      <c r="CX30" s="150"/>
      <c r="CY30" s="150"/>
      <c r="CZ30" s="134">
        <v>8.4</v>
      </c>
      <c r="DA30" s="150"/>
      <c r="DB30" s="134">
        <v>8.4</v>
      </c>
      <c r="DC30" s="150"/>
      <c r="DD30" s="130">
        <v>6</v>
      </c>
      <c r="DE30" s="131">
        <f t="shared" si="8"/>
        <v>0</v>
      </c>
      <c r="DF30" s="149"/>
      <c r="DG30" s="150"/>
      <c r="DH30" s="150"/>
      <c r="DI30" s="134">
        <v>8.4</v>
      </c>
      <c r="DJ30" s="150"/>
      <c r="DK30" s="134">
        <v>8.4</v>
      </c>
      <c r="DL30" s="150"/>
      <c r="DM30" s="130">
        <v>6</v>
      </c>
      <c r="DN30" s="131">
        <f t="shared" si="9"/>
        <v>0</v>
      </c>
      <c r="DO30" s="149"/>
      <c r="DP30" s="150"/>
      <c r="DQ30" s="150"/>
      <c r="DR30" s="134">
        <v>8.4</v>
      </c>
      <c r="DS30" s="150"/>
      <c r="DT30" s="134">
        <v>8.4</v>
      </c>
      <c r="DU30" s="150"/>
      <c r="DV30" s="130">
        <v>6</v>
      </c>
      <c r="DW30" s="137">
        <f t="shared" si="10"/>
        <v>0</v>
      </c>
      <c r="DX30" s="151"/>
      <c r="DY30" s="134">
        <f t="shared" si="11"/>
        <v>0</v>
      </c>
      <c r="DZ30" s="134">
        <f t="shared" si="12"/>
        <v>0</v>
      </c>
      <c r="EA30" s="134">
        <f t="shared" si="13"/>
        <v>0</v>
      </c>
      <c r="EB30" s="151"/>
      <c r="ED30" s="1"/>
      <c r="EE30" s="1"/>
      <c r="EF30" s="1"/>
    </row>
    <row r="31" spans="1:136">
      <c r="A31" s="118">
        <v>1</v>
      </c>
      <c r="B31" s="14" t="s">
        <v>87</v>
      </c>
      <c r="C31" s="13" t="s">
        <v>336</v>
      </c>
      <c r="D31" s="119" t="s">
        <v>337</v>
      </c>
      <c r="E31" s="120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2"/>
      <c r="Q31" s="144"/>
      <c r="R31" s="145"/>
      <c r="S31" s="146"/>
      <c r="T31" s="147"/>
      <c r="U31" s="148"/>
      <c r="V31" s="148"/>
      <c r="W31" s="128">
        <v>8.4</v>
      </c>
      <c r="X31" s="148"/>
      <c r="Y31" s="128">
        <v>8.4</v>
      </c>
      <c r="Z31" s="148"/>
      <c r="AA31" s="130">
        <v>6</v>
      </c>
      <c r="AB31" s="131">
        <f t="shared" si="0"/>
        <v>0</v>
      </c>
      <c r="AC31" s="147"/>
      <c r="AD31" s="148"/>
      <c r="AE31" s="148"/>
      <c r="AF31" s="128">
        <v>8.4</v>
      </c>
      <c r="AG31" s="148"/>
      <c r="AH31" s="128">
        <v>8.4</v>
      </c>
      <c r="AI31" s="148"/>
      <c r="AJ31" s="130">
        <v>6</v>
      </c>
      <c r="AK31" s="131">
        <f t="shared" si="14"/>
        <v>0</v>
      </c>
      <c r="AL31" s="147"/>
      <c r="AM31" s="148"/>
      <c r="AN31" s="148"/>
      <c r="AO31" s="128">
        <v>8.4</v>
      </c>
      <c r="AP31" s="148"/>
      <c r="AQ31" s="128">
        <v>8.4</v>
      </c>
      <c r="AR31" s="148"/>
      <c r="AS31" s="130">
        <v>6</v>
      </c>
      <c r="AT31" s="131">
        <f t="shared" si="1"/>
        <v>0</v>
      </c>
      <c r="AU31" s="149"/>
      <c r="AV31" s="150"/>
      <c r="AW31" s="150"/>
      <c r="AX31" s="134">
        <v>8.4</v>
      </c>
      <c r="AY31" s="150"/>
      <c r="AZ31" s="134">
        <v>8.4</v>
      </c>
      <c r="BA31" s="150"/>
      <c r="BB31" s="130">
        <v>6</v>
      </c>
      <c r="BC31" s="131">
        <f t="shared" si="2"/>
        <v>0</v>
      </c>
      <c r="BD31" s="149"/>
      <c r="BE31" s="150"/>
      <c r="BF31" s="150"/>
      <c r="BG31" s="134">
        <v>8.4</v>
      </c>
      <c r="BH31" s="150"/>
      <c r="BI31" s="134">
        <v>8.4</v>
      </c>
      <c r="BJ31" s="150"/>
      <c r="BK31" s="130">
        <v>6</v>
      </c>
      <c r="BL31" s="131">
        <f t="shared" si="3"/>
        <v>0</v>
      </c>
      <c r="BM31" s="149"/>
      <c r="BN31" s="150"/>
      <c r="BO31" s="150"/>
      <c r="BP31" s="134">
        <v>8.4</v>
      </c>
      <c r="BQ31" s="150"/>
      <c r="BR31" s="134">
        <v>8.4</v>
      </c>
      <c r="BS31" s="150"/>
      <c r="BT31" s="130">
        <v>6</v>
      </c>
      <c r="BU31" s="131">
        <f t="shared" si="4"/>
        <v>0</v>
      </c>
      <c r="BV31" s="149"/>
      <c r="BW31" s="150"/>
      <c r="BX31" s="150"/>
      <c r="BY31" s="134">
        <v>8.4</v>
      </c>
      <c r="BZ31" s="150"/>
      <c r="CA31" s="134">
        <v>8.4</v>
      </c>
      <c r="CB31" s="150"/>
      <c r="CC31" s="130">
        <v>6</v>
      </c>
      <c r="CD31" s="131">
        <f t="shared" si="5"/>
        <v>0</v>
      </c>
      <c r="CE31" s="149"/>
      <c r="CF31" s="150"/>
      <c r="CG31" s="150"/>
      <c r="CH31" s="134">
        <v>8.4</v>
      </c>
      <c r="CI31" s="150"/>
      <c r="CJ31" s="134">
        <v>8.4</v>
      </c>
      <c r="CK31" s="150"/>
      <c r="CL31" s="130">
        <v>6</v>
      </c>
      <c r="CM31" s="136">
        <f t="shared" si="6"/>
        <v>0</v>
      </c>
      <c r="CN31" s="149"/>
      <c r="CO31" s="150"/>
      <c r="CP31" s="150"/>
      <c r="CQ31" s="134">
        <v>8.4</v>
      </c>
      <c r="CR31" s="150"/>
      <c r="CS31" s="134">
        <v>8.4</v>
      </c>
      <c r="CT31" s="150"/>
      <c r="CU31" s="130">
        <v>6</v>
      </c>
      <c r="CV31" s="131">
        <f t="shared" si="7"/>
        <v>0</v>
      </c>
      <c r="CW31" s="149"/>
      <c r="CX31" s="150"/>
      <c r="CY31" s="150"/>
      <c r="CZ31" s="134">
        <v>8.4</v>
      </c>
      <c r="DA31" s="150"/>
      <c r="DB31" s="134">
        <v>8.4</v>
      </c>
      <c r="DC31" s="150"/>
      <c r="DD31" s="130">
        <v>6</v>
      </c>
      <c r="DE31" s="131">
        <f t="shared" si="8"/>
        <v>0</v>
      </c>
      <c r="DF31" s="149"/>
      <c r="DG31" s="150"/>
      <c r="DH31" s="150"/>
      <c r="DI31" s="134">
        <v>8.4</v>
      </c>
      <c r="DJ31" s="150"/>
      <c r="DK31" s="134">
        <v>8.4</v>
      </c>
      <c r="DL31" s="150"/>
      <c r="DM31" s="130">
        <v>6</v>
      </c>
      <c r="DN31" s="131">
        <f t="shared" si="9"/>
        <v>0</v>
      </c>
      <c r="DO31" s="149"/>
      <c r="DP31" s="150"/>
      <c r="DQ31" s="150"/>
      <c r="DR31" s="134">
        <v>8.4</v>
      </c>
      <c r="DS31" s="150"/>
      <c r="DT31" s="134">
        <v>8.4</v>
      </c>
      <c r="DU31" s="150"/>
      <c r="DV31" s="130">
        <v>6</v>
      </c>
      <c r="DW31" s="137">
        <f t="shared" si="10"/>
        <v>0</v>
      </c>
      <c r="DX31" s="151"/>
      <c r="DY31" s="134">
        <f t="shared" si="11"/>
        <v>0</v>
      </c>
      <c r="DZ31" s="134">
        <f t="shared" si="12"/>
        <v>0</v>
      </c>
      <c r="EA31" s="134">
        <f t="shared" si="13"/>
        <v>0</v>
      </c>
      <c r="EB31" s="151"/>
      <c r="ED31" s="1"/>
      <c r="EE31" s="1"/>
      <c r="EF31" s="1"/>
    </row>
    <row r="32" spans="1:136">
      <c r="A32" s="118">
        <v>1</v>
      </c>
      <c r="B32" s="14" t="s">
        <v>62</v>
      </c>
      <c r="C32" s="13" t="s">
        <v>182</v>
      </c>
      <c r="D32" s="119" t="s">
        <v>183</v>
      </c>
      <c r="E32" s="140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2"/>
      <c r="Q32" s="144"/>
      <c r="R32" s="145"/>
      <c r="S32" s="146"/>
      <c r="T32" s="147"/>
      <c r="U32" s="148"/>
      <c r="V32" s="148"/>
      <c r="W32" s="128">
        <v>8.4</v>
      </c>
      <c r="X32" s="148"/>
      <c r="Y32" s="128">
        <v>8.4</v>
      </c>
      <c r="Z32" s="148"/>
      <c r="AA32" s="130">
        <v>6</v>
      </c>
      <c r="AB32" s="131">
        <f t="shared" si="0"/>
        <v>0</v>
      </c>
      <c r="AC32" s="147"/>
      <c r="AD32" s="148"/>
      <c r="AE32" s="148"/>
      <c r="AF32" s="128">
        <v>8.4</v>
      </c>
      <c r="AG32" s="148"/>
      <c r="AH32" s="128">
        <v>8.4</v>
      </c>
      <c r="AI32" s="148"/>
      <c r="AJ32" s="130">
        <v>6</v>
      </c>
      <c r="AK32" s="131">
        <f t="shared" si="14"/>
        <v>0</v>
      </c>
      <c r="AL32" s="147"/>
      <c r="AM32" s="148"/>
      <c r="AN32" s="148"/>
      <c r="AO32" s="128">
        <v>8.4</v>
      </c>
      <c r="AP32" s="148"/>
      <c r="AQ32" s="128">
        <v>8.4</v>
      </c>
      <c r="AR32" s="148"/>
      <c r="AS32" s="130">
        <v>6</v>
      </c>
      <c r="AT32" s="131">
        <f t="shared" si="1"/>
        <v>0</v>
      </c>
      <c r="AU32" s="149"/>
      <c r="AV32" s="150"/>
      <c r="AW32" s="150"/>
      <c r="AX32" s="134">
        <v>8.4</v>
      </c>
      <c r="AY32" s="150"/>
      <c r="AZ32" s="134">
        <v>8.4</v>
      </c>
      <c r="BA32" s="150"/>
      <c r="BB32" s="130">
        <v>6</v>
      </c>
      <c r="BC32" s="131">
        <f t="shared" si="2"/>
        <v>0</v>
      </c>
      <c r="BD32" s="149"/>
      <c r="BE32" s="150"/>
      <c r="BF32" s="150"/>
      <c r="BG32" s="134">
        <v>8.4</v>
      </c>
      <c r="BH32" s="150"/>
      <c r="BI32" s="134">
        <v>8.4</v>
      </c>
      <c r="BJ32" s="150"/>
      <c r="BK32" s="130">
        <v>6</v>
      </c>
      <c r="BL32" s="131">
        <f t="shared" si="3"/>
        <v>0</v>
      </c>
      <c r="BM32" s="149"/>
      <c r="BN32" s="150"/>
      <c r="BO32" s="150"/>
      <c r="BP32" s="134">
        <v>8.4</v>
      </c>
      <c r="BQ32" s="150"/>
      <c r="BR32" s="134">
        <v>8.4</v>
      </c>
      <c r="BS32" s="150"/>
      <c r="BT32" s="130">
        <v>6</v>
      </c>
      <c r="BU32" s="131">
        <f t="shared" si="4"/>
        <v>0</v>
      </c>
      <c r="BV32" s="149"/>
      <c r="BW32" s="150"/>
      <c r="BX32" s="150"/>
      <c r="BY32" s="134">
        <v>8.4</v>
      </c>
      <c r="BZ32" s="150"/>
      <c r="CA32" s="134">
        <v>8.4</v>
      </c>
      <c r="CB32" s="150"/>
      <c r="CC32" s="130">
        <v>6</v>
      </c>
      <c r="CD32" s="131">
        <f t="shared" si="5"/>
        <v>0</v>
      </c>
      <c r="CE32" s="149"/>
      <c r="CF32" s="150"/>
      <c r="CG32" s="150"/>
      <c r="CH32" s="134">
        <v>8.4</v>
      </c>
      <c r="CI32" s="150"/>
      <c r="CJ32" s="134">
        <v>8.4</v>
      </c>
      <c r="CK32" s="150"/>
      <c r="CL32" s="130">
        <v>6</v>
      </c>
      <c r="CM32" s="136">
        <f t="shared" si="6"/>
        <v>0</v>
      </c>
      <c r="CN32" s="149"/>
      <c r="CO32" s="150"/>
      <c r="CP32" s="150"/>
      <c r="CQ32" s="134">
        <v>8.4</v>
      </c>
      <c r="CR32" s="150"/>
      <c r="CS32" s="134">
        <v>8.4</v>
      </c>
      <c r="CT32" s="150"/>
      <c r="CU32" s="130">
        <v>6</v>
      </c>
      <c r="CV32" s="131">
        <f t="shared" si="7"/>
        <v>0</v>
      </c>
      <c r="CW32" s="149"/>
      <c r="CX32" s="150"/>
      <c r="CY32" s="150"/>
      <c r="CZ32" s="134">
        <v>8.4</v>
      </c>
      <c r="DA32" s="150"/>
      <c r="DB32" s="134">
        <v>8.4</v>
      </c>
      <c r="DC32" s="150"/>
      <c r="DD32" s="130">
        <v>6</v>
      </c>
      <c r="DE32" s="131">
        <f t="shared" si="8"/>
        <v>0</v>
      </c>
      <c r="DF32" s="149"/>
      <c r="DG32" s="150"/>
      <c r="DH32" s="150"/>
      <c r="DI32" s="134">
        <v>8.4</v>
      </c>
      <c r="DJ32" s="150"/>
      <c r="DK32" s="134">
        <v>8.4</v>
      </c>
      <c r="DL32" s="150"/>
      <c r="DM32" s="130">
        <v>6</v>
      </c>
      <c r="DN32" s="131">
        <f t="shared" si="9"/>
        <v>0</v>
      </c>
      <c r="DO32" s="149"/>
      <c r="DP32" s="150"/>
      <c r="DQ32" s="150"/>
      <c r="DR32" s="134">
        <v>8.4</v>
      </c>
      <c r="DS32" s="150"/>
      <c r="DT32" s="134">
        <v>8.4</v>
      </c>
      <c r="DU32" s="150"/>
      <c r="DV32" s="130">
        <v>6</v>
      </c>
      <c r="DW32" s="137">
        <f t="shared" si="10"/>
        <v>0</v>
      </c>
      <c r="DX32" s="151"/>
      <c r="DY32" s="134">
        <f t="shared" si="11"/>
        <v>0</v>
      </c>
      <c r="DZ32" s="134">
        <f t="shared" si="12"/>
        <v>0</v>
      </c>
      <c r="EA32" s="134">
        <f t="shared" si="13"/>
        <v>0</v>
      </c>
      <c r="EB32" s="151"/>
      <c r="ED32" s="1"/>
      <c r="EE32" s="1"/>
      <c r="EF32" s="1"/>
    </row>
    <row r="33" spans="1:136">
      <c r="A33" s="118">
        <v>1</v>
      </c>
      <c r="B33" s="14" t="s">
        <v>20</v>
      </c>
      <c r="C33" s="13" t="s">
        <v>338</v>
      </c>
      <c r="D33" s="152" t="s">
        <v>339</v>
      </c>
      <c r="E33" s="120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2"/>
      <c r="Q33" s="144"/>
      <c r="R33" s="145"/>
      <c r="S33" s="146"/>
      <c r="T33" s="147"/>
      <c r="U33" s="148"/>
      <c r="V33" s="148"/>
      <c r="W33" s="128">
        <v>8.4</v>
      </c>
      <c r="X33" s="148"/>
      <c r="Y33" s="128">
        <v>8.4</v>
      </c>
      <c r="Z33" s="148"/>
      <c r="AA33" s="130">
        <v>6</v>
      </c>
      <c r="AB33" s="131">
        <f t="shared" si="0"/>
        <v>0</v>
      </c>
      <c r="AC33" s="147"/>
      <c r="AD33" s="148"/>
      <c r="AE33" s="148"/>
      <c r="AF33" s="128">
        <v>8.4</v>
      </c>
      <c r="AG33" s="148"/>
      <c r="AH33" s="128">
        <v>8.4</v>
      </c>
      <c r="AI33" s="148"/>
      <c r="AJ33" s="130">
        <v>6</v>
      </c>
      <c r="AK33" s="131">
        <f t="shared" si="14"/>
        <v>0</v>
      </c>
      <c r="AL33" s="147"/>
      <c r="AM33" s="148"/>
      <c r="AN33" s="148"/>
      <c r="AO33" s="128">
        <v>8.4</v>
      </c>
      <c r="AP33" s="148"/>
      <c r="AQ33" s="128">
        <v>8.4</v>
      </c>
      <c r="AR33" s="148"/>
      <c r="AS33" s="130">
        <v>6</v>
      </c>
      <c r="AT33" s="131">
        <f t="shared" si="1"/>
        <v>0</v>
      </c>
      <c r="AU33" s="149"/>
      <c r="AV33" s="150"/>
      <c r="AW33" s="150"/>
      <c r="AX33" s="134">
        <v>8.4</v>
      </c>
      <c r="AY33" s="150"/>
      <c r="AZ33" s="134">
        <v>8.4</v>
      </c>
      <c r="BA33" s="150"/>
      <c r="BB33" s="130">
        <v>6</v>
      </c>
      <c r="BC33" s="131">
        <f t="shared" si="2"/>
        <v>0</v>
      </c>
      <c r="BD33" s="149"/>
      <c r="BE33" s="150"/>
      <c r="BF33" s="150"/>
      <c r="BG33" s="134">
        <v>8.4</v>
      </c>
      <c r="BH33" s="150"/>
      <c r="BI33" s="134">
        <v>8.4</v>
      </c>
      <c r="BJ33" s="150"/>
      <c r="BK33" s="130">
        <v>6</v>
      </c>
      <c r="BL33" s="131">
        <f t="shared" si="3"/>
        <v>0</v>
      </c>
      <c r="BM33" s="149"/>
      <c r="BN33" s="150"/>
      <c r="BO33" s="150"/>
      <c r="BP33" s="134">
        <v>8.4</v>
      </c>
      <c r="BQ33" s="150"/>
      <c r="BR33" s="134">
        <v>8.4</v>
      </c>
      <c r="BS33" s="150"/>
      <c r="BT33" s="130">
        <v>6</v>
      </c>
      <c r="BU33" s="131">
        <f t="shared" si="4"/>
        <v>0</v>
      </c>
      <c r="BV33" s="149"/>
      <c r="BW33" s="150"/>
      <c r="BX33" s="150"/>
      <c r="BY33" s="134">
        <v>8.4</v>
      </c>
      <c r="BZ33" s="150"/>
      <c r="CA33" s="134">
        <v>8.4</v>
      </c>
      <c r="CB33" s="150"/>
      <c r="CC33" s="130">
        <v>6</v>
      </c>
      <c r="CD33" s="131">
        <f t="shared" si="5"/>
        <v>0</v>
      </c>
      <c r="CE33" s="149"/>
      <c r="CF33" s="150"/>
      <c r="CG33" s="150"/>
      <c r="CH33" s="134">
        <v>8.4</v>
      </c>
      <c r="CI33" s="150"/>
      <c r="CJ33" s="134">
        <v>8.4</v>
      </c>
      <c r="CK33" s="150"/>
      <c r="CL33" s="130">
        <v>6</v>
      </c>
      <c r="CM33" s="136">
        <f t="shared" si="6"/>
        <v>0</v>
      </c>
      <c r="CN33" s="149"/>
      <c r="CO33" s="150"/>
      <c r="CP33" s="150"/>
      <c r="CQ33" s="134">
        <v>8.4</v>
      </c>
      <c r="CR33" s="150"/>
      <c r="CS33" s="134">
        <v>8.4</v>
      </c>
      <c r="CT33" s="150"/>
      <c r="CU33" s="130">
        <v>6</v>
      </c>
      <c r="CV33" s="131">
        <f t="shared" si="7"/>
        <v>0</v>
      </c>
      <c r="CW33" s="149"/>
      <c r="CX33" s="150"/>
      <c r="CY33" s="150"/>
      <c r="CZ33" s="134">
        <v>8.4</v>
      </c>
      <c r="DA33" s="150"/>
      <c r="DB33" s="134">
        <v>8.4</v>
      </c>
      <c r="DC33" s="150"/>
      <c r="DD33" s="130">
        <v>6</v>
      </c>
      <c r="DE33" s="131">
        <f t="shared" si="8"/>
        <v>0</v>
      </c>
      <c r="DF33" s="149"/>
      <c r="DG33" s="150"/>
      <c r="DH33" s="150"/>
      <c r="DI33" s="134">
        <v>8.4</v>
      </c>
      <c r="DJ33" s="150"/>
      <c r="DK33" s="134">
        <v>8.4</v>
      </c>
      <c r="DL33" s="150"/>
      <c r="DM33" s="130">
        <v>6</v>
      </c>
      <c r="DN33" s="131">
        <f t="shared" si="9"/>
        <v>0</v>
      </c>
      <c r="DO33" s="149"/>
      <c r="DP33" s="150"/>
      <c r="DQ33" s="150"/>
      <c r="DR33" s="134">
        <v>8.4</v>
      </c>
      <c r="DS33" s="150"/>
      <c r="DT33" s="134">
        <v>8.4</v>
      </c>
      <c r="DU33" s="150"/>
      <c r="DV33" s="130">
        <v>6</v>
      </c>
      <c r="DW33" s="137">
        <f t="shared" si="10"/>
        <v>0</v>
      </c>
      <c r="DX33" s="151"/>
      <c r="DY33" s="134">
        <f t="shared" si="11"/>
        <v>0</v>
      </c>
      <c r="DZ33" s="134">
        <f t="shared" si="12"/>
        <v>0</v>
      </c>
      <c r="EA33" s="134">
        <f t="shared" si="13"/>
        <v>0</v>
      </c>
      <c r="EB33" s="151"/>
      <c r="ED33" s="1"/>
      <c r="EE33" s="1"/>
      <c r="EF33" s="1"/>
    </row>
    <row r="34" spans="1:136">
      <c r="A34" s="118">
        <v>1</v>
      </c>
      <c r="B34" s="14" t="s">
        <v>112</v>
      </c>
      <c r="C34" s="13" t="s">
        <v>190</v>
      </c>
      <c r="D34" s="119" t="s">
        <v>191</v>
      </c>
      <c r="E34" s="140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2"/>
      <c r="Q34" s="144"/>
      <c r="R34" s="145"/>
      <c r="S34" s="146"/>
      <c r="T34" s="147"/>
      <c r="U34" s="148"/>
      <c r="V34" s="148"/>
      <c r="W34" s="128">
        <v>8.4</v>
      </c>
      <c r="X34" s="148"/>
      <c r="Y34" s="128">
        <v>8.4</v>
      </c>
      <c r="Z34" s="148"/>
      <c r="AA34" s="130">
        <v>6</v>
      </c>
      <c r="AB34" s="131">
        <f t="shared" si="0"/>
        <v>0</v>
      </c>
      <c r="AC34" s="147"/>
      <c r="AD34" s="148"/>
      <c r="AE34" s="148"/>
      <c r="AF34" s="128">
        <v>8.4</v>
      </c>
      <c r="AG34" s="148"/>
      <c r="AH34" s="128">
        <v>8.4</v>
      </c>
      <c r="AI34" s="148"/>
      <c r="AJ34" s="130">
        <v>6</v>
      </c>
      <c r="AK34" s="131">
        <f t="shared" si="14"/>
        <v>0</v>
      </c>
      <c r="AL34" s="147"/>
      <c r="AM34" s="148"/>
      <c r="AN34" s="148"/>
      <c r="AO34" s="128">
        <v>8.4</v>
      </c>
      <c r="AP34" s="148"/>
      <c r="AQ34" s="128">
        <v>8.4</v>
      </c>
      <c r="AR34" s="148"/>
      <c r="AS34" s="130">
        <v>6</v>
      </c>
      <c r="AT34" s="131">
        <f t="shared" si="1"/>
        <v>0</v>
      </c>
      <c r="AU34" s="149"/>
      <c r="AV34" s="150"/>
      <c r="AW34" s="150"/>
      <c r="AX34" s="134">
        <v>8.4</v>
      </c>
      <c r="AY34" s="150"/>
      <c r="AZ34" s="134">
        <v>8.4</v>
      </c>
      <c r="BA34" s="150"/>
      <c r="BB34" s="130">
        <v>6</v>
      </c>
      <c r="BC34" s="131">
        <f t="shared" si="2"/>
        <v>0</v>
      </c>
      <c r="BD34" s="149"/>
      <c r="BE34" s="150"/>
      <c r="BF34" s="150"/>
      <c r="BG34" s="134">
        <v>8.4</v>
      </c>
      <c r="BH34" s="150"/>
      <c r="BI34" s="134">
        <v>8.4</v>
      </c>
      <c r="BJ34" s="150"/>
      <c r="BK34" s="130">
        <v>6</v>
      </c>
      <c r="BL34" s="131">
        <f t="shared" si="3"/>
        <v>0</v>
      </c>
      <c r="BM34" s="149"/>
      <c r="BN34" s="150"/>
      <c r="BO34" s="150"/>
      <c r="BP34" s="134">
        <v>8.4</v>
      </c>
      <c r="BQ34" s="150"/>
      <c r="BR34" s="134">
        <v>8.4</v>
      </c>
      <c r="BS34" s="150"/>
      <c r="BT34" s="130">
        <v>6</v>
      </c>
      <c r="BU34" s="131">
        <f t="shared" si="4"/>
        <v>0</v>
      </c>
      <c r="BV34" s="149"/>
      <c r="BW34" s="150"/>
      <c r="BX34" s="150"/>
      <c r="BY34" s="134">
        <v>8.4</v>
      </c>
      <c r="BZ34" s="150"/>
      <c r="CA34" s="134">
        <v>8.4</v>
      </c>
      <c r="CB34" s="150"/>
      <c r="CC34" s="130">
        <v>6</v>
      </c>
      <c r="CD34" s="131">
        <f t="shared" si="5"/>
        <v>0</v>
      </c>
      <c r="CE34" s="149"/>
      <c r="CF34" s="150"/>
      <c r="CG34" s="150"/>
      <c r="CH34" s="134">
        <v>8.4</v>
      </c>
      <c r="CI34" s="150"/>
      <c r="CJ34" s="134">
        <v>8.4</v>
      </c>
      <c r="CK34" s="150"/>
      <c r="CL34" s="130">
        <v>6</v>
      </c>
      <c r="CM34" s="136">
        <f t="shared" si="6"/>
        <v>0</v>
      </c>
      <c r="CN34" s="149"/>
      <c r="CO34" s="150"/>
      <c r="CP34" s="150"/>
      <c r="CQ34" s="134">
        <v>8.4</v>
      </c>
      <c r="CR34" s="150"/>
      <c r="CS34" s="134">
        <v>8.4</v>
      </c>
      <c r="CT34" s="150"/>
      <c r="CU34" s="130">
        <v>6</v>
      </c>
      <c r="CV34" s="131">
        <f t="shared" si="7"/>
        <v>0</v>
      </c>
      <c r="CW34" s="149"/>
      <c r="CX34" s="150"/>
      <c r="CY34" s="150"/>
      <c r="CZ34" s="134">
        <v>8.4</v>
      </c>
      <c r="DA34" s="150"/>
      <c r="DB34" s="134">
        <v>8.4</v>
      </c>
      <c r="DC34" s="150"/>
      <c r="DD34" s="130">
        <v>6</v>
      </c>
      <c r="DE34" s="131">
        <f t="shared" si="8"/>
        <v>0</v>
      </c>
      <c r="DF34" s="149"/>
      <c r="DG34" s="150"/>
      <c r="DH34" s="150"/>
      <c r="DI34" s="134">
        <v>8.4</v>
      </c>
      <c r="DJ34" s="150"/>
      <c r="DK34" s="134">
        <v>8.4</v>
      </c>
      <c r="DL34" s="150"/>
      <c r="DM34" s="130">
        <v>6</v>
      </c>
      <c r="DN34" s="131">
        <f t="shared" si="9"/>
        <v>0</v>
      </c>
      <c r="DO34" s="149"/>
      <c r="DP34" s="150"/>
      <c r="DQ34" s="150"/>
      <c r="DR34" s="134">
        <v>8.4</v>
      </c>
      <c r="DS34" s="150"/>
      <c r="DT34" s="134">
        <v>8.4</v>
      </c>
      <c r="DU34" s="150"/>
      <c r="DV34" s="130">
        <v>6</v>
      </c>
      <c r="DW34" s="137">
        <f t="shared" si="10"/>
        <v>0</v>
      </c>
      <c r="DX34" s="151"/>
      <c r="DY34" s="134">
        <f t="shared" si="11"/>
        <v>0</v>
      </c>
      <c r="DZ34" s="134">
        <f t="shared" si="12"/>
        <v>0</v>
      </c>
      <c r="EA34" s="134">
        <f t="shared" si="13"/>
        <v>0</v>
      </c>
      <c r="EB34" s="151"/>
      <c r="ED34" s="1"/>
      <c r="EE34" s="1"/>
      <c r="EF34" s="1"/>
    </row>
    <row r="35" spans="1:136">
      <c r="A35" s="118">
        <v>1</v>
      </c>
      <c r="B35" s="14" t="s">
        <v>28</v>
      </c>
      <c r="C35" s="13" t="s">
        <v>340</v>
      </c>
      <c r="D35" s="119" t="s">
        <v>341</v>
      </c>
      <c r="E35" s="120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2"/>
      <c r="Q35" s="144"/>
      <c r="R35" s="145"/>
      <c r="S35" s="146"/>
      <c r="T35" s="147"/>
      <c r="U35" s="148"/>
      <c r="V35" s="148"/>
      <c r="W35" s="128">
        <v>8.4</v>
      </c>
      <c r="X35" s="148"/>
      <c r="Y35" s="128">
        <v>8.4</v>
      </c>
      <c r="Z35" s="148"/>
      <c r="AA35" s="130">
        <v>6</v>
      </c>
      <c r="AB35" s="131">
        <f t="shared" si="0"/>
        <v>0</v>
      </c>
      <c r="AC35" s="147"/>
      <c r="AD35" s="148"/>
      <c r="AE35" s="148"/>
      <c r="AF35" s="128">
        <v>8.4</v>
      </c>
      <c r="AG35" s="148"/>
      <c r="AH35" s="128">
        <v>8.4</v>
      </c>
      <c r="AI35" s="148"/>
      <c r="AJ35" s="130">
        <v>6</v>
      </c>
      <c r="AK35" s="131">
        <f t="shared" si="14"/>
        <v>0</v>
      </c>
      <c r="AL35" s="147"/>
      <c r="AM35" s="148"/>
      <c r="AN35" s="148"/>
      <c r="AO35" s="128">
        <v>8.4</v>
      </c>
      <c r="AP35" s="148"/>
      <c r="AQ35" s="128">
        <v>8.4</v>
      </c>
      <c r="AR35" s="148"/>
      <c r="AS35" s="130">
        <v>6</v>
      </c>
      <c r="AT35" s="131">
        <f t="shared" si="1"/>
        <v>0</v>
      </c>
      <c r="AU35" s="149"/>
      <c r="AV35" s="150"/>
      <c r="AW35" s="150"/>
      <c r="AX35" s="134">
        <v>8.4</v>
      </c>
      <c r="AY35" s="150"/>
      <c r="AZ35" s="134">
        <v>8.4</v>
      </c>
      <c r="BA35" s="150"/>
      <c r="BB35" s="130">
        <v>6</v>
      </c>
      <c r="BC35" s="131">
        <f t="shared" si="2"/>
        <v>0</v>
      </c>
      <c r="BD35" s="149"/>
      <c r="BE35" s="150"/>
      <c r="BF35" s="150"/>
      <c r="BG35" s="134">
        <v>8.4</v>
      </c>
      <c r="BH35" s="150"/>
      <c r="BI35" s="134">
        <v>8.4</v>
      </c>
      <c r="BJ35" s="150"/>
      <c r="BK35" s="130">
        <v>6</v>
      </c>
      <c r="BL35" s="131">
        <f t="shared" si="3"/>
        <v>0</v>
      </c>
      <c r="BM35" s="149"/>
      <c r="BN35" s="150"/>
      <c r="BO35" s="150"/>
      <c r="BP35" s="134">
        <v>8.4</v>
      </c>
      <c r="BQ35" s="150"/>
      <c r="BR35" s="134">
        <v>8.4</v>
      </c>
      <c r="BS35" s="150"/>
      <c r="BT35" s="130">
        <v>6</v>
      </c>
      <c r="BU35" s="131">
        <f t="shared" si="4"/>
        <v>0</v>
      </c>
      <c r="BV35" s="149"/>
      <c r="BW35" s="150"/>
      <c r="BX35" s="150"/>
      <c r="BY35" s="134">
        <v>8.4</v>
      </c>
      <c r="BZ35" s="150"/>
      <c r="CA35" s="134">
        <v>8.4</v>
      </c>
      <c r="CB35" s="150"/>
      <c r="CC35" s="130">
        <v>6</v>
      </c>
      <c r="CD35" s="131">
        <f t="shared" si="5"/>
        <v>0</v>
      </c>
      <c r="CE35" s="149"/>
      <c r="CF35" s="150"/>
      <c r="CG35" s="150"/>
      <c r="CH35" s="134">
        <v>8.4</v>
      </c>
      <c r="CI35" s="150"/>
      <c r="CJ35" s="134">
        <v>8.4</v>
      </c>
      <c r="CK35" s="150"/>
      <c r="CL35" s="130">
        <v>6</v>
      </c>
      <c r="CM35" s="136">
        <f t="shared" si="6"/>
        <v>0</v>
      </c>
      <c r="CN35" s="149"/>
      <c r="CO35" s="150"/>
      <c r="CP35" s="150"/>
      <c r="CQ35" s="134">
        <v>8.4</v>
      </c>
      <c r="CR35" s="150"/>
      <c r="CS35" s="134">
        <v>8.4</v>
      </c>
      <c r="CT35" s="150"/>
      <c r="CU35" s="130">
        <v>6</v>
      </c>
      <c r="CV35" s="131">
        <f t="shared" si="7"/>
        <v>0</v>
      </c>
      <c r="CW35" s="149"/>
      <c r="CX35" s="150"/>
      <c r="CY35" s="150"/>
      <c r="CZ35" s="134">
        <v>8.4</v>
      </c>
      <c r="DA35" s="150"/>
      <c r="DB35" s="134">
        <v>8.4</v>
      </c>
      <c r="DC35" s="150"/>
      <c r="DD35" s="130">
        <v>6</v>
      </c>
      <c r="DE35" s="131">
        <f t="shared" si="8"/>
        <v>0</v>
      </c>
      <c r="DF35" s="149"/>
      <c r="DG35" s="150"/>
      <c r="DH35" s="150"/>
      <c r="DI35" s="134">
        <v>8.4</v>
      </c>
      <c r="DJ35" s="150"/>
      <c r="DK35" s="134">
        <v>8.4</v>
      </c>
      <c r="DL35" s="150"/>
      <c r="DM35" s="130">
        <v>6</v>
      </c>
      <c r="DN35" s="131">
        <f t="shared" si="9"/>
        <v>0</v>
      </c>
      <c r="DO35" s="149"/>
      <c r="DP35" s="150"/>
      <c r="DQ35" s="150"/>
      <c r="DR35" s="134">
        <v>8.4</v>
      </c>
      <c r="DS35" s="150"/>
      <c r="DT35" s="134">
        <v>8.4</v>
      </c>
      <c r="DU35" s="150"/>
      <c r="DV35" s="130">
        <v>6</v>
      </c>
      <c r="DW35" s="137">
        <f t="shared" si="10"/>
        <v>0</v>
      </c>
      <c r="DX35" s="151"/>
      <c r="DY35" s="134">
        <f t="shared" si="11"/>
        <v>0</v>
      </c>
      <c r="DZ35" s="134">
        <f t="shared" si="12"/>
        <v>0</v>
      </c>
      <c r="EA35" s="134">
        <f t="shared" si="13"/>
        <v>0</v>
      </c>
      <c r="EB35" s="151"/>
      <c r="ED35" s="1"/>
      <c r="EE35" s="1"/>
      <c r="EF35" s="1"/>
    </row>
    <row r="36" spans="1:136">
      <c r="A36" s="118">
        <v>1</v>
      </c>
      <c r="B36" s="14" t="s">
        <v>62</v>
      </c>
      <c r="C36" s="13" t="s">
        <v>342</v>
      </c>
      <c r="D36" s="119" t="s">
        <v>343</v>
      </c>
      <c r="E36" s="140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2"/>
      <c r="Q36" s="144"/>
      <c r="R36" s="145"/>
      <c r="S36" s="146"/>
      <c r="T36" s="147"/>
      <c r="U36" s="148"/>
      <c r="V36" s="148"/>
      <c r="W36" s="128">
        <v>8.4</v>
      </c>
      <c r="X36" s="148"/>
      <c r="Y36" s="128">
        <v>8.4</v>
      </c>
      <c r="Z36" s="148"/>
      <c r="AA36" s="130">
        <v>6</v>
      </c>
      <c r="AB36" s="131">
        <f t="shared" si="0"/>
        <v>0</v>
      </c>
      <c r="AC36" s="147"/>
      <c r="AD36" s="148"/>
      <c r="AE36" s="148"/>
      <c r="AF36" s="128">
        <v>8.4</v>
      </c>
      <c r="AG36" s="148"/>
      <c r="AH36" s="128">
        <v>8.4</v>
      </c>
      <c r="AI36" s="148"/>
      <c r="AJ36" s="130">
        <v>6</v>
      </c>
      <c r="AK36" s="131">
        <f t="shared" si="14"/>
        <v>0</v>
      </c>
      <c r="AL36" s="147"/>
      <c r="AM36" s="148"/>
      <c r="AN36" s="148"/>
      <c r="AO36" s="128">
        <v>8.4</v>
      </c>
      <c r="AP36" s="148"/>
      <c r="AQ36" s="128">
        <v>8.4</v>
      </c>
      <c r="AR36" s="148"/>
      <c r="AS36" s="130">
        <v>6</v>
      </c>
      <c r="AT36" s="131">
        <f t="shared" si="1"/>
        <v>0</v>
      </c>
      <c r="AU36" s="149"/>
      <c r="AV36" s="150"/>
      <c r="AW36" s="150"/>
      <c r="AX36" s="134">
        <v>8.4</v>
      </c>
      <c r="AY36" s="150"/>
      <c r="AZ36" s="134">
        <v>8.4</v>
      </c>
      <c r="BA36" s="150"/>
      <c r="BB36" s="130">
        <v>6</v>
      </c>
      <c r="BC36" s="131">
        <f t="shared" si="2"/>
        <v>0</v>
      </c>
      <c r="BD36" s="149"/>
      <c r="BE36" s="150"/>
      <c r="BF36" s="150"/>
      <c r="BG36" s="134">
        <v>8.4</v>
      </c>
      <c r="BH36" s="150"/>
      <c r="BI36" s="134">
        <v>8.4</v>
      </c>
      <c r="BJ36" s="150"/>
      <c r="BK36" s="130">
        <v>6</v>
      </c>
      <c r="BL36" s="131">
        <f t="shared" si="3"/>
        <v>0</v>
      </c>
      <c r="BM36" s="149"/>
      <c r="BN36" s="150"/>
      <c r="BO36" s="150"/>
      <c r="BP36" s="134">
        <v>8.4</v>
      </c>
      <c r="BQ36" s="150"/>
      <c r="BR36" s="134">
        <v>8.4</v>
      </c>
      <c r="BS36" s="150"/>
      <c r="BT36" s="130">
        <v>6</v>
      </c>
      <c r="BU36" s="131">
        <f t="shared" si="4"/>
        <v>0</v>
      </c>
      <c r="BV36" s="149"/>
      <c r="BW36" s="150"/>
      <c r="BX36" s="150"/>
      <c r="BY36" s="134">
        <v>8.4</v>
      </c>
      <c r="BZ36" s="150"/>
      <c r="CA36" s="134">
        <v>8.4</v>
      </c>
      <c r="CB36" s="150"/>
      <c r="CC36" s="130">
        <v>6</v>
      </c>
      <c r="CD36" s="131">
        <f t="shared" si="5"/>
        <v>0</v>
      </c>
      <c r="CE36" s="149"/>
      <c r="CF36" s="150"/>
      <c r="CG36" s="150"/>
      <c r="CH36" s="134">
        <v>8.4</v>
      </c>
      <c r="CI36" s="150"/>
      <c r="CJ36" s="134">
        <v>8.4</v>
      </c>
      <c r="CK36" s="150"/>
      <c r="CL36" s="130">
        <v>6</v>
      </c>
      <c r="CM36" s="136">
        <f t="shared" si="6"/>
        <v>0</v>
      </c>
      <c r="CN36" s="149"/>
      <c r="CO36" s="150"/>
      <c r="CP36" s="150"/>
      <c r="CQ36" s="134">
        <v>8.4</v>
      </c>
      <c r="CR36" s="150"/>
      <c r="CS36" s="134">
        <v>8.4</v>
      </c>
      <c r="CT36" s="150"/>
      <c r="CU36" s="130">
        <v>6</v>
      </c>
      <c r="CV36" s="131">
        <f t="shared" si="7"/>
        <v>0</v>
      </c>
      <c r="CW36" s="149"/>
      <c r="CX36" s="150"/>
      <c r="CY36" s="150"/>
      <c r="CZ36" s="134">
        <v>8.4</v>
      </c>
      <c r="DA36" s="150"/>
      <c r="DB36" s="134">
        <v>8.4</v>
      </c>
      <c r="DC36" s="150"/>
      <c r="DD36" s="130">
        <v>6</v>
      </c>
      <c r="DE36" s="131">
        <f t="shared" si="8"/>
        <v>0</v>
      </c>
      <c r="DF36" s="149"/>
      <c r="DG36" s="150"/>
      <c r="DH36" s="150"/>
      <c r="DI36" s="134">
        <v>8.4</v>
      </c>
      <c r="DJ36" s="150"/>
      <c r="DK36" s="134">
        <v>8.4</v>
      </c>
      <c r="DL36" s="150"/>
      <c r="DM36" s="130">
        <v>6</v>
      </c>
      <c r="DN36" s="131">
        <f t="shared" si="9"/>
        <v>0</v>
      </c>
      <c r="DO36" s="149"/>
      <c r="DP36" s="150"/>
      <c r="DQ36" s="150"/>
      <c r="DR36" s="134">
        <v>8.4</v>
      </c>
      <c r="DS36" s="150"/>
      <c r="DT36" s="134">
        <v>8.4</v>
      </c>
      <c r="DU36" s="150"/>
      <c r="DV36" s="130">
        <v>6</v>
      </c>
      <c r="DW36" s="137">
        <f t="shared" si="10"/>
        <v>0</v>
      </c>
      <c r="DX36" s="151"/>
      <c r="DY36" s="134">
        <f t="shared" si="11"/>
        <v>0</v>
      </c>
      <c r="DZ36" s="134">
        <f t="shared" si="12"/>
        <v>0</v>
      </c>
      <c r="EA36" s="134">
        <f t="shared" si="13"/>
        <v>0</v>
      </c>
      <c r="EB36" s="151"/>
      <c r="ED36" s="1"/>
      <c r="EE36" s="1"/>
      <c r="EF36" s="1"/>
    </row>
    <row r="37" spans="1:136">
      <c r="A37" s="118">
        <v>1</v>
      </c>
      <c r="B37" s="14" t="s">
        <v>28</v>
      </c>
      <c r="C37" s="13" t="s">
        <v>194</v>
      </c>
      <c r="D37" s="119" t="s">
        <v>195</v>
      </c>
      <c r="E37" s="120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2"/>
      <c r="Q37" s="144"/>
      <c r="R37" s="145"/>
      <c r="S37" s="146"/>
      <c r="T37" s="147"/>
      <c r="U37" s="148"/>
      <c r="V37" s="148"/>
      <c r="W37" s="128">
        <v>8.4</v>
      </c>
      <c r="X37" s="148"/>
      <c r="Y37" s="128">
        <v>8.4</v>
      </c>
      <c r="Z37" s="148"/>
      <c r="AA37" s="130">
        <v>6</v>
      </c>
      <c r="AB37" s="131">
        <f t="shared" si="0"/>
        <v>0</v>
      </c>
      <c r="AC37" s="147"/>
      <c r="AD37" s="148"/>
      <c r="AE37" s="148"/>
      <c r="AF37" s="128">
        <v>8.4</v>
      </c>
      <c r="AG37" s="148"/>
      <c r="AH37" s="128">
        <v>8.4</v>
      </c>
      <c r="AI37" s="148"/>
      <c r="AJ37" s="130">
        <v>6</v>
      </c>
      <c r="AK37" s="131">
        <f t="shared" si="14"/>
        <v>0</v>
      </c>
      <c r="AL37" s="147"/>
      <c r="AM37" s="148"/>
      <c r="AN37" s="148"/>
      <c r="AO37" s="128">
        <v>8.4</v>
      </c>
      <c r="AP37" s="148"/>
      <c r="AQ37" s="128">
        <v>8.4</v>
      </c>
      <c r="AR37" s="148"/>
      <c r="AS37" s="130">
        <v>6</v>
      </c>
      <c r="AT37" s="131">
        <f t="shared" si="1"/>
        <v>0</v>
      </c>
      <c r="AU37" s="149"/>
      <c r="AV37" s="150"/>
      <c r="AW37" s="150"/>
      <c r="AX37" s="134">
        <v>8.4</v>
      </c>
      <c r="AY37" s="150"/>
      <c r="AZ37" s="134">
        <v>8.4</v>
      </c>
      <c r="BA37" s="150"/>
      <c r="BB37" s="130">
        <v>6</v>
      </c>
      <c r="BC37" s="131">
        <f t="shared" si="2"/>
        <v>0</v>
      </c>
      <c r="BD37" s="149"/>
      <c r="BE37" s="150"/>
      <c r="BF37" s="150"/>
      <c r="BG37" s="134">
        <v>8.4</v>
      </c>
      <c r="BH37" s="150"/>
      <c r="BI37" s="134">
        <v>8.4</v>
      </c>
      <c r="BJ37" s="150"/>
      <c r="BK37" s="130">
        <v>6</v>
      </c>
      <c r="BL37" s="131">
        <f t="shared" si="3"/>
        <v>0</v>
      </c>
      <c r="BM37" s="149"/>
      <c r="BN37" s="150"/>
      <c r="BO37" s="150"/>
      <c r="BP37" s="134">
        <v>8.4</v>
      </c>
      <c r="BQ37" s="150"/>
      <c r="BR37" s="134">
        <v>8.4</v>
      </c>
      <c r="BS37" s="150"/>
      <c r="BT37" s="130">
        <v>6</v>
      </c>
      <c r="BU37" s="131">
        <f t="shared" si="4"/>
        <v>0</v>
      </c>
      <c r="BV37" s="149"/>
      <c r="BW37" s="150"/>
      <c r="BX37" s="150"/>
      <c r="BY37" s="134">
        <v>8.4</v>
      </c>
      <c r="BZ37" s="150"/>
      <c r="CA37" s="134">
        <v>8.4</v>
      </c>
      <c r="CB37" s="150"/>
      <c r="CC37" s="130">
        <v>6</v>
      </c>
      <c r="CD37" s="131">
        <f t="shared" si="5"/>
        <v>0</v>
      </c>
      <c r="CE37" s="149"/>
      <c r="CF37" s="150"/>
      <c r="CG37" s="150"/>
      <c r="CH37" s="134">
        <v>8.4</v>
      </c>
      <c r="CI37" s="150"/>
      <c r="CJ37" s="134">
        <v>8.4</v>
      </c>
      <c r="CK37" s="150"/>
      <c r="CL37" s="130">
        <v>6</v>
      </c>
      <c r="CM37" s="136">
        <f t="shared" si="6"/>
        <v>0</v>
      </c>
      <c r="CN37" s="149"/>
      <c r="CO37" s="150"/>
      <c r="CP37" s="150"/>
      <c r="CQ37" s="134">
        <v>8.4</v>
      </c>
      <c r="CR37" s="150"/>
      <c r="CS37" s="134">
        <v>8.4</v>
      </c>
      <c r="CT37" s="150"/>
      <c r="CU37" s="130">
        <v>6</v>
      </c>
      <c r="CV37" s="131">
        <f t="shared" si="7"/>
        <v>0</v>
      </c>
      <c r="CW37" s="149"/>
      <c r="CX37" s="150"/>
      <c r="CY37" s="150"/>
      <c r="CZ37" s="134">
        <v>8.4</v>
      </c>
      <c r="DA37" s="150"/>
      <c r="DB37" s="134">
        <v>8.4</v>
      </c>
      <c r="DC37" s="150"/>
      <c r="DD37" s="130">
        <v>6</v>
      </c>
      <c r="DE37" s="131">
        <f t="shared" si="8"/>
        <v>0</v>
      </c>
      <c r="DF37" s="149"/>
      <c r="DG37" s="150"/>
      <c r="DH37" s="150"/>
      <c r="DI37" s="134">
        <v>8.4</v>
      </c>
      <c r="DJ37" s="150"/>
      <c r="DK37" s="134">
        <v>8.4</v>
      </c>
      <c r="DL37" s="150"/>
      <c r="DM37" s="130">
        <v>6</v>
      </c>
      <c r="DN37" s="131">
        <f t="shared" si="9"/>
        <v>0</v>
      </c>
      <c r="DO37" s="149"/>
      <c r="DP37" s="150"/>
      <c r="DQ37" s="150"/>
      <c r="DR37" s="134">
        <v>8.4</v>
      </c>
      <c r="DS37" s="150"/>
      <c r="DT37" s="134">
        <v>8.4</v>
      </c>
      <c r="DU37" s="150"/>
      <c r="DV37" s="130">
        <v>6</v>
      </c>
      <c r="DW37" s="137">
        <f t="shared" si="10"/>
        <v>0</v>
      </c>
      <c r="DX37" s="151"/>
      <c r="DY37" s="134">
        <f t="shared" si="11"/>
        <v>0</v>
      </c>
      <c r="DZ37" s="134">
        <f t="shared" si="12"/>
        <v>0</v>
      </c>
      <c r="EA37" s="134">
        <f t="shared" si="13"/>
        <v>0</v>
      </c>
      <c r="EB37" s="151"/>
      <c r="ED37" s="1"/>
      <c r="EE37" s="1"/>
      <c r="EF37" s="1"/>
    </row>
    <row r="38" spans="1:136">
      <c r="A38" s="118">
        <v>1</v>
      </c>
      <c r="B38" s="14" t="s">
        <v>127</v>
      </c>
      <c r="C38" s="13" t="s">
        <v>199</v>
      </c>
      <c r="D38" s="119" t="s">
        <v>200</v>
      </c>
      <c r="E38" s="140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2"/>
      <c r="Q38" s="144"/>
      <c r="R38" s="145"/>
      <c r="S38" s="146"/>
      <c r="T38" s="147"/>
      <c r="U38" s="148"/>
      <c r="V38" s="148"/>
      <c r="W38" s="128">
        <v>8.4</v>
      </c>
      <c r="X38" s="148"/>
      <c r="Y38" s="128">
        <v>8.4</v>
      </c>
      <c r="Z38" s="148"/>
      <c r="AA38" s="130">
        <v>6</v>
      </c>
      <c r="AB38" s="131">
        <f t="shared" si="0"/>
        <v>0</v>
      </c>
      <c r="AC38" s="147"/>
      <c r="AD38" s="148"/>
      <c r="AE38" s="148"/>
      <c r="AF38" s="128">
        <v>8.4</v>
      </c>
      <c r="AG38" s="148"/>
      <c r="AH38" s="128">
        <v>8.4</v>
      </c>
      <c r="AI38" s="148"/>
      <c r="AJ38" s="130">
        <v>6</v>
      </c>
      <c r="AK38" s="131">
        <f t="shared" si="14"/>
        <v>0</v>
      </c>
      <c r="AL38" s="147"/>
      <c r="AM38" s="148"/>
      <c r="AN38" s="148"/>
      <c r="AO38" s="128">
        <v>8.4</v>
      </c>
      <c r="AP38" s="148"/>
      <c r="AQ38" s="128">
        <v>8.4</v>
      </c>
      <c r="AR38" s="148"/>
      <c r="AS38" s="130">
        <v>6</v>
      </c>
      <c r="AT38" s="131">
        <f t="shared" si="1"/>
        <v>0</v>
      </c>
      <c r="AU38" s="149"/>
      <c r="AV38" s="150"/>
      <c r="AW38" s="150"/>
      <c r="AX38" s="134">
        <v>8.4</v>
      </c>
      <c r="AY38" s="150"/>
      <c r="AZ38" s="134">
        <v>8.4</v>
      </c>
      <c r="BA38" s="150"/>
      <c r="BB38" s="130">
        <v>6</v>
      </c>
      <c r="BC38" s="131">
        <f t="shared" si="2"/>
        <v>0</v>
      </c>
      <c r="BD38" s="149"/>
      <c r="BE38" s="150"/>
      <c r="BF38" s="150"/>
      <c r="BG38" s="134">
        <v>8.4</v>
      </c>
      <c r="BH38" s="150"/>
      <c r="BI38" s="134">
        <v>8.4</v>
      </c>
      <c r="BJ38" s="150"/>
      <c r="BK38" s="130">
        <v>6</v>
      </c>
      <c r="BL38" s="131">
        <f t="shared" si="3"/>
        <v>0</v>
      </c>
      <c r="BM38" s="149"/>
      <c r="BN38" s="150"/>
      <c r="BO38" s="150"/>
      <c r="BP38" s="134">
        <v>8.4</v>
      </c>
      <c r="BQ38" s="150"/>
      <c r="BR38" s="134">
        <v>8.4</v>
      </c>
      <c r="BS38" s="150"/>
      <c r="BT38" s="130">
        <v>6</v>
      </c>
      <c r="BU38" s="131">
        <f t="shared" si="4"/>
        <v>0</v>
      </c>
      <c r="BV38" s="149"/>
      <c r="BW38" s="150"/>
      <c r="BX38" s="150"/>
      <c r="BY38" s="134">
        <v>8.4</v>
      </c>
      <c r="BZ38" s="150"/>
      <c r="CA38" s="134">
        <v>8.4</v>
      </c>
      <c r="CB38" s="150"/>
      <c r="CC38" s="130">
        <v>6</v>
      </c>
      <c r="CD38" s="131">
        <f t="shared" si="5"/>
        <v>0</v>
      </c>
      <c r="CE38" s="149"/>
      <c r="CF38" s="150"/>
      <c r="CG38" s="150"/>
      <c r="CH38" s="134">
        <v>8.4</v>
      </c>
      <c r="CI38" s="150"/>
      <c r="CJ38" s="134">
        <v>8.4</v>
      </c>
      <c r="CK38" s="150"/>
      <c r="CL38" s="130">
        <v>6</v>
      </c>
      <c r="CM38" s="136">
        <f t="shared" si="6"/>
        <v>0</v>
      </c>
      <c r="CN38" s="149"/>
      <c r="CO38" s="150"/>
      <c r="CP38" s="150"/>
      <c r="CQ38" s="134">
        <v>8.4</v>
      </c>
      <c r="CR38" s="150"/>
      <c r="CS38" s="134">
        <v>8.4</v>
      </c>
      <c r="CT38" s="150"/>
      <c r="CU38" s="130">
        <v>6</v>
      </c>
      <c r="CV38" s="131">
        <f t="shared" si="7"/>
        <v>0</v>
      </c>
      <c r="CW38" s="149"/>
      <c r="CX38" s="150"/>
      <c r="CY38" s="150"/>
      <c r="CZ38" s="134">
        <v>8.4</v>
      </c>
      <c r="DA38" s="150"/>
      <c r="DB38" s="134">
        <v>8.4</v>
      </c>
      <c r="DC38" s="150"/>
      <c r="DD38" s="130">
        <v>6</v>
      </c>
      <c r="DE38" s="131">
        <f t="shared" si="8"/>
        <v>0</v>
      </c>
      <c r="DF38" s="149"/>
      <c r="DG38" s="150"/>
      <c r="DH38" s="150"/>
      <c r="DI38" s="134">
        <v>8.4</v>
      </c>
      <c r="DJ38" s="150"/>
      <c r="DK38" s="134">
        <v>8.4</v>
      </c>
      <c r="DL38" s="150"/>
      <c r="DM38" s="130">
        <v>6</v>
      </c>
      <c r="DN38" s="131">
        <f t="shared" si="9"/>
        <v>0</v>
      </c>
      <c r="DO38" s="149"/>
      <c r="DP38" s="150"/>
      <c r="DQ38" s="150"/>
      <c r="DR38" s="134">
        <v>8.4</v>
      </c>
      <c r="DS38" s="150"/>
      <c r="DT38" s="134">
        <v>8.4</v>
      </c>
      <c r="DU38" s="150"/>
      <c r="DV38" s="130">
        <v>6</v>
      </c>
      <c r="DW38" s="137">
        <f t="shared" si="10"/>
        <v>0</v>
      </c>
      <c r="DX38" s="151"/>
      <c r="DY38" s="134">
        <f t="shared" si="11"/>
        <v>0</v>
      </c>
      <c r="DZ38" s="134">
        <f t="shared" si="12"/>
        <v>0</v>
      </c>
      <c r="EA38" s="134">
        <f t="shared" si="13"/>
        <v>0</v>
      </c>
      <c r="EB38" s="151"/>
      <c r="ED38" s="1"/>
      <c r="EE38" s="1"/>
      <c r="EF38" s="1"/>
    </row>
    <row r="39" spans="1:136">
      <c r="A39" s="118">
        <v>1</v>
      </c>
      <c r="B39" s="14" t="s">
        <v>106</v>
      </c>
      <c r="C39" s="13" t="s">
        <v>205</v>
      </c>
      <c r="D39" s="119" t="s">
        <v>206</v>
      </c>
      <c r="E39" s="120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2"/>
      <c r="Q39" s="144"/>
      <c r="R39" s="145"/>
      <c r="S39" s="146"/>
      <c r="T39" s="147"/>
      <c r="U39" s="148"/>
      <c r="V39" s="148"/>
      <c r="W39" s="128">
        <v>8.4</v>
      </c>
      <c r="X39" s="148"/>
      <c r="Y39" s="128">
        <v>8.4</v>
      </c>
      <c r="Z39" s="148"/>
      <c r="AA39" s="130">
        <v>6</v>
      </c>
      <c r="AB39" s="131">
        <f t="shared" si="0"/>
        <v>0</v>
      </c>
      <c r="AC39" s="147"/>
      <c r="AD39" s="148"/>
      <c r="AE39" s="148"/>
      <c r="AF39" s="128">
        <v>8.4</v>
      </c>
      <c r="AG39" s="148"/>
      <c r="AH39" s="128">
        <v>8.4</v>
      </c>
      <c r="AI39" s="148"/>
      <c r="AJ39" s="130">
        <v>6</v>
      </c>
      <c r="AK39" s="131">
        <f t="shared" si="14"/>
        <v>0</v>
      </c>
      <c r="AL39" s="147"/>
      <c r="AM39" s="148"/>
      <c r="AN39" s="148"/>
      <c r="AO39" s="128">
        <v>8.4</v>
      </c>
      <c r="AP39" s="148"/>
      <c r="AQ39" s="128">
        <v>8.4</v>
      </c>
      <c r="AR39" s="148"/>
      <c r="AS39" s="130">
        <v>6</v>
      </c>
      <c r="AT39" s="131">
        <f t="shared" si="1"/>
        <v>0</v>
      </c>
      <c r="AU39" s="149"/>
      <c r="AV39" s="150"/>
      <c r="AW39" s="150"/>
      <c r="AX39" s="134">
        <v>8.4</v>
      </c>
      <c r="AY39" s="150"/>
      <c r="AZ39" s="134">
        <v>8.4</v>
      </c>
      <c r="BA39" s="150"/>
      <c r="BB39" s="130">
        <v>6</v>
      </c>
      <c r="BC39" s="131">
        <f t="shared" si="2"/>
        <v>0</v>
      </c>
      <c r="BD39" s="149"/>
      <c r="BE39" s="150"/>
      <c r="BF39" s="150"/>
      <c r="BG39" s="134">
        <v>8.4</v>
      </c>
      <c r="BH39" s="150"/>
      <c r="BI39" s="134">
        <v>8.4</v>
      </c>
      <c r="BJ39" s="150"/>
      <c r="BK39" s="130">
        <v>6</v>
      </c>
      <c r="BL39" s="131">
        <f t="shared" si="3"/>
        <v>0</v>
      </c>
      <c r="BM39" s="149"/>
      <c r="BN39" s="150"/>
      <c r="BO39" s="150"/>
      <c r="BP39" s="134">
        <v>8.4</v>
      </c>
      <c r="BQ39" s="150"/>
      <c r="BR39" s="134">
        <v>8.4</v>
      </c>
      <c r="BS39" s="150"/>
      <c r="BT39" s="130">
        <v>6</v>
      </c>
      <c r="BU39" s="131">
        <f t="shared" si="4"/>
        <v>0</v>
      </c>
      <c r="BV39" s="149"/>
      <c r="BW39" s="150"/>
      <c r="BX39" s="150"/>
      <c r="BY39" s="134">
        <v>8.4</v>
      </c>
      <c r="BZ39" s="150"/>
      <c r="CA39" s="134">
        <v>8.4</v>
      </c>
      <c r="CB39" s="150"/>
      <c r="CC39" s="130">
        <v>6</v>
      </c>
      <c r="CD39" s="131">
        <f t="shared" si="5"/>
        <v>0</v>
      </c>
      <c r="CE39" s="149"/>
      <c r="CF39" s="150"/>
      <c r="CG39" s="150"/>
      <c r="CH39" s="134">
        <v>8.4</v>
      </c>
      <c r="CI39" s="150"/>
      <c r="CJ39" s="134">
        <v>8.4</v>
      </c>
      <c r="CK39" s="150"/>
      <c r="CL39" s="130">
        <v>6</v>
      </c>
      <c r="CM39" s="136">
        <f t="shared" si="6"/>
        <v>0</v>
      </c>
      <c r="CN39" s="149"/>
      <c r="CO39" s="150"/>
      <c r="CP39" s="150"/>
      <c r="CQ39" s="134">
        <v>8.4</v>
      </c>
      <c r="CR39" s="150"/>
      <c r="CS39" s="134">
        <v>8.4</v>
      </c>
      <c r="CT39" s="150"/>
      <c r="CU39" s="130">
        <v>6</v>
      </c>
      <c r="CV39" s="131">
        <f t="shared" si="7"/>
        <v>0</v>
      </c>
      <c r="CW39" s="149"/>
      <c r="CX39" s="150"/>
      <c r="CY39" s="150"/>
      <c r="CZ39" s="134">
        <v>8.4</v>
      </c>
      <c r="DA39" s="150"/>
      <c r="DB39" s="134">
        <v>8.4</v>
      </c>
      <c r="DC39" s="150"/>
      <c r="DD39" s="130">
        <v>6</v>
      </c>
      <c r="DE39" s="131">
        <f t="shared" si="8"/>
        <v>0</v>
      </c>
      <c r="DF39" s="149"/>
      <c r="DG39" s="150"/>
      <c r="DH39" s="150"/>
      <c r="DI39" s="134">
        <v>8.4</v>
      </c>
      <c r="DJ39" s="150"/>
      <c r="DK39" s="134">
        <v>8.4</v>
      </c>
      <c r="DL39" s="150"/>
      <c r="DM39" s="130">
        <v>6</v>
      </c>
      <c r="DN39" s="131">
        <f t="shared" si="9"/>
        <v>0</v>
      </c>
      <c r="DO39" s="149"/>
      <c r="DP39" s="150"/>
      <c r="DQ39" s="150"/>
      <c r="DR39" s="134">
        <v>8.4</v>
      </c>
      <c r="DS39" s="150"/>
      <c r="DT39" s="134">
        <v>8.4</v>
      </c>
      <c r="DU39" s="150"/>
      <c r="DV39" s="130">
        <v>6</v>
      </c>
      <c r="DW39" s="137">
        <f t="shared" si="10"/>
        <v>0</v>
      </c>
      <c r="DX39" s="151"/>
      <c r="DY39" s="134">
        <f t="shared" si="11"/>
        <v>0</v>
      </c>
      <c r="DZ39" s="134">
        <f t="shared" si="12"/>
        <v>0</v>
      </c>
      <c r="EA39" s="134">
        <f t="shared" si="13"/>
        <v>0</v>
      </c>
      <c r="EB39" s="151"/>
      <c r="ED39" s="1"/>
      <c r="EE39" s="1"/>
      <c r="EF39" s="1"/>
    </row>
    <row r="40" spans="1:136">
      <c r="A40" s="118">
        <v>1</v>
      </c>
      <c r="B40" s="14" t="s">
        <v>28</v>
      </c>
      <c r="C40" s="13" t="s">
        <v>344</v>
      </c>
      <c r="D40" s="119" t="s">
        <v>345</v>
      </c>
      <c r="E40" s="140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2"/>
      <c r="Q40" s="144"/>
      <c r="R40" s="145"/>
      <c r="S40" s="146"/>
      <c r="T40" s="147"/>
      <c r="U40" s="148"/>
      <c r="V40" s="148"/>
      <c r="W40" s="128">
        <v>8.4</v>
      </c>
      <c r="X40" s="148"/>
      <c r="Y40" s="128">
        <v>8.4</v>
      </c>
      <c r="Z40" s="148"/>
      <c r="AA40" s="130">
        <v>6</v>
      </c>
      <c r="AB40" s="131">
        <f t="shared" si="0"/>
        <v>0</v>
      </c>
      <c r="AC40" s="147"/>
      <c r="AD40" s="148"/>
      <c r="AE40" s="148"/>
      <c r="AF40" s="128">
        <v>8.4</v>
      </c>
      <c r="AG40" s="148"/>
      <c r="AH40" s="128">
        <v>8.4</v>
      </c>
      <c r="AI40" s="148"/>
      <c r="AJ40" s="130">
        <v>6</v>
      </c>
      <c r="AK40" s="131">
        <f t="shared" si="14"/>
        <v>0</v>
      </c>
      <c r="AL40" s="147"/>
      <c r="AM40" s="148"/>
      <c r="AN40" s="148"/>
      <c r="AO40" s="128">
        <v>8.4</v>
      </c>
      <c r="AP40" s="148"/>
      <c r="AQ40" s="128">
        <v>8.4</v>
      </c>
      <c r="AR40" s="148"/>
      <c r="AS40" s="130">
        <v>6</v>
      </c>
      <c r="AT40" s="131">
        <f t="shared" si="1"/>
        <v>0</v>
      </c>
      <c r="AU40" s="149"/>
      <c r="AV40" s="150"/>
      <c r="AW40" s="150"/>
      <c r="AX40" s="134">
        <v>8.4</v>
      </c>
      <c r="AY40" s="150"/>
      <c r="AZ40" s="134">
        <v>8.4</v>
      </c>
      <c r="BA40" s="150"/>
      <c r="BB40" s="130">
        <v>6</v>
      </c>
      <c r="BC40" s="131">
        <f t="shared" si="2"/>
        <v>0</v>
      </c>
      <c r="BD40" s="149"/>
      <c r="BE40" s="150"/>
      <c r="BF40" s="150"/>
      <c r="BG40" s="134">
        <v>8.4</v>
      </c>
      <c r="BH40" s="150"/>
      <c r="BI40" s="134">
        <v>8.4</v>
      </c>
      <c r="BJ40" s="150"/>
      <c r="BK40" s="130">
        <v>6</v>
      </c>
      <c r="BL40" s="131">
        <f t="shared" si="3"/>
        <v>0</v>
      </c>
      <c r="BM40" s="149"/>
      <c r="BN40" s="150"/>
      <c r="BO40" s="150"/>
      <c r="BP40" s="134">
        <v>8.4</v>
      </c>
      <c r="BQ40" s="150"/>
      <c r="BR40" s="134">
        <v>8.4</v>
      </c>
      <c r="BS40" s="150"/>
      <c r="BT40" s="130">
        <v>6</v>
      </c>
      <c r="BU40" s="131">
        <f t="shared" si="4"/>
        <v>0</v>
      </c>
      <c r="BV40" s="149"/>
      <c r="BW40" s="150"/>
      <c r="BX40" s="150"/>
      <c r="BY40" s="134">
        <v>8.4</v>
      </c>
      <c r="BZ40" s="150"/>
      <c r="CA40" s="134">
        <v>8.4</v>
      </c>
      <c r="CB40" s="150"/>
      <c r="CC40" s="130">
        <v>6</v>
      </c>
      <c r="CD40" s="131">
        <f t="shared" si="5"/>
        <v>0</v>
      </c>
      <c r="CE40" s="149"/>
      <c r="CF40" s="150"/>
      <c r="CG40" s="150"/>
      <c r="CH40" s="134">
        <v>8.4</v>
      </c>
      <c r="CI40" s="150"/>
      <c r="CJ40" s="134">
        <v>8.4</v>
      </c>
      <c r="CK40" s="150"/>
      <c r="CL40" s="130">
        <v>6</v>
      </c>
      <c r="CM40" s="136">
        <f t="shared" si="6"/>
        <v>0</v>
      </c>
      <c r="CN40" s="149"/>
      <c r="CO40" s="150"/>
      <c r="CP40" s="150"/>
      <c r="CQ40" s="134">
        <v>8.4</v>
      </c>
      <c r="CR40" s="150"/>
      <c r="CS40" s="134">
        <v>8.4</v>
      </c>
      <c r="CT40" s="150"/>
      <c r="CU40" s="130">
        <v>6</v>
      </c>
      <c r="CV40" s="131">
        <f t="shared" si="7"/>
        <v>0</v>
      </c>
      <c r="CW40" s="149"/>
      <c r="CX40" s="150"/>
      <c r="CY40" s="150"/>
      <c r="CZ40" s="134">
        <v>8.4</v>
      </c>
      <c r="DA40" s="150"/>
      <c r="DB40" s="134">
        <v>8.4</v>
      </c>
      <c r="DC40" s="150"/>
      <c r="DD40" s="130">
        <v>6</v>
      </c>
      <c r="DE40" s="131">
        <f t="shared" si="8"/>
        <v>0</v>
      </c>
      <c r="DF40" s="149"/>
      <c r="DG40" s="150"/>
      <c r="DH40" s="150"/>
      <c r="DI40" s="134">
        <v>8.4</v>
      </c>
      <c r="DJ40" s="150"/>
      <c r="DK40" s="134">
        <v>8.4</v>
      </c>
      <c r="DL40" s="150"/>
      <c r="DM40" s="130">
        <v>6</v>
      </c>
      <c r="DN40" s="131">
        <f t="shared" si="9"/>
        <v>0</v>
      </c>
      <c r="DO40" s="149"/>
      <c r="DP40" s="150"/>
      <c r="DQ40" s="150"/>
      <c r="DR40" s="134">
        <v>8.4</v>
      </c>
      <c r="DS40" s="150"/>
      <c r="DT40" s="134">
        <v>8.4</v>
      </c>
      <c r="DU40" s="150"/>
      <c r="DV40" s="130">
        <v>6</v>
      </c>
      <c r="DW40" s="137">
        <f t="shared" si="10"/>
        <v>0</v>
      </c>
      <c r="DX40" s="151"/>
      <c r="DY40" s="134">
        <f t="shared" si="11"/>
        <v>0</v>
      </c>
      <c r="DZ40" s="134">
        <f t="shared" si="12"/>
        <v>0</v>
      </c>
      <c r="EA40" s="134">
        <f t="shared" si="13"/>
        <v>0</v>
      </c>
      <c r="EB40" s="151"/>
      <c r="ED40" s="1"/>
      <c r="EE40" s="1"/>
      <c r="EF40" s="1"/>
    </row>
    <row r="41" spans="1:136">
      <c r="A41" s="118">
        <v>1</v>
      </c>
      <c r="B41" s="14" t="s">
        <v>28</v>
      </c>
      <c r="C41" s="13" t="s">
        <v>346</v>
      </c>
      <c r="D41" s="119" t="s">
        <v>224</v>
      </c>
      <c r="E41" s="120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2"/>
      <c r="Q41" s="144"/>
      <c r="R41" s="145"/>
      <c r="S41" s="146"/>
      <c r="T41" s="147"/>
      <c r="U41" s="148"/>
      <c r="V41" s="148"/>
      <c r="W41" s="128">
        <v>8.4</v>
      </c>
      <c r="X41" s="148"/>
      <c r="Y41" s="128">
        <v>8.4</v>
      </c>
      <c r="Z41" s="148"/>
      <c r="AA41" s="130">
        <v>6</v>
      </c>
      <c r="AB41" s="131">
        <f t="shared" si="0"/>
        <v>0</v>
      </c>
      <c r="AC41" s="147"/>
      <c r="AD41" s="148"/>
      <c r="AE41" s="148"/>
      <c r="AF41" s="128">
        <v>8.4</v>
      </c>
      <c r="AG41" s="148"/>
      <c r="AH41" s="128">
        <v>8.4</v>
      </c>
      <c r="AI41" s="148"/>
      <c r="AJ41" s="130">
        <v>6</v>
      </c>
      <c r="AK41" s="131">
        <f t="shared" si="14"/>
        <v>0</v>
      </c>
      <c r="AL41" s="147"/>
      <c r="AM41" s="148"/>
      <c r="AN41" s="148"/>
      <c r="AO41" s="128">
        <v>8.4</v>
      </c>
      <c r="AP41" s="148"/>
      <c r="AQ41" s="128">
        <v>8.4</v>
      </c>
      <c r="AR41" s="148"/>
      <c r="AS41" s="130">
        <v>6</v>
      </c>
      <c r="AT41" s="131">
        <f t="shared" si="1"/>
        <v>0</v>
      </c>
      <c r="AU41" s="149"/>
      <c r="AV41" s="150"/>
      <c r="AW41" s="150"/>
      <c r="AX41" s="134">
        <v>8.4</v>
      </c>
      <c r="AY41" s="150"/>
      <c r="AZ41" s="134">
        <v>8.4</v>
      </c>
      <c r="BA41" s="150"/>
      <c r="BB41" s="130">
        <v>6</v>
      </c>
      <c r="BC41" s="131">
        <f t="shared" si="2"/>
        <v>0</v>
      </c>
      <c r="BD41" s="149"/>
      <c r="BE41" s="150"/>
      <c r="BF41" s="150"/>
      <c r="BG41" s="134">
        <v>8.4</v>
      </c>
      <c r="BH41" s="150"/>
      <c r="BI41" s="134">
        <v>8.4</v>
      </c>
      <c r="BJ41" s="150"/>
      <c r="BK41" s="130">
        <v>6</v>
      </c>
      <c r="BL41" s="131">
        <f t="shared" si="3"/>
        <v>0</v>
      </c>
      <c r="BM41" s="149"/>
      <c r="BN41" s="150"/>
      <c r="BO41" s="150"/>
      <c r="BP41" s="134">
        <v>8.4</v>
      </c>
      <c r="BQ41" s="150"/>
      <c r="BR41" s="134">
        <v>8.4</v>
      </c>
      <c r="BS41" s="150"/>
      <c r="BT41" s="130">
        <v>6</v>
      </c>
      <c r="BU41" s="131">
        <f t="shared" si="4"/>
        <v>0</v>
      </c>
      <c r="BV41" s="149"/>
      <c r="BW41" s="150"/>
      <c r="BX41" s="150"/>
      <c r="BY41" s="134">
        <v>8.4</v>
      </c>
      <c r="BZ41" s="150"/>
      <c r="CA41" s="134">
        <v>8.4</v>
      </c>
      <c r="CB41" s="150"/>
      <c r="CC41" s="130">
        <v>6</v>
      </c>
      <c r="CD41" s="131">
        <f t="shared" si="5"/>
        <v>0</v>
      </c>
      <c r="CE41" s="149"/>
      <c r="CF41" s="150"/>
      <c r="CG41" s="150"/>
      <c r="CH41" s="134">
        <v>8.4</v>
      </c>
      <c r="CI41" s="150"/>
      <c r="CJ41" s="134">
        <v>8.4</v>
      </c>
      <c r="CK41" s="150"/>
      <c r="CL41" s="130">
        <v>6</v>
      </c>
      <c r="CM41" s="136">
        <f t="shared" si="6"/>
        <v>0</v>
      </c>
      <c r="CN41" s="149"/>
      <c r="CO41" s="150"/>
      <c r="CP41" s="150"/>
      <c r="CQ41" s="134">
        <v>8.4</v>
      </c>
      <c r="CR41" s="150"/>
      <c r="CS41" s="134">
        <v>8.4</v>
      </c>
      <c r="CT41" s="150"/>
      <c r="CU41" s="130">
        <v>6</v>
      </c>
      <c r="CV41" s="131">
        <f t="shared" si="7"/>
        <v>0</v>
      </c>
      <c r="CW41" s="149"/>
      <c r="CX41" s="150"/>
      <c r="CY41" s="150"/>
      <c r="CZ41" s="134">
        <v>8.4</v>
      </c>
      <c r="DA41" s="150"/>
      <c r="DB41" s="134">
        <v>8.4</v>
      </c>
      <c r="DC41" s="150"/>
      <c r="DD41" s="130">
        <v>6</v>
      </c>
      <c r="DE41" s="131">
        <f t="shared" si="8"/>
        <v>0</v>
      </c>
      <c r="DF41" s="149"/>
      <c r="DG41" s="150"/>
      <c r="DH41" s="150"/>
      <c r="DI41" s="134">
        <v>8.4</v>
      </c>
      <c r="DJ41" s="150"/>
      <c r="DK41" s="134">
        <v>8.4</v>
      </c>
      <c r="DL41" s="150"/>
      <c r="DM41" s="130">
        <v>6</v>
      </c>
      <c r="DN41" s="131">
        <f t="shared" si="9"/>
        <v>0</v>
      </c>
      <c r="DO41" s="149"/>
      <c r="DP41" s="150"/>
      <c r="DQ41" s="150"/>
      <c r="DR41" s="134">
        <v>8.4</v>
      </c>
      <c r="DS41" s="150"/>
      <c r="DT41" s="134">
        <v>8.4</v>
      </c>
      <c r="DU41" s="150"/>
      <c r="DV41" s="130">
        <v>6</v>
      </c>
      <c r="DW41" s="137">
        <f t="shared" si="10"/>
        <v>0</v>
      </c>
      <c r="DX41" s="151"/>
      <c r="DY41" s="134">
        <f t="shared" si="11"/>
        <v>0</v>
      </c>
      <c r="DZ41" s="134">
        <f t="shared" si="12"/>
        <v>0</v>
      </c>
      <c r="EA41" s="134">
        <f t="shared" si="13"/>
        <v>0</v>
      </c>
      <c r="EB41" s="151"/>
      <c r="ED41" s="1"/>
      <c r="EE41" s="1"/>
      <c r="EF41" s="1"/>
    </row>
    <row r="42" spans="1:136">
      <c r="A42" s="12"/>
      <c r="B42" s="12"/>
      <c r="C42" s="12"/>
      <c r="D42" s="143"/>
      <c r="E42" s="140"/>
      <c r="F42" s="141"/>
      <c r="G42" s="141"/>
      <c r="H42" s="153"/>
      <c r="I42" s="153"/>
      <c r="J42" s="153"/>
      <c r="K42" s="153"/>
      <c r="L42" s="153"/>
      <c r="M42" s="153"/>
      <c r="N42" s="153"/>
      <c r="O42" s="153"/>
      <c r="P42" s="154"/>
      <c r="Q42" s="144"/>
      <c r="R42" s="145"/>
      <c r="S42" s="146"/>
      <c r="T42" s="147"/>
      <c r="U42" s="148"/>
      <c r="V42" s="148"/>
      <c r="W42" s="128">
        <v>8.4</v>
      </c>
      <c r="X42" s="148"/>
      <c r="Y42" s="128">
        <v>8.4</v>
      </c>
      <c r="Z42" s="148"/>
      <c r="AA42" s="130">
        <v>6</v>
      </c>
      <c r="AB42" s="131">
        <f t="shared" si="0"/>
        <v>0</v>
      </c>
      <c r="AC42" s="147"/>
      <c r="AD42" s="148"/>
      <c r="AE42" s="148"/>
      <c r="AF42" s="128">
        <v>8.4</v>
      </c>
      <c r="AG42" s="148"/>
      <c r="AH42" s="128">
        <v>8.4</v>
      </c>
      <c r="AI42" s="148"/>
      <c r="AJ42" s="130">
        <v>6</v>
      </c>
      <c r="AK42" s="131">
        <f t="shared" si="14"/>
        <v>0</v>
      </c>
      <c r="AL42" s="147"/>
      <c r="AM42" s="148"/>
      <c r="AN42" s="148"/>
      <c r="AO42" s="128">
        <v>8.4</v>
      </c>
      <c r="AP42" s="148"/>
      <c r="AQ42" s="128">
        <v>8.4</v>
      </c>
      <c r="AR42" s="148"/>
      <c r="AS42" s="130">
        <v>6</v>
      </c>
      <c r="AT42" s="131">
        <f t="shared" si="1"/>
        <v>0</v>
      </c>
      <c r="AU42" s="149"/>
      <c r="AV42" s="150"/>
      <c r="AW42" s="150"/>
      <c r="AX42" s="134">
        <v>8.4</v>
      </c>
      <c r="AY42" s="150"/>
      <c r="AZ42" s="134">
        <v>8.4</v>
      </c>
      <c r="BA42" s="150"/>
      <c r="BB42" s="130">
        <v>6</v>
      </c>
      <c r="BC42" s="131">
        <f t="shared" si="2"/>
        <v>0</v>
      </c>
      <c r="BD42" s="149"/>
      <c r="BE42" s="150"/>
      <c r="BF42" s="150"/>
      <c r="BG42" s="134">
        <v>8.4</v>
      </c>
      <c r="BH42" s="150"/>
      <c r="BI42" s="134">
        <v>8.4</v>
      </c>
      <c r="BJ42" s="150"/>
      <c r="BK42" s="130">
        <v>6</v>
      </c>
      <c r="BL42" s="131">
        <f t="shared" si="3"/>
        <v>0</v>
      </c>
      <c r="BM42" s="149"/>
      <c r="BN42" s="150"/>
      <c r="BO42" s="150"/>
      <c r="BP42" s="134">
        <v>8.4</v>
      </c>
      <c r="BQ42" s="150"/>
      <c r="BR42" s="134">
        <v>8.4</v>
      </c>
      <c r="BS42" s="150"/>
      <c r="BT42" s="130">
        <v>6</v>
      </c>
      <c r="BU42" s="131">
        <f t="shared" si="4"/>
        <v>0</v>
      </c>
      <c r="BV42" s="149"/>
      <c r="BW42" s="150"/>
      <c r="BX42" s="150"/>
      <c r="BY42" s="134">
        <v>8.4</v>
      </c>
      <c r="BZ42" s="150"/>
      <c r="CA42" s="134">
        <v>8.4</v>
      </c>
      <c r="CB42" s="150"/>
      <c r="CC42" s="130">
        <v>6</v>
      </c>
      <c r="CD42" s="131">
        <f t="shared" si="5"/>
        <v>0</v>
      </c>
      <c r="CE42" s="149"/>
      <c r="CF42" s="150"/>
      <c r="CG42" s="150"/>
      <c r="CH42" s="134">
        <v>8.4</v>
      </c>
      <c r="CI42" s="150"/>
      <c r="CJ42" s="134">
        <v>8.4</v>
      </c>
      <c r="CK42" s="150"/>
      <c r="CL42" s="130">
        <v>6</v>
      </c>
      <c r="CM42" s="136">
        <f t="shared" si="6"/>
        <v>0</v>
      </c>
      <c r="CN42" s="149"/>
      <c r="CO42" s="150"/>
      <c r="CP42" s="150"/>
      <c r="CQ42" s="134">
        <v>8.4</v>
      </c>
      <c r="CR42" s="150"/>
      <c r="CS42" s="134">
        <v>8.4</v>
      </c>
      <c r="CT42" s="150"/>
      <c r="CU42" s="130">
        <v>6</v>
      </c>
      <c r="CV42" s="131">
        <f t="shared" si="7"/>
        <v>0</v>
      </c>
      <c r="CW42" s="149"/>
      <c r="CX42" s="150"/>
      <c r="CY42" s="150"/>
      <c r="CZ42" s="134">
        <v>8.4</v>
      </c>
      <c r="DA42" s="150"/>
      <c r="DB42" s="134">
        <v>8.4</v>
      </c>
      <c r="DC42" s="150"/>
      <c r="DD42" s="130">
        <v>6</v>
      </c>
      <c r="DE42" s="131">
        <f t="shared" si="8"/>
        <v>0</v>
      </c>
      <c r="DF42" s="149"/>
      <c r="DG42" s="150"/>
      <c r="DH42" s="150"/>
      <c r="DI42" s="134">
        <v>8.4</v>
      </c>
      <c r="DJ42" s="150"/>
      <c r="DK42" s="134">
        <v>8.4</v>
      </c>
      <c r="DL42" s="150"/>
      <c r="DM42" s="130">
        <v>6</v>
      </c>
      <c r="DN42" s="131">
        <f t="shared" si="9"/>
        <v>0</v>
      </c>
      <c r="DO42" s="149"/>
      <c r="DP42" s="150"/>
      <c r="DQ42" s="150"/>
      <c r="DR42" s="134">
        <v>8.4</v>
      </c>
      <c r="DS42" s="150"/>
      <c r="DT42" s="134">
        <v>8.4</v>
      </c>
      <c r="DU42" s="150"/>
      <c r="DV42" s="130">
        <v>6</v>
      </c>
      <c r="DW42" s="137">
        <f t="shared" si="10"/>
        <v>0</v>
      </c>
      <c r="DX42" s="151"/>
      <c r="DY42" s="134">
        <f t="shared" si="11"/>
        <v>0</v>
      </c>
      <c r="DZ42" s="134">
        <f t="shared" si="12"/>
        <v>0</v>
      </c>
      <c r="EA42" s="134">
        <f t="shared" si="13"/>
        <v>0</v>
      </c>
      <c r="EB42" s="151"/>
      <c r="ED42" s="1"/>
      <c r="EE42" s="1"/>
      <c r="EF42" s="1"/>
    </row>
    <row r="43" spans="1:136">
      <c r="A43" s="12"/>
      <c r="B43" s="12"/>
      <c r="C43" s="12"/>
      <c r="D43" s="143"/>
      <c r="E43" s="120"/>
      <c r="F43" s="121"/>
      <c r="G43" s="121"/>
      <c r="H43" s="155"/>
      <c r="I43" s="155"/>
      <c r="J43" s="155"/>
      <c r="K43" s="155"/>
      <c r="L43" s="155"/>
      <c r="M43" s="155"/>
      <c r="N43" s="155"/>
      <c r="O43" s="155"/>
      <c r="P43" s="156"/>
      <c r="Q43" s="144"/>
      <c r="R43" s="145"/>
      <c r="S43" s="146"/>
      <c r="T43" s="147"/>
      <c r="U43" s="148"/>
      <c r="V43" s="148"/>
      <c r="W43" s="128">
        <v>8.4</v>
      </c>
      <c r="X43" s="148"/>
      <c r="Y43" s="128">
        <v>8.4</v>
      </c>
      <c r="Z43" s="148"/>
      <c r="AA43" s="130">
        <v>6</v>
      </c>
      <c r="AB43" s="131">
        <f t="shared" si="0"/>
        <v>0</v>
      </c>
      <c r="AC43" s="147"/>
      <c r="AD43" s="148"/>
      <c r="AE43" s="148"/>
      <c r="AF43" s="128">
        <v>8.4</v>
      </c>
      <c r="AG43" s="148"/>
      <c r="AH43" s="128">
        <v>8.4</v>
      </c>
      <c r="AI43" s="148"/>
      <c r="AJ43" s="130">
        <v>6</v>
      </c>
      <c r="AK43" s="131">
        <f t="shared" si="14"/>
        <v>0</v>
      </c>
      <c r="AL43" s="147"/>
      <c r="AM43" s="148"/>
      <c r="AN43" s="148"/>
      <c r="AO43" s="128">
        <v>8.4</v>
      </c>
      <c r="AP43" s="148"/>
      <c r="AQ43" s="128">
        <v>8.4</v>
      </c>
      <c r="AR43" s="148"/>
      <c r="AS43" s="130">
        <v>6</v>
      </c>
      <c r="AT43" s="131">
        <f t="shared" si="1"/>
        <v>0</v>
      </c>
      <c r="AU43" s="149"/>
      <c r="AV43" s="150"/>
      <c r="AW43" s="150"/>
      <c r="AX43" s="134">
        <v>8.4</v>
      </c>
      <c r="AY43" s="150"/>
      <c r="AZ43" s="134">
        <v>8.4</v>
      </c>
      <c r="BA43" s="150"/>
      <c r="BB43" s="130">
        <v>6</v>
      </c>
      <c r="BC43" s="131">
        <f t="shared" si="2"/>
        <v>0</v>
      </c>
      <c r="BD43" s="149"/>
      <c r="BE43" s="150"/>
      <c r="BF43" s="150"/>
      <c r="BG43" s="134">
        <v>8.4</v>
      </c>
      <c r="BH43" s="150"/>
      <c r="BI43" s="134">
        <v>8.4</v>
      </c>
      <c r="BJ43" s="150"/>
      <c r="BK43" s="130">
        <v>6</v>
      </c>
      <c r="BL43" s="131">
        <f t="shared" si="3"/>
        <v>0</v>
      </c>
      <c r="BM43" s="149"/>
      <c r="BN43" s="150"/>
      <c r="BO43" s="150"/>
      <c r="BP43" s="134">
        <v>8.4</v>
      </c>
      <c r="BQ43" s="150"/>
      <c r="BR43" s="134">
        <v>8.4</v>
      </c>
      <c r="BS43" s="150"/>
      <c r="BT43" s="130">
        <v>6</v>
      </c>
      <c r="BU43" s="131">
        <f t="shared" si="4"/>
        <v>0</v>
      </c>
      <c r="BV43" s="149"/>
      <c r="BW43" s="150"/>
      <c r="BX43" s="150"/>
      <c r="BY43" s="134">
        <v>8.4</v>
      </c>
      <c r="BZ43" s="150"/>
      <c r="CA43" s="134">
        <v>8.4</v>
      </c>
      <c r="CB43" s="150"/>
      <c r="CC43" s="130">
        <v>6</v>
      </c>
      <c r="CD43" s="131">
        <f t="shared" si="5"/>
        <v>0</v>
      </c>
      <c r="CE43" s="149"/>
      <c r="CF43" s="150"/>
      <c r="CG43" s="150"/>
      <c r="CH43" s="134">
        <v>8.4</v>
      </c>
      <c r="CI43" s="150"/>
      <c r="CJ43" s="134">
        <v>8.4</v>
      </c>
      <c r="CK43" s="150"/>
      <c r="CL43" s="130">
        <v>6</v>
      </c>
      <c r="CM43" s="136">
        <f t="shared" si="6"/>
        <v>0</v>
      </c>
      <c r="CN43" s="149"/>
      <c r="CO43" s="150"/>
      <c r="CP43" s="150"/>
      <c r="CQ43" s="134">
        <v>8.4</v>
      </c>
      <c r="CR43" s="150"/>
      <c r="CS43" s="134">
        <v>8.4</v>
      </c>
      <c r="CT43" s="150"/>
      <c r="CU43" s="130">
        <v>6</v>
      </c>
      <c r="CV43" s="131">
        <f t="shared" si="7"/>
        <v>0</v>
      </c>
      <c r="CW43" s="149"/>
      <c r="CX43" s="150"/>
      <c r="CY43" s="150"/>
      <c r="CZ43" s="134">
        <v>8.4</v>
      </c>
      <c r="DA43" s="150"/>
      <c r="DB43" s="134">
        <v>8.4</v>
      </c>
      <c r="DC43" s="150"/>
      <c r="DD43" s="130">
        <v>6</v>
      </c>
      <c r="DE43" s="131">
        <f t="shared" si="8"/>
        <v>0</v>
      </c>
      <c r="DF43" s="149"/>
      <c r="DG43" s="150"/>
      <c r="DH43" s="150"/>
      <c r="DI43" s="134">
        <v>8.4</v>
      </c>
      <c r="DJ43" s="150"/>
      <c r="DK43" s="134">
        <v>8.4</v>
      </c>
      <c r="DL43" s="150"/>
      <c r="DM43" s="130">
        <v>6</v>
      </c>
      <c r="DN43" s="131">
        <f t="shared" si="9"/>
        <v>0</v>
      </c>
      <c r="DO43" s="149"/>
      <c r="DP43" s="150"/>
      <c r="DQ43" s="150"/>
      <c r="DR43" s="134">
        <v>8.4</v>
      </c>
      <c r="DS43" s="150"/>
      <c r="DT43" s="134">
        <v>8.4</v>
      </c>
      <c r="DU43" s="150"/>
      <c r="DV43" s="130">
        <v>6</v>
      </c>
      <c r="DW43" s="137">
        <f t="shared" si="10"/>
        <v>0</v>
      </c>
      <c r="DX43" s="151"/>
      <c r="DY43" s="134">
        <f t="shared" si="11"/>
        <v>0</v>
      </c>
      <c r="DZ43" s="134">
        <f t="shared" si="12"/>
        <v>0</v>
      </c>
      <c r="EA43" s="134">
        <f t="shared" si="13"/>
        <v>0</v>
      </c>
      <c r="EB43" s="151"/>
      <c r="ED43" s="1"/>
      <c r="EE43" s="1"/>
      <c r="EF43" s="1"/>
    </row>
    <row r="44" spans="1:136">
      <c r="A44" s="12"/>
      <c r="B44" s="12"/>
      <c r="C44" s="12"/>
      <c r="D44" s="143"/>
      <c r="E44" s="140"/>
      <c r="F44" s="141"/>
      <c r="G44" s="141"/>
      <c r="H44" s="153"/>
      <c r="I44" s="153"/>
      <c r="J44" s="153"/>
      <c r="K44" s="153"/>
      <c r="L44" s="153"/>
      <c r="M44" s="153"/>
      <c r="N44" s="153"/>
      <c r="O44" s="153"/>
      <c r="P44" s="154"/>
      <c r="Q44" s="144"/>
      <c r="R44" s="145"/>
      <c r="S44" s="146"/>
      <c r="T44" s="147"/>
      <c r="U44" s="148"/>
      <c r="V44" s="148"/>
      <c r="W44" s="128">
        <v>8.4</v>
      </c>
      <c r="X44" s="148"/>
      <c r="Y44" s="128">
        <v>8.4</v>
      </c>
      <c r="Z44" s="148"/>
      <c r="AA44" s="130">
        <v>6</v>
      </c>
      <c r="AB44" s="131">
        <f t="shared" si="0"/>
        <v>0</v>
      </c>
      <c r="AC44" s="147"/>
      <c r="AD44" s="148"/>
      <c r="AE44" s="148"/>
      <c r="AF44" s="128">
        <v>8.4</v>
      </c>
      <c r="AG44" s="148"/>
      <c r="AH44" s="128">
        <v>8.4</v>
      </c>
      <c r="AI44" s="148"/>
      <c r="AJ44" s="130">
        <v>6</v>
      </c>
      <c r="AK44" s="131">
        <f t="shared" si="14"/>
        <v>0</v>
      </c>
      <c r="AL44" s="147"/>
      <c r="AM44" s="148"/>
      <c r="AN44" s="148"/>
      <c r="AO44" s="128">
        <v>8.4</v>
      </c>
      <c r="AP44" s="148"/>
      <c r="AQ44" s="128">
        <v>8.4</v>
      </c>
      <c r="AR44" s="148"/>
      <c r="AS44" s="130">
        <v>6</v>
      </c>
      <c r="AT44" s="131">
        <f t="shared" si="1"/>
        <v>0</v>
      </c>
      <c r="AU44" s="149"/>
      <c r="AV44" s="150"/>
      <c r="AW44" s="150"/>
      <c r="AX44" s="134">
        <v>8.4</v>
      </c>
      <c r="AY44" s="150"/>
      <c r="AZ44" s="134">
        <v>8.4</v>
      </c>
      <c r="BA44" s="150"/>
      <c r="BB44" s="130">
        <v>6</v>
      </c>
      <c r="BC44" s="131">
        <f t="shared" si="2"/>
        <v>0</v>
      </c>
      <c r="BD44" s="149"/>
      <c r="BE44" s="150"/>
      <c r="BF44" s="150"/>
      <c r="BG44" s="134">
        <v>8.4</v>
      </c>
      <c r="BH44" s="150"/>
      <c r="BI44" s="134">
        <v>8.4</v>
      </c>
      <c r="BJ44" s="150"/>
      <c r="BK44" s="130">
        <v>6</v>
      </c>
      <c r="BL44" s="131">
        <f t="shared" si="3"/>
        <v>0</v>
      </c>
      <c r="BM44" s="149"/>
      <c r="BN44" s="150"/>
      <c r="BO44" s="150"/>
      <c r="BP44" s="134">
        <v>8.4</v>
      </c>
      <c r="BQ44" s="150"/>
      <c r="BR44" s="134">
        <v>8.4</v>
      </c>
      <c r="BS44" s="150"/>
      <c r="BT44" s="130">
        <v>6</v>
      </c>
      <c r="BU44" s="131">
        <f t="shared" si="4"/>
        <v>0</v>
      </c>
      <c r="BV44" s="149"/>
      <c r="BW44" s="150"/>
      <c r="BX44" s="150"/>
      <c r="BY44" s="134">
        <v>8.4</v>
      </c>
      <c r="BZ44" s="150"/>
      <c r="CA44" s="134">
        <v>8.4</v>
      </c>
      <c r="CB44" s="150"/>
      <c r="CC44" s="130">
        <v>6</v>
      </c>
      <c r="CD44" s="131">
        <f t="shared" si="5"/>
        <v>0</v>
      </c>
      <c r="CE44" s="149"/>
      <c r="CF44" s="150"/>
      <c r="CG44" s="150"/>
      <c r="CH44" s="134">
        <v>8.4</v>
      </c>
      <c r="CI44" s="150"/>
      <c r="CJ44" s="134">
        <v>8.4</v>
      </c>
      <c r="CK44" s="150"/>
      <c r="CL44" s="130">
        <v>6</v>
      </c>
      <c r="CM44" s="136">
        <f t="shared" si="6"/>
        <v>0</v>
      </c>
      <c r="CN44" s="149"/>
      <c r="CO44" s="150"/>
      <c r="CP44" s="150"/>
      <c r="CQ44" s="134">
        <v>8.4</v>
      </c>
      <c r="CR44" s="150"/>
      <c r="CS44" s="134">
        <v>8.4</v>
      </c>
      <c r="CT44" s="150"/>
      <c r="CU44" s="130">
        <v>6</v>
      </c>
      <c r="CV44" s="131">
        <f t="shared" si="7"/>
        <v>0</v>
      </c>
      <c r="CW44" s="149"/>
      <c r="CX44" s="150"/>
      <c r="CY44" s="150"/>
      <c r="CZ44" s="134">
        <v>8.4</v>
      </c>
      <c r="DA44" s="150"/>
      <c r="DB44" s="134">
        <v>8.4</v>
      </c>
      <c r="DC44" s="150"/>
      <c r="DD44" s="130">
        <v>6</v>
      </c>
      <c r="DE44" s="131">
        <f t="shared" si="8"/>
        <v>0</v>
      </c>
      <c r="DF44" s="149"/>
      <c r="DG44" s="150"/>
      <c r="DH44" s="150"/>
      <c r="DI44" s="134">
        <v>8.4</v>
      </c>
      <c r="DJ44" s="150"/>
      <c r="DK44" s="134">
        <v>8.4</v>
      </c>
      <c r="DL44" s="150"/>
      <c r="DM44" s="130">
        <v>6</v>
      </c>
      <c r="DN44" s="131">
        <f t="shared" si="9"/>
        <v>0</v>
      </c>
      <c r="DO44" s="149"/>
      <c r="DP44" s="150"/>
      <c r="DQ44" s="150"/>
      <c r="DR44" s="134">
        <v>8.4</v>
      </c>
      <c r="DS44" s="150"/>
      <c r="DT44" s="134">
        <v>8.4</v>
      </c>
      <c r="DU44" s="150"/>
      <c r="DV44" s="130">
        <v>6</v>
      </c>
      <c r="DW44" s="137">
        <f t="shared" si="10"/>
        <v>0</v>
      </c>
      <c r="DX44" s="151"/>
      <c r="DY44" s="134">
        <f t="shared" si="11"/>
        <v>0</v>
      </c>
      <c r="DZ44" s="134">
        <f t="shared" si="12"/>
        <v>0</v>
      </c>
      <c r="EA44" s="134">
        <f t="shared" si="13"/>
        <v>0</v>
      </c>
      <c r="EB44" s="151"/>
      <c r="ED44" s="1"/>
      <c r="EE44" s="1"/>
      <c r="EF44" s="1"/>
    </row>
    <row r="45" spans="1:136">
      <c r="A45" s="12"/>
      <c r="B45" s="12"/>
      <c r="C45" s="12"/>
      <c r="D45" s="143"/>
      <c r="E45" s="120"/>
      <c r="F45" s="121"/>
      <c r="G45" s="121"/>
      <c r="H45" s="155"/>
      <c r="I45" s="155"/>
      <c r="J45" s="155"/>
      <c r="K45" s="155"/>
      <c r="L45" s="155"/>
      <c r="M45" s="155"/>
      <c r="N45" s="155"/>
      <c r="O45" s="155"/>
      <c r="P45" s="156"/>
      <c r="Q45" s="144"/>
      <c r="R45" s="145"/>
      <c r="S45" s="146"/>
      <c r="T45" s="147"/>
      <c r="U45" s="148"/>
      <c r="V45" s="148"/>
      <c r="W45" s="128">
        <v>8.4</v>
      </c>
      <c r="X45" s="148"/>
      <c r="Y45" s="128">
        <v>8.4</v>
      </c>
      <c r="Z45" s="148"/>
      <c r="AA45" s="130">
        <v>6</v>
      </c>
      <c r="AB45" s="131">
        <f t="shared" si="0"/>
        <v>0</v>
      </c>
      <c r="AC45" s="147"/>
      <c r="AD45" s="148"/>
      <c r="AE45" s="148"/>
      <c r="AF45" s="128">
        <v>8.4</v>
      </c>
      <c r="AG45" s="148"/>
      <c r="AH45" s="128">
        <v>8.4</v>
      </c>
      <c r="AI45" s="148"/>
      <c r="AJ45" s="130">
        <v>6</v>
      </c>
      <c r="AK45" s="131">
        <f t="shared" si="14"/>
        <v>0</v>
      </c>
      <c r="AL45" s="147"/>
      <c r="AM45" s="148"/>
      <c r="AN45" s="148"/>
      <c r="AO45" s="128">
        <v>8.4</v>
      </c>
      <c r="AP45" s="148"/>
      <c r="AQ45" s="128">
        <v>8.4</v>
      </c>
      <c r="AR45" s="148"/>
      <c r="AS45" s="130">
        <v>6</v>
      </c>
      <c r="AT45" s="131">
        <f t="shared" si="1"/>
        <v>0</v>
      </c>
      <c r="AU45" s="149"/>
      <c r="AV45" s="150"/>
      <c r="AW45" s="150"/>
      <c r="AX45" s="134">
        <v>8.4</v>
      </c>
      <c r="AY45" s="150"/>
      <c r="AZ45" s="134">
        <v>8.4</v>
      </c>
      <c r="BA45" s="150"/>
      <c r="BB45" s="130">
        <v>6</v>
      </c>
      <c r="BC45" s="131">
        <f t="shared" si="2"/>
        <v>0</v>
      </c>
      <c r="BD45" s="149"/>
      <c r="BE45" s="150"/>
      <c r="BF45" s="150"/>
      <c r="BG45" s="134">
        <v>8.4</v>
      </c>
      <c r="BH45" s="150"/>
      <c r="BI45" s="134">
        <v>8.4</v>
      </c>
      <c r="BJ45" s="150"/>
      <c r="BK45" s="130">
        <v>6</v>
      </c>
      <c r="BL45" s="131">
        <f t="shared" si="3"/>
        <v>0</v>
      </c>
      <c r="BM45" s="149"/>
      <c r="BN45" s="150"/>
      <c r="BO45" s="150"/>
      <c r="BP45" s="134">
        <v>8.4</v>
      </c>
      <c r="BQ45" s="150"/>
      <c r="BR45" s="134">
        <v>8.4</v>
      </c>
      <c r="BS45" s="150"/>
      <c r="BT45" s="130">
        <v>6</v>
      </c>
      <c r="BU45" s="131">
        <f t="shared" si="4"/>
        <v>0</v>
      </c>
      <c r="BV45" s="149"/>
      <c r="BW45" s="150"/>
      <c r="BX45" s="150"/>
      <c r="BY45" s="134">
        <v>8.4</v>
      </c>
      <c r="BZ45" s="150"/>
      <c r="CA45" s="134">
        <v>8.4</v>
      </c>
      <c r="CB45" s="150"/>
      <c r="CC45" s="130">
        <v>6</v>
      </c>
      <c r="CD45" s="131">
        <f t="shared" si="5"/>
        <v>0</v>
      </c>
      <c r="CE45" s="149"/>
      <c r="CF45" s="150"/>
      <c r="CG45" s="150"/>
      <c r="CH45" s="134">
        <v>8.4</v>
      </c>
      <c r="CI45" s="150"/>
      <c r="CJ45" s="134">
        <v>8.4</v>
      </c>
      <c r="CK45" s="150"/>
      <c r="CL45" s="130">
        <v>6</v>
      </c>
      <c r="CM45" s="136">
        <f t="shared" si="6"/>
        <v>0</v>
      </c>
      <c r="CN45" s="149"/>
      <c r="CO45" s="150"/>
      <c r="CP45" s="150"/>
      <c r="CQ45" s="134">
        <v>8.4</v>
      </c>
      <c r="CR45" s="150"/>
      <c r="CS45" s="134">
        <v>8.4</v>
      </c>
      <c r="CT45" s="150"/>
      <c r="CU45" s="130">
        <v>6</v>
      </c>
      <c r="CV45" s="131">
        <f t="shared" si="7"/>
        <v>0</v>
      </c>
      <c r="CW45" s="149"/>
      <c r="CX45" s="150"/>
      <c r="CY45" s="150"/>
      <c r="CZ45" s="134">
        <v>8.4</v>
      </c>
      <c r="DA45" s="150"/>
      <c r="DB45" s="134">
        <v>8.4</v>
      </c>
      <c r="DC45" s="150"/>
      <c r="DD45" s="130">
        <v>6</v>
      </c>
      <c r="DE45" s="131">
        <f t="shared" si="8"/>
        <v>0</v>
      </c>
      <c r="DF45" s="149"/>
      <c r="DG45" s="150"/>
      <c r="DH45" s="150"/>
      <c r="DI45" s="134">
        <v>8.4</v>
      </c>
      <c r="DJ45" s="150"/>
      <c r="DK45" s="134">
        <v>8.4</v>
      </c>
      <c r="DL45" s="150"/>
      <c r="DM45" s="130">
        <v>6</v>
      </c>
      <c r="DN45" s="131">
        <f t="shared" si="9"/>
        <v>0</v>
      </c>
      <c r="DO45" s="149"/>
      <c r="DP45" s="150"/>
      <c r="DQ45" s="150"/>
      <c r="DR45" s="134">
        <v>8.4</v>
      </c>
      <c r="DS45" s="150"/>
      <c r="DT45" s="134">
        <v>8.4</v>
      </c>
      <c r="DU45" s="150"/>
      <c r="DV45" s="130">
        <v>6</v>
      </c>
      <c r="DW45" s="137">
        <f t="shared" si="10"/>
        <v>0</v>
      </c>
      <c r="DX45" s="151"/>
      <c r="DY45" s="134">
        <f t="shared" si="11"/>
        <v>0</v>
      </c>
      <c r="DZ45" s="134">
        <f t="shared" si="12"/>
        <v>0</v>
      </c>
      <c r="EA45" s="134">
        <f t="shared" si="13"/>
        <v>0</v>
      </c>
      <c r="EB45" s="151"/>
      <c r="ED45" s="1"/>
      <c r="EE45" s="1"/>
      <c r="EF45" s="1"/>
    </row>
    <row r="46" spans="1:136">
      <c r="A46" s="12"/>
      <c r="B46" s="12"/>
      <c r="C46" s="12"/>
      <c r="D46" s="143"/>
      <c r="E46" s="140"/>
      <c r="F46" s="141"/>
      <c r="G46" s="141"/>
      <c r="H46" s="153"/>
      <c r="I46" s="153"/>
      <c r="J46" s="153"/>
      <c r="K46" s="153"/>
      <c r="L46" s="153"/>
      <c r="M46" s="153"/>
      <c r="N46" s="153"/>
      <c r="O46" s="153"/>
      <c r="P46" s="154"/>
      <c r="Q46" s="144"/>
      <c r="R46" s="145"/>
      <c r="S46" s="146"/>
      <c r="T46" s="147"/>
      <c r="U46" s="148"/>
      <c r="V46" s="148"/>
      <c r="W46" s="128">
        <v>8.4</v>
      </c>
      <c r="X46" s="148"/>
      <c r="Y46" s="128">
        <v>8.4</v>
      </c>
      <c r="Z46" s="148"/>
      <c r="AA46" s="130">
        <v>6</v>
      </c>
      <c r="AB46" s="131">
        <f t="shared" si="0"/>
        <v>0</v>
      </c>
      <c r="AC46" s="147"/>
      <c r="AD46" s="148"/>
      <c r="AE46" s="148"/>
      <c r="AF46" s="128">
        <v>8.4</v>
      </c>
      <c r="AG46" s="148"/>
      <c r="AH46" s="128">
        <v>8.4</v>
      </c>
      <c r="AI46" s="148"/>
      <c r="AJ46" s="130">
        <v>6</v>
      </c>
      <c r="AK46" s="131">
        <f t="shared" si="14"/>
        <v>0</v>
      </c>
      <c r="AL46" s="147"/>
      <c r="AM46" s="148"/>
      <c r="AN46" s="148"/>
      <c r="AO46" s="128">
        <v>8.4</v>
      </c>
      <c r="AP46" s="148"/>
      <c r="AQ46" s="128">
        <v>8.4</v>
      </c>
      <c r="AR46" s="148"/>
      <c r="AS46" s="130">
        <v>6</v>
      </c>
      <c r="AT46" s="131">
        <f t="shared" si="1"/>
        <v>0</v>
      </c>
      <c r="AU46" s="149"/>
      <c r="AV46" s="150"/>
      <c r="AW46" s="150"/>
      <c r="AX46" s="134">
        <v>8.4</v>
      </c>
      <c r="AY46" s="150"/>
      <c r="AZ46" s="134">
        <v>8.4</v>
      </c>
      <c r="BA46" s="150"/>
      <c r="BB46" s="130">
        <v>6</v>
      </c>
      <c r="BC46" s="131">
        <f t="shared" si="2"/>
        <v>0</v>
      </c>
      <c r="BD46" s="149"/>
      <c r="BE46" s="150"/>
      <c r="BF46" s="150"/>
      <c r="BG46" s="134">
        <v>8.4</v>
      </c>
      <c r="BH46" s="150"/>
      <c r="BI46" s="134">
        <v>8.4</v>
      </c>
      <c r="BJ46" s="150"/>
      <c r="BK46" s="130">
        <v>6</v>
      </c>
      <c r="BL46" s="131">
        <f t="shared" si="3"/>
        <v>0</v>
      </c>
      <c r="BM46" s="149"/>
      <c r="BN46" s="150"/>
      <c r="BO46" s="150"/>
      <c r="BP46" s="134">
        <v>8.4</v>
      </c>
      <c r="BQ46" s="150"/>
      <c r="BR46" s="134">
        <v>8.4</v>
      </c>
      <c r="BS46" s="150"/>
      <c r="BT46" s="130">
        <v>6</v>
      </c>
      <c r="BU46" s="131">
        <f t="shared" si="4"/>
        <v>0</v>
      </c>
      <c r="BV46" s="149"/>
      <c r="BW46" s="150"/>
      <c r="BX46" s="150"/>
      <c r="BY46" s="134">
        <v>8.4</v>
      </c>
      <c r="BZ46" s="150"/>
      <c r="CA46" s="134">
        <v>8.4</v>
      </c>
      <c r="CB46" s="150"/>
      <c r="CC46" s="130">
        <v>6</v>
      </c>
      <c r="CD46" s="131">
        <f t="shared" si="5"/>
        <v>0</v>
      </c>
      <c r="CE46" s="149"/>
      <c r="CF46" s="150"/>
      <c r="CG46" s="150"/>
      <c r="CH46" s="134">
        <v>8.4</v>
      </c>
      <c r="CI46" s="150"/>
      <c r="CJ46" s="134">
        <v>8.4</v>
      </c>
      <c r="CK46" s="150"/>
      <c r="CL46" s="130">
        <v>6</v>
      </c>
      <c r="CM46" s="136">
        <f t="shared" si="6"/>
        <v>0</v>
      </c>
      <c r="CN46" s="149"/>
      <c r="CO46" s="150"/>
      <c r="CP46" s="150"/>
      <c r="CQ46" s="134">
        <v>8.4</v>
      </c>
      <c r="CR46" s="150"/>
      <c r="CS46" s="134">
        <v>8.4</v>
      </c>
      <c r="CT46" s="150"/>
      <c r="CU46" s="130">
        <v>6</v>
      </c>
      <c r="CV46" s="131">
        <f t="shared" si="7"/>
        <v>0</v>
      </c>
      <c r="CW46" s="149"/>
      <c r="CX46" s="150"/>
      <c r="CY46" s="150"/>
      <c r="CZ46" s="134">
        <v>8.4</v>
      </c>
      <c r="DA46" s="150"/>
      <c r="DB46" s="134">
        <v>8.4</v>
      </c>
      <c r="DC46" s="150"/>
      <c r="DD46" s="130">
        <v>6</v>
      </c>
      <c r="DE46" s="131">
        <f t="shared" si="8"/>
        <v>0</v>
      </c>
      <c r="DF46" s="149"/>
      <c r="DG46" s="150"/>
      <c r="DH46" s="150"/>
      <c r="DI46" s="134">
        <v>8.4</v>
      </c>
      <c r="DJ46" s="150"/>
      <c r="DK46" s="134">
        <v>8.4</v>
      </c>
      <c r="DL46" s="150"/>
      <c r="DM46" s="130">
        <v>6</v>
      </c>
      <c r="DN46" s="131">
        <f t="shared" si="9"/>
        <v>0</v>
      </c>
      <c r="DO46" s="149"/>
      <c r="DP46" s="150"/>
      <c r="DQ46" s="150"/>
      <c r="DR46" s="134">
        <v>8.4</v>
      </c>
      <c r="DS46" s="150"/>
      <c r="DT46" s="134">
        <v>8.4</v>
      </c>
      <c r="DU46" s="150"/>
      <c r="DV46" s="130">
        <v>6</v>
      </c>
      <c r="DW46" s="137">
        <f t="shared" si="10"/>
        <v>0</v>
      </c>
      <c r="DX46" s="151"/>
      <c r="DY46" s="134">
        <f t="shared" si="11"/>
        <v>0</v>
      </c>
      <c r="DZ46" s="134">
        <f t="shared" si="12"/>
        <v>0</v>
      </c>
      <c r="EA46" s="134">
        <f t="shared" si="13"/>
        <v>0</v>
      </c>
      <c r="EB46" s="151"/>
      <c r="ED46" s="1"/>
      <c r="EE46" s="1"/>
      <c r="EF46" s="1"/>
    </row>
    <row r="47" spans="1:136">
      <c r="A47" s="12"/>
      <c r="B47" s="12"/>
      <c r="C47" s="12"/>
      <c r="D47" s="143"/>
      <c r="E47" s="120"/>
      <c r="F47" s="121"/>
      <c r="G47" s="121"/>
      <c r="H47" s="155"/>
      <c r="I47" s="155"/>
      <c r="J47" s="155"/>
      <c r="K47" s="155"/>
      <c r="L47" s="155"/>
      <c r="M47" s="155"/>
      <c r="N47" s="155"/>
      <c r="O47" s="155"/>
      <c r="P47" s="156"/>
      <c r="Q47" s="144"/>
      <c r="R47" s="145"/>
      <c r="S47" s="146"/>
      <c r="T47" s="147"/>
      <c r="U47" s="148"/>
      <c r="V47" s="148"/>
      <c r="W47" s="128">
        <v>8.4</v>
      </c>
      <c r="X47" s="148"/>
      <c r="Y47" s="128">
        <v>8.4</v>
      </c>
      <c r="Z47" s="148"/>
      <c r="AA47" s="130">
        <v>6</v>
      </c>
      <c r="AB47" s="131">
        <f t="shared" si="0"/>
        <v>0</v>
      </c>
      <c r="AC47" s="147"/>
      <c r="AD47" s="148"/>
      <c r="AE47" s="148"/>
      <c r="AF47" s="128">
        <v>8.4</v>
      </c>
      <c r="AG47" s="148"/>
      <c r="AH47" s="128">
        <v>8.4</v>
      </c>
      <c r="AI47" s="148"/>
      <c r="AJ47" s="130">
        <v>6</v>
      </c>
      <c r="AK47" s="131">
        <f t="shared" si="14"/>
        <v>0</v>
      </c>
      <c r="AL47" s="147"/>
      <c r="AM47" s="148"/>
      <c r="AN47" s="148"/>
      <c r="AO47" s="128">
        <v>8.4</v>
      </c>
      <c r="AP47" s="148"/>
      <c r="AQ47" s="128">
        <v>8.4</v>
      </c>
      <c r="AR47" s="148"/>
      <c r="AS47" s="130">
        <v>6</v>
      </c>
      <c r="AT47" s="131">
        <f t="shared" si="1"/>
        <v>0</v>
      </c>
      <c r="AU47" s="149"/>
      <c r="AV47" s="150"/>
      <c r="AW47" s="150"/>
      <c r="AX47" s="134">
        <v>8.4</v>
      </c>
      <c r="AY47" s="150"/>
      <c r="AZ47" s="134">
        <v>8.4</v>
      </c>
      <c r="BA47" s="150"/>
      <c r="BB47" s="130">
        <v>6</v>
      </c>
      <c r="BC47" s="131">
        <f t="shared" si="2"/>
        <v>0</v>
      </c>
      <c r="BD47" s="149"/>
      <c r="BE47" s="150"/>
      <c r="BF47" s="150"/>
      <c r="BG47" s="134">
        <v>8.4</v>
      </c>
      <c r="BH47" s="150"/>
      <c r="BI47" s="134">
        <v>8.4</v>
      </c>
      <c r="BJ47" s="150"/>
      <c r="BK47" s="130">
        <v>6</v>
      </c>
      <c r="BL47" s="131">
        <f t="shared" si="3"/>
        <v>0</v>
      </c>
      <c r="BM47" s="149"/>
      <c r="BN47" s="150"/>
      <c r="BO47" s="150"/>
      <c r="BP47" s="134">
        <v>8.4</v>
      </c>
      <c r="BQ47" s="150"/>
      <c r="BR47" s="134">
        <v>8.4</v>
      </c>
      <c r="BS47" s="150"/>
      <c r="BT47" s="130">
        <v>6</v>
      </c>
      <c r="BU47" s="131">
        <f t="shared" si="4"/>
        <v>0</v>
      </c>
      <c r="BV47" s="149"/>
      <c r="BW47" s="150"/>
      <c r="BX47" s="150"/>
      <c r="BY47" s="134">
        <v>8.4</v>
      </c>
      <c r="BZ47" s="150"/>
      <c r="CA47" s="134">
        <v>8.4</v>
      </c>
      <c r="CB47" s="150"/>
      <c r="CC47" s="130">
        <v>6</v>
      </c>
      <c r="CD47" s="131">
        <f t="shared" si="5"/>
        <v>0</v>
      </c>
      <c r="CE47" s="149"/>
      <c r="CF47" s="150"/>
      <c r="CG47" s="150"/>
      <c r="CH47" s="134">
        <v>8.4</v>
      </c>
      <c r="CI47" s="150"/>
      <c r="CJ47" s="134">
        <v>8.4</v>
      </c>
      <c r="CK47" s="150"/>
      <c r="CL47" s="130">
        <v>6</v>
      </c>
      <c r="CM47" s="136">
        <f t="shared" si="6"/>
        <v>0</v>
      </c>
      <c r="CN47" s="149"/>
      <c r="CO47" s="150"/>
      <c r="CP47" s="150"/>
      <c r="CQ47" s="134">
        <v>8.4</v>
      </c>
      <c r="CR47" s="150"/>
      <c r="CS47" s="134">
        <v>8.4</v>
      </c>
      <c r="CT47" s="150"/>
      <c r="CU47" s="130">
        <v>6</v>
      </c>
      <c r="CV47" s="131">
        <f t="shared" si="7"/>
        <v>0</v>
      </c>
      <c r="CW47" s="149"/>
      <c r="CX47" s="150"/>
      <c r="CY47" s="150"/>
      <c r="CZ47" s="134">
        <v>8.4</v>
      </c>
      <c r="DA47" s="150"/>
      <c r="DB47" s="134">
        <v>8.4</v>
      </c>
      <c r="DC47" s="150"/>
      <c r="DD47" s="130">
        <v>6</v>
      </c>
      <c r="DE47" s="131">
        <f t="shared" si="8"/>
        <v>0</v>
      </c>
      <c r="DF47" s="149"/>
      <c r="DG47" s="150"/>
      <c r="DH47" s="150"/>
      <c r="DI47" s="134">
        <v>8.4</v>
      </c>
      <c r="DJ47" s="150"/>
      <c r="DK47" s="134">
        <v>8.4</v>
      </c>
      <c r="DL47" s="150"/>
      <c r="DM47" s="130">
        <v>6</v>
      </c>
      <c r="DN47" s="131">
        <f t="shared" si="9"/>
        <v>0</v>
      </c>
      <c r="DO47" s="149"/>
      <c r="DP47" s="150"/>
      <c r="DQ47" s="150"/>
      <c r="DR47" s="134">
        <v>8.4</v>
      </c>
      <c r="DS47" s="150"/>
      <c r="DT47" s="134">
        <v>8.4</v>
      </c>
      <c r="DU47" s="150"/>
      <c r="DV47" s="130">
        <v>6</v>
      </c>
      <c r="DW47" s="137">
        <f t="shared" si="10"/>
        <v>0</v>
      </c>
      <c r="DX47" s="151"/>
      <c r="DY47" s="134">
        <f t="shared" si="11"/>
        <v>0</v>
      </c>
      <c r="DZ47" s="134">
        <f t="shared" si="12"/>
        <v>0</v>
      </c>
      <c r="EA47" s="134">
        <f t="shared" si="13"/>
        <v>0</v>
      </c>
      <c r="EB47" s="151"/>
      <c r="ED47" s="1"/>
      <c r="EE47" s="1"/>
      <c r="EF47" s="1"/>
    </row>
    <row r="48" spans="1:136" s="161" customFormat="1" ht="9">
      <c r="A48" s="157" t="s">
        <v>347</v>
      </c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8">
        <f>SUM(T12:T47)</f>
        <v>160.22999999999999</v>
      </c>
      <c r="U48" s="158">
        <f>SUM(U12:U47)</f>
        <v>8.4</v>
      </c>
      <c r="V48" s="158">
        <f>SUM(V13:V47)</f>
        <v>5</v>
      </c>
      <c r="W48" s="158"/>
      <c r="X48" s="158">
        <f>SUM(X13:X47)</f>
        <v>1</v>
      </c>
      <c r="Y48" s="158"/>
      <c r="Z48" s="158">
        <f>SUM(Z13:Z47)</f>
        <v>0</v>
      </c>
      <c r="AA48" s="158"/>
      <c r="AB48" s="158">
        <f>SUM(AB12:AB47)</f>
        <v>219.03</v>
      </c>
      <c r="AC48" s="158">
        <f>SUM(AC12:AC47)</f>
        <v>0</v>
      </c>
      <c r="AD48" s="158">
        <f>SUM(AD12:AD47)</f>
        <v>0</v>
      </c>
      <c r="AE48" s="158">
        <f>SUM(AE13:AE47)</f>
        <v>0</v>
      </c>
      <c r="AF48" s="158"/>
      <c r="AG48" s="158">
        <f>SUM(AG13:AG47)</f>
        <v>0</v>
      </c>
      <c r="AH48" s="158"/>
      <c r="AI48" s="158">
        <f>SUM(AI13:AI47)</f>
        <v>0</v>
      </c>
      <c r="AJ48" s="158"/>
      <c r="AK48" s="158">
        <f>SUM(AK12:AK47)</f>
        <v>219.03</v>
      </c>
      <c r="AL48" s="158">
        <f>SUM(AL12:AL47)</f>
        <v>0</v>
      </c>
      <c r="AM48" s="158">
        <f>SUM(AM12:AM47)</f>
        <v>0</v>
      </c>
      <c r="AN48" s="158">
        <f>SUM(AN13:AN47)</f>
        <v>0</v>
      </c>
      <c r="AO48" s="158"/>
      <c r="AP48" s="158">
        <f>SUM(AP13:AP47)</f>
        <v>0</v>
      </c>
      <c r="AQ48" s="158"/>
      <c r="AR48" s="158">
        <f>SUM(AR13:AR47)</f>
        <v>0</v>
      </c>
      <c r="AS48" s="158"/>
      <c r="AT48" s="158">
        <f>SUM(AT12:AT47)</f>
        <v>219.03</v>
      </c>
      <c r="AU48" s="159">
        <f>SUM(AU12:AU47)</f>
        <v>0</v>
      </c>
      <c r="AV48" s="159">
        <f>SUM(AV12:AV47)</f>
        <v>0</v>
      </c>
      <c r="AW48" s="159">
        <f>SUM(AW13:AW47)</f>
        <v>0</v>
      </c>
      <c r="AX48" s="158"/>
      <c r="AY48" s="158">
        <f>SUM(AY13:AY47)</f>
        <v>0</v>
      </c>
      <c r="AZ48" s="158"/>
      <c r="BA48" s="158">
        <f>SUM(BA13:BA47)</f>
        <v>0</v>
      </c>
      <c r="BB48" s="158"/>
      <c r="BC48" s="158">
        <f>SUM(BC12:BC47)</f>
        <v>219.03</v>
      </c>
      <c r="BD48" s="158">
        <f>SUM(BD12:BD47)</f>
        <v>0</v>
      </c>
      <c r="BE48" s="158">
        <f>SUM(BE12:BE47)</f>
        <v>0</v>
      </c>
      <c r="BF48" s="158">
        <f>SUM(BF13:BF47)</f>
        <v>0</v>
      </c>
      <c r="BG48" s="158"/>
      <c r="BH48" s="158">
        <f>SUM(BH13:BH47)</f>
        <v>0</v>
      </c>
      <c r="BI48" s="158"/>
      <c r="BJ48" s="158">
        <f>SUM(BJ13:BJ47)</f>
        <v>0</v>
      </c>
      <c r="BK48" s="158"/>
      <c r="BL48" s="158">
        <f>SUM(BL12:BL47)</f>
        <v>219.03</v>
      </c>
      <c r="BM48" s="158">
        <f>SUM(BM12:BM47)</f>
        <v>0</v>
      </c>
      <c r="BN48" s="158">
        <f>SUM(BN12:BN47)</f>
        <v>0</v>
      </c>
      <c r="BO48" s="158">
        <f>SUM(BO13:BO47)</f>
        <v>0</v>
      </c>
      <c r="BP48" s="158"/>
      <c r="BQ48" s="158">
        <f>SUM(BQ13:BQ47)</f>
        <v>0</v>
      </c>
      <c r="BR48" s="158"/>
      <c r="BS48" s="158">
        <f>SUM(BS13:BS47)</f>
        <v>0</v>
      </c>
      <c r="BT48" s="158"/>
      <c r="BU48" s="158">
        <f>SUM(BU12:BU47)</f>
        <v>219.03</v>
      </c>
      <c r="BV48" s="158">
        <f>SUM(BV12:BV47)</f>
        <v>0</v>
      </c>
      <c r="BW48" s="158">
        <f>SUM(BW12:BW47)</f>
        <v>0</v>
      </c>
      <c r="BX48" s="158">
        <f>SUM(BX13:BX47)</f>
        <v>0</v>
      </c>
      <c r="BY48" s="158"/>
      <c r="BZ48" s="158">
        <f>SUM(BZ13:BZ47)</f>
        <v>0</v>
      </c>
      <c r="CA48" s="158"/>
      <c r="CB48" s="158">
        <f>SUM(CB13:CB47)</f>
        <v>0</v>
      </c>
      <c r="CC48" s="158"/>
      <c r="CD48" s="158">
        <f>SUM(CD12:CD47)</f>
        <v>219.03</v>
      </c>
      <c r="CE48" s="158">
        <f>SUM(CE12:CE47)</f>
        <v>0</v>
      </c>
      <c r="CF48" s="158">
        <f>SUM(CF12:CF47)</f>
        <v>0</v>
      </c>
      <c r="CG48" s="158">
        <f>SUM(CG13:CG47)</f>
        <v>0</v>
      </c>
      <c r="CH48" s="158"/>
      <c r="CI48" s="158">
        <f>SUM(CI13:CI47)</f>
        <v>0</v>
      </c>
      <c r="CJ48" s="158"/>
      <c r="CK48" s="158">
        <f>SUM(CK13:CK47)</f>
        <v>0</v>
      </c>
      <c r="CL48" s="158"/>
      <c r="CM48" s="158">
        <f>SUM(CM12:CM47)</f>
        <v>379.26</v>
      </c>
      <c r="CN48" s="158">
        <f>SUM(CN12:CN47)</f>
        <v>0</v>
      </c>
      <c r="CO48" s="158">
        <f>SUM(CO12:CO47)</f>
        <v>0</v>
      </c>
      <c r="CP48" s="158">
        <f>SUM(CP13:CP47)</f>
        <v>0</v>
      </c>
      <c r="CQ48" s="158"/>
      <c r="CR48" s="158">
        <f>SUM(CR13:CR47)</f>
        <v>0</v>
      </c>
      <c r="CS48" s="158"/>
      <c r="CT48" s="158">
        <f>SUM(CT13:CT47)</f>
        <v>0</v>
      </c>
      <c r="CU48" s="158"/>
      <c r="CV48" s="158">
        <f>SUM(CV12:CV47)</f>
        <v>379.26</v>
      </c>
      <c r="CW48" s="158">
        <f>SUM(CW12:CW47)</f>
        <v>0</v>
      </c>
      <c r="CX48" s="158">
        <f>SUM(CX12:CX47)</f>
        <v>0</v>
      </c>
      <c r="CY48" s="158">
        <f>SUM(CY13:CY47)</f>
        <v>0</v>
      </c>
      <c r="CZ48" s="158"/>
      <c r="DA48" s="158">
        <f>SUM(DA13:DA47)</f>
        <v>0</v>
      </c>
      <c r="DB48" s="158"/>
      <c r="DC48" s="158">
        <f>SUM(DC13:DC47)</f>
        <v>0</v>
      </c>
      <c r="DD48" s="158"/>
      <c r="DE48" s="158">
        <f>SUM(DE12:DE47)</f>
        <v>379.26</v>
      </c>
      <c r="DF48" s="158">
        <f>SUM(DF12:DF47)</f>
        <v>0</v>
      </c>
      <c r="DG48" s="158">
        <f>SUM(DG12:DG47)</f>
        <v>0</v>
      </c>
      <c r="DH48" s="158">
        <f>SUM(DH13:DH47)</f>
        <v>0</v>
      </c>
      <c r="DI48" s="158"/>
      <c r="DJ48" s="158">
        <f>SUM(DJ13:DJ47)</f>
        <v>0</v>
      </c>
      <c r="DK48" s="158"/>
      <c r="DL48" s="158">
        <f>SUM(DL13:DL47)</f>
        <v>0</v>
      </c>
      <c r="DM48" s="158"/>
      <c r="DN48" s="158">
        <f>SUM(DN12:DN47)</f>
        <v>379.26</v>
      </c>
      <c r="DO48" s="158">
        <f>SUM(DO12:DO47)</f>
        <v>0</v>
      </c>
      <c r="DP48" s="158">
        <f>SUM(DP12:DP47)</f>
        <v>0</v>
      </c>
      <c r="DQ48" s="158">
        <f>SUM(DQ13:DQ47)</f>
        <v>0</v>
      </c>
      <c r="DR48" s="158"/>
      <c r="DS48" s="158">
        <f>SUM(DS13:DS47)</f>
        <v>0</v>
      </c>
      <c r="DT48" s="158"/>
      <c r="DU48" s="158">
        <f>SUM(DU13:DU47)</f>
        <v>0</v>
      </c>
      <c r="DV48" s="158"/>
      <c r="DW48" s="160">
        <f>SUM(DW12:DW47)</f>
        <v>379.26</v>
      </c>
      <c r="DY48" s="162"/>
      <c r="DZ48" s="157"/>
      <c r="EA48" s="163"/>
      <c r="ED48" s="164"/>
      <c r="EE48" s="164"/>
      <c r="EF48" s="164"/>
    </row>
    <row r="49" spans="1:13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65"/>
      <c r="AB49" s="1"/>
      <c r="AC49" s="1"/>
      <c r="AD49" s="1"/>
      <c r="AE49" s="1"/>
      <c r="AF49" s="1"/>
      <c r="AG49" s="1"/>
      <c r="AH49" s="1"/>
      <c r="AI49" s="1"/>
      <c r="AJ49" s="165"/>
      <c r="AK49" s="1"/>
      <c r="AL49" s="1"/>
      <c r="AM49" s="1"/>
      <c r="AN49" s="1"/>
      <c r="AO49" s="1"/>
      <c r="AP49" s="1"/>
      <c r="AQ49" s="1"/>
      <c r="AR49" s="1"/>
      <c r="AS49" s="165"/>
      <c r="AT49" s="1"/>
      <c r="AU49" s="1"/>
      <c r="AV49" s="1"/>
      <c r="AW49" s="1"/>
      <c r="AX49" s="1"/>
      <c r="AY49" s="1"/>
      <c r="AZ49" s="1"/>
      <c r="BA49" s="1"/>
      <c r="BB49" s="165"/>
      <c r="BC49" s="1"/>
      <c r="BD49" s="1"/>
      <c r="BE49" s="1"/>
      <c r="BF49" s="1"/>
      <c r="BG49" s="1"/>
      <c r="BH49" s="1"/>
      <c r="BI49" s="1"/>
      <c r="BJ49" s="1"/>
      <c r="BK49" s="165"/>
      <c r="BL49" s="1"/>
      <c r="BM49" s="1"/>
      <c r="BN49" s="1"/>
      <c r="BO49" s="1"/>
      <c r="BP49" s="1"/>
      <c r="BQ49" s="1"/>
      <c r="BR49" s="1"/>
      <c r="BS49" s="1"/>
      <c r="BT49" s="165"/>
      <c r="BU49" s="1"/>
      <c r="BV49" s="1"/>
      <c r="BW49" s="1"/>
      <c r="BX49" s="1"/>
      <c r="BY49" s="1"/>
      <c r="BZ49" s="1"/>
      <c r="CA49" s="1"/>
      <c r="CB49" s="1"/>
      <c r="CC49" s="165"/>
      <c r="CD49" s="1"/>
      <c r="CE49" s="1"/>
      <c r="CF49" s="1"/>
      <c r="CG49" s="1"/>
      <c r="CH49" s="1"/>
      <c r="CI49" s="1"/>
      <c r="CJ49" s="1"/>
      <c r="CK49" s="1"/>
      <c r="CL49" s="165"/>
      <c r="CM49" s="1"/>
      <c r="CN49" s="1"/>
      <c r="CO49" s="1"/>
      <c r="CP49" s="1"/>
      <c r="CQ49" s="1"/>
      <c r="CR49" s="1"/>
      <c r="CS49" s="1"/>
      <c r="CT49" s="1"/>
      <c r="CU49" s="165"/>
      <c r="CV49" s="1"/>
      <c r="CW49" s="1"/>
      <c r="CX49" s="1"/>
      <c r="CY49" s="1"/>
      <c r="CZ49" s="1"/>
      <c r="DA49" s="1"/>
      <c r="DB49" s="1"/>
      <c r="DC49" s="1"/>
      <c r="DD49" s="165"/>
      <c r="DE49" s="1"/>
      <c r="DF49" s="1"/>
      <c r="DG49" s="1"/>
      <c r="DH49" s="1"/>
      <c r="DI49" s="1"/>
      <c r="DJ49" s="1"/>
      <c r="DK49" s="1"/>
      <c r="DL49" s="1"/>
      <c r="DM49" s="165"/>
      <c r="DN49" s="1"/>
      <c r="DO49" s="1"/>
      <c r="DP49" s="1"/>
      <c r="DQ49" s="1"/>
      <c r="DR49" s="1"/>
      <c r="DS49" s="1"/>
      <c r="DT49" s="1"/>
      <c r="DU49" s="1"/>
      <c r="DV49" s="165"/>
      <c r="DW49" s="1"/>
      <c r="DX49" s="1"/>
      <c r="DY49" s="1"/>
      <c r="DZ49" s="1"/>
      <c r="EA49" s="1"/>
      <c r="EB49" s="1"/>
      <c r="EC49" s="1"/>
      <c r="ED49" s="1"/>
      <c r="EE49" s="1"/>
      <c r="EF49" s="1"/>
    </row>
    <row r="51" spans="1:136">
      <c r="A51" s="1"/>
      <c r="B51" s="1"/>
      <c r="C51" s="1"/>
    </row>
    <row r="52" spans="1:136">
      <c r="A52" s="1"/>
      <c r="B52" s="1"/>
      <c r="C52" s="1"/>
    </row>
    <row r="53" spans="1:136">
      <c r="A53" s="1"/>
      <c r="B53" s="1"/>
      <c r="C53" s="1"/>
    </row>
    <row r="54" spans="1:136">
      <c r="A54" s="1"/>
      <c r="B54" s="1"/>
      <c r="C54" s="1"/>
    </row>
    <row r="55" spans="1:136">
      <c r="A55" s="1"/>
      <c r="B55" s="1"/>
      <c r="C55" s="1"/>
    </row>
    <row r="56" spans="1:136">
      <c r="A56" s="1"/>
      <c r="B56" s="1"/>
      <c r="C56" s="1"/>
    </row>
    <row r="57" spans="1:136">
      <c r="A57" s="1"/>
      <c r="B57" s="1"/>
      <c r="C57" s="1"/>
    </row>
    <row r="58" spans="1:136">
      <c r="A58" s="1"/>
      <c r="B58" s="1"/>
      <c r="C58" s="1"/>
    </row>
    <row r="59" spans="1:136">
      <c r="A59" s="1"/>
      <c r="B59" s="1"/>
      <c r="C59" s="1"/>
    </row>
    <row r="60" spans="1:136">
      <c r="A60" s="1"/>
      <c r="B60" s="1"/>
      <c r="C60" s="1"/>
    </row>
    <row r="61" spans="1:136">
      <c r="A61" s="1"/>
      <c r="B61" s="1"/>
      <c r="C61" s="1"/>
    </row>
    <row r="62" spans="1:136">
      <c r="A62" s="1"/>
      <c r="B62" s="1"/>
      <c r="C62" s="1"/>
    </row>
    <row r="63" spans="1:136">
      <c r="A63" s="1"/>
      <c r="B63" s="1"/>
      <c r="C63" s="1"/>
    </row>
    <row r="64" spans="1:136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</sheetData>
  <mergeCells count="102">
    <mergeCell ref="A1:D1"/>
    <mergeCell ref="E1:EC3"/>
    <mergeCell ref="A2:D2"/>
    <mergeCell ref="A3:C3"/>
    <mergeCell ref="A4:D4"/>
    <mergeCell ref="E4:K4"/>
    <mergeCell ref="A5:D5"/>
    <mergeCell ref="E5:S5"/>
    <mergeCell ref="A6:D6"/>
    <mergeCell ref="A7:D7"/>
    <mergeCell ref="E7:P7"/>
    <mergeCell ref="A8:D10"/>
    <mergeCell ref="E8:E11"/>
    <mergeCell ref="F8:F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X8:X11"/>
    <mergeCell ref="Z8:Z11"/>
    <mergeCell ref="AB8:AB11"/>
    <mergeCell ref="AC8:AC11"/>
    <mergeCell ref="AD8:AD11"/>
    <mergeCell ref="AE8:AE11"/>
    <mergeCell ref="AG8:AG11"/>
    <mergeCell ref="AI8:AI11"/>
    <mergeCell ref="AK8:AK11"/>
    <mergeCell ref="AL8:AL11"/>
    <mergeCell ref="AM8:AM11"/>
    <mergeCell ref="AN8:AN11"/>
    <mergeCell ref="AP8:AP11"/>
    <mergeCell ref="AR8:AR11"/>
    <mergeCell ref="AT8:AT11"/>
    <mergeCell ref="AU8:AU11"/>
    <mergeCell ref="AV8:AV11"/>
    <mergeCell ref="AW8:AW11"/>
    <mergeCell ref="AY8:AY11"/>
    <mergeCell ref="BA8:BA11"/>
    <mergeCell ref="BC8:BC11"/>
    <mergeCell ref="BD8:BD11"/>
    <mergeCell ref="BE8:BE11"/>
    <mergeCell ref="BF8:BF11"/>
    <mergeCell ref="BH8:BH11"/>
    <mergeCell ref="BJ8:BJ11"/>
    <mergeCell ref="BL8:BL11"/>
    <mergeCell ref="BM8:BM11"/>
    <mergeCell ref="BN8:BN11"/>
    <mergeCell ref="BO8:BO11"/>
    <mergeCell ref="BQ8:BQ11"/>
    <mergeCell ref="BS8:BS11"/>
    <mergeCell ref="BU8:BU11"/>
    <mergeCell ref="BV8:BV11"/>
    <mergeCell ref="BW8:BW11"/>
    <mergeCell ref="BX8:BX11"/>
    <mergeCell ref="BZ8:BZ11"/>
    <mergeCell ref="CB8:CB11"/>
    <mergeCell ref="CD8:CD11"/>
    <mergeCell ref="CE8:CE11"/>
    <mergeCell ref="CF8:CF11"/>
    <mergeCell ref="CG8:CG11"/>
    <mergeCell ref="CI8:CI11"/>
    <mergeCell ref="CK8:CK11"/>
    <mergeCell ref="CM8:CM11"/>
    <mergeCell ref="CN8:CN11"/>
    <mergeCell ref="CO8:CO11"/>
    <mergeCell ref="CP8:CP11"/>
    <mergeCell ref="CR8:CR11"/>
    <mergeCell ref="CT8:CT11"/>
    <mergeCell ref="CV8:CV11"/>
    <mergeCell ref="CW8:CW11"/>
    <mergeCell ref="CX8:CX11"/>
    <mergeCell ref="CY8:CY11"/>
    <mergeCell ref="DA8:DA11"/>
    <mergeCell ref="DC8:DC11"/>
    <mergeCell ref="DE8:DE11"/>
    <mergeCell ref="DS8:DS11"/>
    <mergeCell ref="DU8:DU11"/>
    <mergeCell ref="DW8:DW11"/>
    <mergeCell ref="DY8:DY11"/>
    <mergeCell ref="DZ8:DZ11"/>
    <mergeCell ref="EA8:EA11"/>
    <mergeCell ref="DF8:DF11"/>
    <mergeCell ref="DG8:DG11"/>
    <mergeCell ref="DH8:DH11"/>
    <mergeCell ref="DJ8:DJ11"/>
    <mergeCell ref="DL8:DL11"/>
    <mergeCell ref="DN8:DN11"/>
    <mergeCell ref="DO8:DO11"/>
    <mergeCell ref="DP8:DP11"/>
    <mergeCell ref="DQ8:DQ11"/>
  </mergeCells>
  <conditionalFormatting sqref="AA13:AA47 AJ13:AJ47 AS13:AS47 BB13:BB47 BK13:BK47 BT13:BT47 CC13:CC47 CL13:CL47 CU13:CU47 DD13:DD47 DM13:DM47 DV13:DV47">
    <cfRule type="cellIs" dxfId="2" priority="2" operator="equal">
      <formula>"1. / Zellwert ist gleich 10"</formula>
    </cfRule>
    <cfRule type="cellIs" dxfId="1" priority="3" operator="equal">
      <formula>8.5</formula>
    </cfRule>
    <cfRule type="cellIs" dxfId="0" priority="4" operator="equal">
      <formula>"1=8.5"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30"/>
  <sheetViews>
    <sheetView zoomScaleNormal="100" workbookViewId="0"/>
  </sheetViews>
  <sheetFormatPr baseColWidth="10" defaultColWidth="8.83203125" defaultRowHeight="15"/>
  <cols>
    <col min="1" max="1" width="12.6640625" style="1" customWidth="1"/>
    <col min="2" max="2" width="11.33203125" style="1" customWidth="1"/>
    <col min="3" max="3" width="12" style="1" customWidth="1"/>
    <col min="4" max="1025" width="11.33203125" style="1" customWidth="1"/>
  </cols>
  <sheetData>
    <row r="1" spans="1:16" ht="21">
      <c r="A1" s="378" t="s">
        <v>348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8"/>
      <c r="P1" s="378"/>
    </row>
    <row r="2" spans="1:16" ht="21">
      <c r="A2" s="378" t="e">
        <f>#REF!</f>
        <v>#REF!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</row>
    <row r="3" spans="1:16">
      <c r="A3" s="166" t="s">
        <v>3</v>
      </c>
      <c r="B3" s="167" t="s">
        <v>349</v>
      </c>
      <c r="C3" s="168" t="s">
        <v>350</v>
      </c>
      <c r="D3" s="167" t="s">
        <v>351</v>
      </c>
      <c r="E3" s="168" t="s">
        <v>352</v>
      </c>
      <c r="F3" s="169" t="s">
        <v>353</v>
      </c>
      <c r="G3" s="170" t="s">
        <v>354</v>
      </c>
      <c r="H3" s="167" t="s">
        <v>355</v>
      </c>
      <c r="I3" s="168" t="s">
        <v>356</v>
      </c>
      <c r="J3" s="169" t="s">
        <v>357</v>
      </c>
      <c r="K3" s="170" t="s">
        <v>358</v>
      </c>
      <c r="L3" s="167" t="s">
        <v>359</v>
      </c>
      <c r="M3" s="168" t="s">
        <v>360</v>
      </c>
      <c r="N3" s="169" t="s">
        <v>361</v>
      </c>
      <c r="O3" s="170" t="s">
        <v>362</v>
      </c>
      <c r="P3" s="171" t="s">
        <v>268</v>
      </c>
    </row>
    <row r="4" spans="1:16">
      <c r="A4" s="172"/>
      <c r="B4" s="173"/>
      <c r="C4" s="174">
        <f>B4*B3</f>
        <v>0</v>
      </c>
      <c r="D4" s="173"/>
      <c r="E4" s="174">
        <f>D4*D3</f>
        <v>0</v>
      </c>
      <c r="F4" s="175"/>
      <c r="G4" s="176">
        <f>F4*F3</f>
        <v>0</v>
      </c>
      <c r="H4" s="173"/>
      <c r="I4" s="174">
        <f>H4*H3</f>
        <v>0</v>
      </c>
      <c r="J4" s="175"/>
      <c r="K4" s="176">
        <f>J4*J3</f>
        <v>0</v>
      </c>
      <c r="L4" s="173"/>
      <c r="M4" s="174">
        <f>L4*L3</f>
        <v>0</v>
      </c>
      <c r="N4" s="175"/>
      <c r="O4" s="176">
        <f>N4*N3</f>
        <v>0</v>
      </c>
      <c r="P4" s="177">
        <f t="shared" ref="P4:P29" si="0">C4+E4+G4+I4+K4+M4+O4</f>
        <v>0</v>
      </c>
    </row>
    <row r="5" spans="1:16">
      <c r="A5" s="178"/>
      <c r="B5" s="179"/>
      <c r="C5" s="180">
        <f>B5*B3</f>
        <v>0</v>
      </c>
      <c r="D5" s="179"/>
      <c r="E5" s="180">
        <f>D5*D3</f>
        <v>0</v>
      </c>
      <c r="F5" s="181"/>
      <c r="G5" s="182">
        <f>F5*F3</f>
        <v>0</v>
      </c>
      <c r="H5" s="179"/>
      <c r="I5" s="180">
        <f>H5*H3</f>
        <v>0</v>
      </c>
      <c r="J5" s="181"/>
      <c r="K5" s="182">
        <f>J5*J3</f>
        <v>0</v>
      </c>
      <c r="L5" s="179"/>
      <c r="M5" s="180">
        <f>L5*L3</f>
        <v>0</v>
      </c>
      <c r="N5" s="181"/>
      <c r="O5" s="182">
        <f>N5*N3</f>
        <v>0</v>
      </c>
      <c r="P5" s="183">
        <f t="shared" si="0"/>
        <v>0</v>
      </c>
    </row>
    <row r="6" spans="1:16">
      <c r="A6" s="178"/>
      <c r="B6" s="179"/>
      <c r="C6" s="180">
        <f>B6*B3</f>
        <v>0</v>
      </c>
      <c r="D6" s="179"/>
      <c r="E6" s="180">
        <f>D6*D3</f>
        <v>0</v>
      </c>
      <c r="F6" s="181"/>
      <c r="G6" s="182">
        <f>F6*F3</f>
        <v>0</v>
      </c>
      <c r="H6" s="179"/>
      <c r="I6" s="180">
        <f>H6*H3</f>
        <v>0</v>
      </c>
      <c r="J6" s="181"/>
      <c r="K6" s="182">
        <f>J6*J3</f>
        <v>0</v>
      </c>
      <c r="L6" s="179"/>
      <c r="M6" s="180">
        <f>L6*L3</f>
        <v>0</v>
      </c>
      <c r="N6" s="181"/>
      <c r="O6" s="182">
        <f>N6*N3</f>
        <v>0</v>
      </c>
      <c r="P6" s="183">
        <f t="shared" si="0"/>
        <v>0</v>
      </c>
    </row>
    <row r="7" spans="1:16">
      <c r="A7" s="178"/>
      <c r="B7" s="179"/>
      <c r="C7" s="180">
        <f>B7*B3</f>
        <v>0</v>
      </c>
      <c r="D7" s="179"/>
      <c r="E7" s="180">
        <f>D7*D3</f>
        <v>0</v>
      </c>
      <c r="F7" s="181"/>
      <c r="G7" s="182">
        <f>F7*F3</f>
        <v>0</v>
      </c>
      <c r="H7" s="179"/>
      <c r="I7" s="180">
        <f>H7*H3</f>
        <v>0</v>
      </c>
      <c r="J7" s="181"/>
      <c r="K7" s="182">
        <f>J7*J3</f>
        <v>0</v>
      </c>
      <c r="L7" s="179"/>
      <c r="M7" s="180">
        <f>L7*L3</f>
        <v>0</v>
      </c>
      <c r="N7" s="181"/>
      <c r="O7" s="182">
        <f>N7*N3</f>
        <v>0</v>
      </c>
      <c r="P7" s="183">
        <f t="shared" si="0"/>
        <v>0</v>
      </c>
    </row>
    <row r="8" spans="1:16">
      <c r="A8" s="178"/>
      <c r="B8" s="179"/>
      <c r="C8" s="180">
        <f>B8*B3</f>
        <v>0</v>
      </c>
      <c r="D8" s="179"/>
      <c r="E8" s="180">
        <f>D8*D3</f>
        <v>0</v>
      </c>
      <c r="F8" s="181"/>
      <c r="G8" s="182">
        <f>F8*F3</f>
        <v>0</v>
      </c>
      <c r="H8" s="179"/>
      <c r="I8" s="180">
        <f>H8*H3</f>
        <v>0</v>
      </c>
      <c r="J8" s="181"/>
      <c r="K8" s="182">
        <f>J8*J3</f>
        <v>0</v>
      </c>
      <c r="L8" s="179"/>
      <c r="M8" s="180">
        <f>L8*L3</f>
        <v>0</v>
      </c>
      <c r="N8" s="181"/>
      <c r="O8" s="182">
        <f>N8*N3</f>
        <v>0</v>
      </c>
      <c r="P8" s="183">
        <f t="shared" si="0"/>
        <v>0</v>
      </c>
    </row>
    <row r="9" spans="1:16">
      <c r="A9" s="178"/>
      <c r="B9" s="179"/>
      <c r="C9" s="180">
        <f>B9*B3</f>
        <v>0</v>
      </c>
      <c r="D9" s="179"/>
      <c r="E9" s="180">
        <f>D9*D3</f>
        <v>0</v>
      </c>
      <c r="F9" s="181"/>
      <c r="G9" s="182">
        <f>F9*F3</f>
        <v>0</v>
      </c>
      <c r="H9" s="179"/>
      <c r="I9" s="180">
        <f>H9*H3</f>
        <v>0</v>
      </c>
      <c r="J9" s="181"/>
      <c r="K9" s="182">
        <f>J9*J3</f>
        <v>0</v>
      </c>
      <c r="L9" s="179"/>
      <c r="M9" s="180">
        <f>L9*L3</f>
        <v>0</v>
      </c>
      <c r="N9" s="181"/>
      <c r="O9" s="182">
        <f>N9*N3</f>
        <v>0</v>
      </c>
      <c r="P9" s="183">
        <f t="shared" si="0"/>
        <v>0</v>
      </c>
    </row>
    <row r="10" spans="1:16">
      <c r="A10" s="178"/>
      <c r="B10" s="179"/>
      <c r="C10" s="180">
        <f>B10*B3</f>
        <v>0</v>
      </c>
      <c r="D10" s="179"/>
      <c r="E10" s="180">
        <f>D10*D3</f>
        <v>0</v>
      </c>
      <c r="F10" s="181"/>
      <c r="G10" s="182">
        <f>F10*F3</f>
        <v>0</v>
      </c>
      <c r="H10" s="179"/>
      <c r="I10" s="180">
        <f>H10*H3</f>
        <v>0</v>
      </c>
      <c r="J10" s="181"/>
      <c r="K10" s="182">
        <f>J10*J3</f>
        <v>0</v>
      </c>
      <c r="L10" s="179"/>
      <c r="M10" s="180">
        <f>L10*L3</f>
        <v>0</v>
      </c>
      <c r="N10" s="181"/>
      <c r="O10" s="182">
        <f>N10*N3</f>
        <v>0</v>
      </c>
      <c r="P10" s="183">
        <f t="shared" si="0"/>
        <v>0</v>
      </c>
    </row>
    <row r="11" spans="1:16">
      <c r="A11" s="178"/>
      <c r="B11" s="179"/>
      <c r="C11" s="180">
        <f>B11*B3</f>
        <v>0</v>
      </c>
      <c r="D11" s="179"/>
      <c r="E11" s="180">
        <f>D11*D3</f>
        <v>0</v>
      </c>
      <c r="F11" s="181"/>
      <c r="G11" s="182">
        <f>F11*F3</f>
        <v>0</v>
      </c>
      <c r="H11" s="179"/>
      <c r="I11" s="180">
        <f>H11*H3</f>
        <v>0</v>
      </c>
      <c r="J11" s="181"/>
      <c r="K11" s="182">
        <f>J11*J3</f>
        <v>0</v>
      </c>
      <c r="L11" s="179"/>
      <c r="M11" s="180">
        <f>L11*L3</f>
        <v>0</v>
      </c>
      <c r="N11" s="181"/>
      <c r="O11" s="182">
        <f>N11*N3</f>
        <v>0</v>
      </c>
      <c r="P11" s="183">
        <f t="shared" si="0"/>
        <v>0</v>
      </c>
    </row>
    <row r="12" spans="1:16">
      <c r="A12" s="178"/>
      <c r="B12" s="179"/>
      <c r="C12" s="180">
        <f>B12*B3</f>
        <v>0</v>
      </c>
      <c r="D12" s="179"/>
      <c r="E12" s="180">
        <f>D12*D3</f>
        <v>0</v>
      </c>
      <c r="F12" s="181"/>
      <c r="G12" s="182">
        <f>F12*F3</f>
        <v>0</v>
      </c>
      <c r="H12" s="179"/>
      <c r="I12" s="180">
        <f>H12*H3</f>
        <v>0</v>
      </c>
      <c r="J12" s="181"/>
      <c r="K12" s="182">
        <f>J12*J3</f>
        <v>0</v>
      </c>
      <c r="L12" s="179"/>
      <c r="M12" s="180">
        <f>L12*L3</f>
        <v>0</v>
      </c>
      <c r="N12" s="181"/>
      <c r="O12" s="182">
        <f>N12*N3</f>
        <v>0</v>
      </c>
      <c r="P12" s="183">
        <f t="shared" si="0"/>
        <v>0</v>
      </c>
    </row>
    <row r="13" spans="1:16">
      <c r="A13" s="178"/>
      <c r="B13" s="179"/>
      <c r="C13" s="180">
        <f>B13*B3</f>
        <v>0</v>
      </c>
      <c r="D13" s="179"/>
      <c r="E13" s="180">
        <f>D13*D3</f>
        <v>0</v>
      </c>
      <c r="F13" s="181"/>
      <c r="G13" s="182">
        <f>F13*F3</f>
        <v>0</v>
      </c>
      <c r="H13" s="179"/>
      <c r="I13" s="180">
        <f>H13*H3</f>
        <v>0</v>
      </c>
      <c r="J13" s="181"/>
      <c r="K13" s="182">
        <f>J13*J3</f>
        <v>0</v>
      </c>
      <c r="L13" s="179"/>
      <c r="M13" s="180">
        <f>L13*L3</f>
        <v>0</v>
      </c>
      <c r="N13" s="181"/>
      <c r="O13" s="182">
        <f>N13*N3</f>
        <v>0</v>
      </c>
      <c r="P13" s="183">
        <f t="shared" si="0"/>
        <v>0</v>
      </c>
    </row>
    <row r="14" spans="1:16">
      <c r="A14" s="178"/>
      <c r="B14" s="179"/>
      <c r="C14" s="180">
        <f>B14*B3</f>
        <v>0</v>
      </c>
      <c r="D14" s="179"/>
      <c r="E14" s="180">
        <f>D14*D3</f>
        <v>0</v>
      </c>
      <c r="F14" s="181"/>
      <c r="G14" s="182">
        <f>F14*F3</f>
        <v>0</v>
      </c>
      <c r="H14" s="179"/>
      <c r="I14" s="180">
        <f>H14*H3</f>
        <v>0</v>
      </c>
      <c r="J14" s="181"/>
      <c r="K14" s="182">
        <f>J14*J3</f>
        <v>0</v>
      </c>
      <c r="L14" s="179"/>
      <c r="M14" s="180">
        <f>L14*L3</f>
        <v>0</v>
      </c>
      <c r="N14" s="181"/>
      <c r="O14" s="182">
        <f>N14*N3</f>
        <v>0</v>
      </c>
      <c r="P14" s="183">
        <f t="shared" si="0"/>
        <v>0</v>
      </c>
    </row>
    <row r="15" spans="1:16">
      <c r="A15" s="178"/>
      <c r="B15" s="179"/>
      <c r="C15" s="180">
        <f>B15*B3</f>
        <v>0</v>
      </c>
      <c r="D15" s="179"/>
      <c r="E15" s="180">
        <f>D15*D3</f>
        <v>0</v>
      </c>
      <c r="F15" s="181"/>
      <c r="G15" s="182">
        <f>F15*F3</f>
        <v>0</v>
      </c>
      <c r="H15" s="179"/>
      <c r="I15" s="180">
        <f>H15*H3</f>
        <v>0</v>
      </c>
      <c r="J15" s="181"/>
      <c r="K15" s="182">
        <f>J15*J3</f>
        <v>0</v>
      </c>
      <c r="L15" s="179"/>
      <c r="M15" s="180">
        <f>L15*L3</f>
        <v>0</v>
      </c>
      <c r="N15" s="181"/>
      <c r="O15" s="182">
        <f>N15*N3</f>
        <v>0</v>
      </c>
      <c r="P15" s="183">
        <f t="shared" si="0"/>
        <v>0</v>
      </c>
    </row>
    <row r="16" spans="1:16">
      <c r="A16" s="178"/>
      <c r="B16" s="179"/>
      <c r="C16" s="180">
        <f>B16*B3</f>
        <v>0</v>
      </c>
      <c r="D16" s="179"/>
      <c r="E16" s="180">
        <f>D16*D3</f>
        <v>0</v>
      </c>
      <c r="F16" s="181"/>
      <c r="G16" s="182">
        <f>F16*F3</f>
        <v>0</v>
      </c>
      <c r="H16" s="179"/>
      <c r="I16" s="180">
        <f>H16*H3</f>
        <v>0</v>
      </c>
      <c r="J16" s="181"/>
      <c r="K16" s="182">
        <f>J16*J3</f>
        <v>0</v>
      </c>
      <c r="L16" s="179"/>
      <c r="M16" s="180">
        <f>L16*L3</f>
        <v>0</v>
      </c>
      <c r="N16" s="181"/>
      <c r="O16" s="182">
        <f>N16*N3</f>
        <v>0</v>
      </c>
      <c r="P16" s="183">
        <f t="shared" si="0"/>
        <v>0</v>
      </c>
    </row>
    <row r="17" spans="1:16">
      <c r="A17" s="178"/>
      <c r="B17" s="179"/>
      <c r="C17" s="180">
        <f>B17*B3</f>
        <v>0</v>
      </c>
      <c r="D17" s="179"/>
      <c r="E17" s="180">
        <f>D17*D3</f>
        <v>0</v>
      </c>
      <c r="F17" s="181"/>
      <c r="G17" s="182">
        <f>F17*F3</f>
        <v>0</v>
      </c>
      <c r="H17" s="179"/>
      <c r="I17" s="180">
        <f>H17*H3</f>
        <v>0</v>
      </c>
      <c r="J17" s="181"/>
      <c r="K17" s="182">
        <f>J17*J3</f>
        <v>0</v>
      </c>
      <c r="L17" s="179"/>
      <c r="M17" s="180">
        <f>L17*L3</f>
        <v>0</v>
      </c>
      <c r="N17" s="181"/>
      <c r="O17" s="182">
        <f>N17*N3</f>
        <v>0</v>
      </c>
      <c r="P17" s="183">
        <f t="shared" si="0"/>
        <v>0</v>
      </c>
    </row>
    <row r="18" spans="1:16">
      <c r="A18" s="178"/>
      <c r="B18" s="179"/>
      <c r="C18" s="180">
        <f>B18*B3</f>
        <v>0</v>
      </c>
      <c r="D18" s="179"/>
      <c r="E18" s="180">
        <f>D18*D3</f>
        <v>0</v>
      </c>
      <c r="F18" s="181"/>
      <c r="G18" s="182">
        <f>F18*F3</f>
        <v>0</v>
      </c>
      <c r="H18" s="179"/>
      <c r="I18" s="180">
        <f>H18*H3</f>
        <v>0</v>
      </c>
      <c r="J18" s="181"/>
      <c r="K18" s="182">
        <f>J18*J3</f>
        <v>0</v>
      </c>
      <c r="L18" s="179"/>
      <c r="M18" s="180">
        <f>L18*L3</f>
        <v>0</v>
      </c>
      <c r="N18" s="181"/>
      <c r="O18" s="182">
        <f>N18*N3</f>
        <v>0</v>
      </c>
      <c r="P18" s="183">
        <f t="shared" si="0"/>
        <v>0</v>
      </c>
    </row>
    <row r="19" spans="1:16">
      <c r="A19" s="178"/>
      <c r="B19" s="179"/>
      <c r="C19" s="180">
        <f>B19*B3</f>
        <v>0</v>
      </c>
      <c r="D19" s="179"/>
      <c r="E19" s="180">
        <f>D19*D3</f>
        <v>0</v>
      </c>
      <c r="F19" s="181"/>
      <c r="G19" s="182">
        <f>F19*F3</f>
        <v>0</v>
      </c>
      <c r="H19" s="179"/>
      <c r="I19" s="180">
        <f>H19*H3</f>
        <v>0</v>
      </c>
      <c r="J19" s="181"/>
      <c r="K19" s="182">
        <f>J19*J3</f>
        <v>0</v>
      </c>
      <c r="L19" s="179"/>
      <c r="M19" s="180">
        <f>L19*L7</f>
        <v>0</v>
      </c>
      <c r="N19" s="181"/>
      <c r="O19" s="182">
        <f>N19*N3</f>
        <v>0</v>
      </c>
      <c r="P19" s="183">
        <f t="shared" si="0"/>
        <v>0</v>
      </c>
    </row>
    <row r="20" spans="1:16">
      <c r="A20" s="178"/>
      <c r="B20" s="179"/>
      <c r="C20" s="180">
        <f>B20*B3</f>
        <v>0</v>
      </c>
      <c r="D20" s="179"/>
      <c r="E20" s="180">
        <f>D20*D3</f>
        <v>0</v>
      </c>
      <c r="F20" s="181"/>
      <c r="G20" s="182">
        <f>F20*F3</f>
        <v>0</v>
      </c>
      <c r="H20" s="179"/>
      <c r="I20" s="180">
        <f>H20*H3</f>
        <v>0</v>
      </c>
      <c r="J20" s="181"/>
      <c r="K20" s="182">
        <f>J20*J3</f>
        <v>0</v>
      </c>
      <c r="L20" s="179"/>
      <c r="M20" s="180">
        <f>L20*L3</f>
        <v>0</v>
      </c>
      <c r="N20" s="181"/>
      <c r="O20" s="182">
        <f>N20*N3</f>
        <v>0</v>
      </c>
      <c r="P20" s="183">
        <f t="shared" si="0"/>
        <v>0</v>
      </c>
    </row>
    <row r="21" spans="1:16">
      <c r="A21" s="178"/>
      <c r="B21" s="179"/>
      <c r="C21" s="180">
        <f>B21*B3</f>
        <v>0</v>
      </c>
      <c r="D21" s="179"/>
      <c r="E21" s="180">
        <f>D21*D3</f>
        <v>0</v>
      </c>
      <c r="F21" s="181"/>
      <c r="G21" s="182">
        <f>F21*F3</f>
        <v>0</v>
      </c>
      <c r="H21" s="179"/>
      <c r="I21" s="180">
        <f>H21*H3</f>
        <v>0</v>
      </c>
      <c r="J21" s="181"/>
      <c r="K21" s="182">
        <f>J21*J3</f>
        <v>0</v>
      </c>
      <c r="L21" s="179"/>
      <c r="M21" s="180">
        <f>L21*L3</f>
        <v>0</v>
      </c>
      <c r="N21" s="181"/>
      <c r="O21" s="182">
        <f>N21*N3</f>
        <v>0</v>
      </c>
      <c r="P21" s="183">
        <f t="shared" si="0"/>
        <v>0</v>
      </c>
    </row>
    <row r="22" spans="1:16">
      <c r="A22" s="178"/>
      <c r="B22" s="179"/>
      <c r="C22" s="180">
        <f>B22*B3</f>
        <v>0</v>
      </c>
      <c r="D22" s="179"/>
      <c r="E22" s="180">
        <f>D22*D3</f>
        <v>0</v>
      </c>
      <c r="F22" s="181"/>
      <c r="G22" s="182">
        <f>F22*F3</f>
        <v>0</v>
      </c>
      <c r="H22" s="179"/>
      <c r="I22" s="180">
        <f>H22*H3</f>
        <v>0</v>
      </c>
      <c r="J22" s="181"/>
      <c r="K22" s="182">
        <f>J22*J3</f>
        <v>0</v>
      </c>
      <c r="L22" s="179"/>
      <c r="M22" s="180">
        <f>L22*L3</f>
        <v>0</v>
      </c>
      <c r="N22" s="181"/>
      <c r="O22" s="182">
        <f>N22*N3</f>
        <v>0</v>
      </c>
      <c r="P22" s="183">
        <f t="shared" si="0"/>
        <v>0</v>
      </c>
    </row>
    <row r="23" spans="1:16">
      <c r="A23" s="178"/>
      <c r="B23" s="179"/>
      <c r="C23" s="180">
        <f>B23*B3</f>
        <v>0</v>
      </c>
      <c r="D23" s="179"/>
      <c r="E23" s="180">
        <f>D23*D3</f>
        <v>0</v>
      </c>
      <c r="F23" s="181"/>
      <c r="G23" s="182">
        <f>F23*F3</f>
        <v>0</v>
      </c>
      <c r="H23" s="179"/>
      <c r="I23" s="180">
        <f>H23*H3</f>
        <v>0</v>
      </c>
      <c r="J23" s="181"/>
      <c r="K23" s="182">
        <f>J23*J3</f>
        <v>0</v>
      </c>
      <c r="L23" s="179"/>
      <c r="M23" s="180">
        <f>L23*L3</f>
        <v>0</v>
      </c>
      <c r="N23" s="181"/>
      <c r="O23" s="182">
        <f>N23*N3</f>
        <v>0</v>
      </c>
      <c r="P23" s="183">
        <f t="shared" si="0"/>
        <v>0</v>
      </c>
    </row>
    <row r="24" spans="1:16">
      <c r="A24" s="178"/>
      <c r="B24" s="179"/>
      <c r="C24" s="180">
        <f>B24*B3</f>
        <v>0</v>
      </c>
      <c r="D24" s="179"/>
      <c r="E24" s="180">
        <f>D24*D3</f>
        <v>0</v>
      </c>
      <c r="F24" s="181"/>
      <c r="G24" s="182">
        <f>F24*F3</f>
        <v>0</v>
      </c>
      <c r="H24" s="179"/>
      <c r="I24" s="180">
        <f>H24*H3</f>
        <v>0</v>
      </c>
      <c r="J24" s="181"/>
      <c r="K24" s="182">
        <f>J24*J3</f>
        <v>0</v>
      </c>
      <c r="L24" s="179"/>
      <c r="M24" s="180">
        <f>L24*L3</f>
        <v>0</v>
      </c>
      <c r="N24" s="181"/>
      <c r="O24" s="182">
        <f>N24*N3</f>
        <v>0</v>
      </c>
      <c r="P24" s="183">
        <f t="shared" si="0"/>
        <v>0</v>
      </c>
    </row>
    <row r="25" spans="1:16">
      <c r="A25" s="178"/>
      <c r="B25" s="179"/>
      <c r="C25" s="180">
        <f>B25*B3</f>
        <v>0</v>
      </c>
      <c r="D25" s="179"/>
      <c r="E25" s="180">
        <f>D25*D3</f>
        <v>0</v>
      </c>
      <c r="F25" s="181"/>
      <c r="G25" s="182">
        <f>F25*F3</f>
        <v>0</v>
      </c>
      <c r="H25" s="179"/>
      <c r="I25" s="180">
        <f>H25*H3</f>
        <v>0</v>
      </c>
      <c r="J25" s="181"/>
      <c r="K25" s="182">
        <f>J25*J3</f>
        <v>0</v>
      </c>
      <c r="L25" s="179"/>
      <c r="M25" s="180">
        <f>L25*L3</f>
        <v>0</v>
      </c>
      <c r="N25" s="181"/>
      <c r="O25" s="182">
        <f>N25*N3</f>
        <v>0</v>
      </c>
      <c r="P25" s="183">
        <f t="shared" si="0"/>
        <v>0</v>
      </c>
    </row>
    <row r="26" spans="1:16">
      <c r="A26" s="178"/>
      <c r="B26" s="179"/>
      <c r="C26" s="180">
        <f>B26*B3</f>
        <v>0</v>
      </c>
      <c r="D26" s="179"/>
      <c r="E26" s="180">
        <f>D26*D3</f>
        <v>0</v>
      </c>
      <c r="F26" s="181"/>
      <c r="G26" s="182">
        <f>F26*F3</f>
        <v>0</v>
      </c>
      <c r="H26" s="179"/>
      <c r="I26" s="180">
        <f>H26*H3</f>
        <v>0</v>
      </c>
      <c r="J26" s="181"/>
      <c r="K26" s="182">
        <f>J26*J3</f>
        <v>0</v>
      </c>
      <c r="L26" s="179"/>
      <c r="M26" s="180">
        <f>L26*L3</f>
        <v>0</v>
      </c>
      <c r="N26" s="181"/>
      <c r="O26" s="182">
        <f>N26*N3</f>
        <v>0</v>
      </c>
      <c r="P26" s="183">
        <f t="shared" si="0"/>
        <v>0</v>
      </c>
    </row>
    <row r="27" spans="1:16">
      <c r="A27" s="178"/>
      <c r="B27" s="179"/>
      <c r="C27" s="180">
        <f>B27*B3</f>
        <v>0</v>
      </c>
      <c r="D27" s="179"/>
      <c r="E27" s="180">
        <f>D27*D3</f>
        <v>0</v>
      </c>
      <c r="F27" s="181"/>
      <c r="G27" s="182">
        <f>F27*F3</f>
        <v>0</v>
      </c>
      <c r="H27" s="179"/>
      <c r="I27" s="180">
        <f>H27*H3</f>
        <v>0</v>
      </c>
      <c r="J27" s="181"/>
      <c r="K27" s="182">
        <f>J27*J3</f>
        <v>0</v>
      </c>
      <c r="L27" s="179"/>
      <c r="M27" s="180">
        <f>L27*L3</f>
        <v>0</v>
      </c>
      <c r="N27" s="181"/>
      <c r="O27" s="182">
        <f>N27*N3</f>
        <v>0</v>
      </c>
      <c r="P27" s="183">
        <f t="shared" si="0"/>
        <v>0</v>
      </c>
    </row>
    <row r="28" spans="1:16">
      <c r="A28" s="178"/>
      <c r="B28" s="179"/>
      <c r="C28" s="180">
        <f>B28*B3</f>
        <v>0</v>
      </c>
      <c r="D28" s="179"/>
      <c r="E28" s="180">
        <f>D28*D3</f>
        <v>0</v>
      </c>
      <c r="F28" s="181"/>
      <c r="G28" s="182">
        <f>F28*F3</f>
        <v>0</v>
      </c>
      <c r="H28" s="179"/>
      <c r="I28" s="180">
        <f>H28*H3</f>
        <v>0</v>
      </c>
      <c r="J28" s="181"/>
      <c r="K28" s="182">
        <f>J28*J3</f>
        <v>0</v>
      </c>
      <c r="L28" s="179"/>
      <c r="M28" s="180">
        <f>L28*L3</f>
        <v>0</v>
      </c>
      <c r="N28" s="181"/>
      <c r="O28" s="182">
        <f>N28*N3</f>
        <v>0</v>
      </c>
      <c r="P28" s="183">
        <f t="shared" si="0"/>
        <v>0</v>
      </c>
    </row>
    <row r="29" spans="1:16">
      <c r="A29" s="184"/>
      <c r="B29" s="185"/>
      <c r="C29" s="186">
        <f>B29*B3</f>
        <v>0</v>
      </c>
      <c r="D29" s="185"/>
      <c r="E29" s="186">
        <f>D29*D3</f>
        <v>0</v>
      </c>
      <c r="F29" s="187"/>
      <c r="G29" s="188">
        <f>F29*F3</f>
        <v>0</v>
      </c>
      <c r="H29" s="185"/>
      <c r="I29" s="186">
        <f>H29*H3</f>
        <v>0</v>
      </c>
      <c r="J29" s="187"/>
      <c r="K29" s="188">
        <f>J29*J3</f>
        <v>0</v>
      </c>
      <c r="L29" s="185"/>
      <c r="M29" s="186">
        <f>L29*L3</f>
        <v>0</v>
      </c>
      <c r="N29" s="187"/>
      <c r="O29" s="188">
        <f>N29*N3</f>
        <v>0</v>
      </c>
      <c r="P29" s="189">
        <f t="shared" si="0"/>
        <v>0</v>
      </c>
    </row>
    <row r="30" spans="1:16">
      <c r="P30" s="190">
        <f>SUM(P4:P29)</f>
        <v>0</v>
      </c>
    </row>
  </sheetData>
  <mergeCells count="2">
    <mergeCell ref="A1:P1"/>
    <mergeCell ref="A2:P2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3</vt:i4>
      </vt:variant>
    </vt:vector>
  </HeadingPairs>
  <TitlesOfParts>
    <vt:vector size="13" baseType="lpstr">
      <vt:lpstr>Personalstammdaten</vt:lpstr>
      <vt:lpstr>Dienstplan Version 1.0</vt:lpstr>
      <vt:lpstr>Januar 26</vt:lpstr>
      <vt:lpstr>Februar 26</vt:lpstr>
      <vt:lpstr>Tabelle5</vt:lpstr>
      <vt:lpstr>Tabelle3</vt:lpstr>
      <vt:lpstr>Tabelle1</vt:lpstr>
      <vt:lpstr>Tabelle2</vt:lpstr>
      <vt:lpstr>Stundenkontrolle</vt:lpstr>
      <vt:lpstr>Uniformen</vt:lpstr>
      <vt:lpstr>'Februar 26'!Druckbereich</vt:lpstr>
      <vt:lpstr>'Januar 26'!Druckbereich</vt:lpstr>
      <vt:lpstr>o0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 Leuker</dc:creator>
  <dc:description/>
  <cp:lastModifiedBy>Oliv Empfang</cp:lastModifiedBy>
  <cp:revision>2</cp:revision>
  <cp:lastPrinted>2026-01-06T18:49:58Z</cp:lastPrinted>
  <dcterms:created xsi:type="dcterms:W3CDTF">2010-04-25T08:41:32Z</dcterms:created>
  <dcterms:modified xsi:type="dcterms:W3CDTF">2026-01-14T17:07:21Z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